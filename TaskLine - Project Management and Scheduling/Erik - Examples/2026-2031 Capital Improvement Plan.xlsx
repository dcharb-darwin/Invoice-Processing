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https://lakestevens.sharepoint.com/sites/RMS-CapitalProjects/Planning/"/>
    </mc:Choice>
  </mc:AlternateContent>
  <xr:revisionPtr revIDLastSave="2147" documentId="8_{89817590-E66B-46CE-8311-19D5D967CB7D}" xr6:coauthVersionLast="47" xr6:coauthVersionMax="47" xr10:uidLastSave="{7CB592FF-ACD5-4050-AABF-41FFA4B9970D}"/>
  <bookViews>
    <workbookView xWindow="-108" yWindow="-108" windowWidth="23256" windowHeight="12456" activeTab="1" xr2:uid="{282C8D69-DACF-40C3-98C9-242A15773D33}"/>
  </bookViews>
  <sheets>
    <sheet name="2025" sheetId="1" r:id="rId1"/>
    <sheet name="2026" sheetId="2" r:id="rId2"/>
    <sheet name="Sheet1" sheetId="5" r:id="rId3"/>
    <sheet name="2025 Project Health" sheetId="4" r:id="rId4"/>
    <sheet name="Unfunded Projects" sheetId="3" r:id="rId5"/>
  </sheets>
  <definedNames>
    <definedName name="_xlnm._FilterDatabase" localSheetId="0" hidden="1">'2025'!$A$3:$O$4</definedName>
    <definedName name="_xlnm._FilterDatabase" localSheetId="1" hidden="1">'2026'!$A$4:$Q$5</definedName>
    <definedName name="_xlnm.Print_Area" localSheetId="0">'2025'!$A$3:$S$79</definedName>
    <definedName name="_xlnm.Print_Area" localSheetId="1">'2026'!$A$4:$W$60</definedName>
    <definedName name="Z_B41BB11B_8ECA_4760_921C_F8720A6A66AF_.wvu.Cols" localSheetId="0" hidden="1">'2025'!$D:$K</definedName>
    <definedName name="Z_B41BB11B_8ECA_4760_921C_F8720A6A66AF_.wvu.Cols" localSheetId="3" hidden="1">'2025 Project Health'!$H:$H,'2025 Project Health'!$J:$AS</definedName>
    <definedName name="Z_B41BB11B_8ECA_4760_921C_F8720A6A66AF_.wvu.Cols" localSheetId="1" hidden="1">'2026'!$D:$M,'2026'!$AP:$AR</definedName>
    <definedName name="Z_B41BB11B_8ECA_4760_921C_F8720A6A66AF_.wvu.Cols" localSheetId="4" hidden="1">'Unfunded Projects'!$D:$D</definedName>
    <definedName name="Z_B41BB11B_8ECA_4760_921C_F8720A6A66AF_.wvu.FilterData" localSheetId="0" hidden="1">'2025'!$A$3:$O$4</definedName>
    <definedName name="Z_B41BB11B_8ECA_4760_921C_F8720A6A66AF_.wvu.FilterData" localSheetId="1" hidden="1">'2026'!$A$4:$Q$5</definedName>
    <definedName name="Z_B41BB11B_8ECA_4760_921C_F8720A6A66AF_.wvu.PrintArea" localSheetId="0" hidden="1">'2025'!$A$3:$S$79</definedName>
    <definedName name="Z_B41BB11B_8ECA_4760_921C_F8720A6A66AF_.wvu.PrintArea" localSheetId="1" hidden="1">'2026'!$A$4:$W$60</definedName>
    <definedName name="Z_B41BB11B_8ECA_4760_921C_F8720A6A66AF_.wvu.Rows" localSheetId="1" hidden="1">'2026'!$1:$1,'2026'!$7:$24,'2026'!$26:$45,'2026'!$47:$51,'2026'!$53:$58</definedName>
  </definedNames>
  <calcPr calcId="191028"/>
  <customWorkbookViews>
    <customWorkbookView name="Department Total View" guid="{B41BB11B-8ECA-4760-921C-F8720A6A66AF}" maximized="1" xWindow="-14" yWindow="-14" windowWidth="3868" windowHeight="2320" activeSheetId="2"/>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FD75" i="2" l="1"/>
  <c r="T51" i="2"/>
  <c r="AB61" i="2"/>
  <c r="N50" i="2"/>
  <c r="T50" i="2" s="1"/>
  <c r="N49" i="2"/>
  <c r="T49" i="2" s="1"/>
  <c r="M8" i="2"/>
  <c r="M11" i="2"/>
  <c r="T13" i="2"/>
  <c r="T14" i="2"/>
  <c r="T15" i="2"/>
  <c r="T16" i="2"/>
  <c r="T17" i="2"/>
  <c r="T19" i="2"/>
  <c r="M21" i="2"/>
  <c r="T21" i="2" s="1"/>
  <c r="M22" i="2"/>
  <c r="M23" i="2"/>
  <c r="T23" i="2" s="1"/>
  <c r="M7" i="2"/>
  <c r="AV22" i="4"/>
  <c r="AV6" i="4"/>
  <c r="AV9" i="4"/>
  <c r="AV10" i="4"/>
  <c r="AV12" i="4"/>
  <c r="AV13" i="4"/>
  <c r="AV14" i="4"/>
  <c r="AV16" i="4"/>
  <c r="AV17" i="4"/>
  <c r="AV18" i="4"/>
  <c r="AV19" i="4"/>
  <c r="AV20" i="4"/>
  <c r="AV21" i="4"/>
  <c r="AV23" i="4"/>
  <c r="AV24" i="4"/>
  <c r="AV25" i="4"/>
  <c r="AV26" i="4"/>
  <c r="AV27" i="4"/>
  <c r="AV28" i="4"/>
  <c r="AV5" i="4"/>
  <c r="AU6" i="4"/>
  <c r="AU7" i="4"/>
  <c r="AU8" i="4"/>
  <c r="AU9" i="4"/>
  <c r="AU10" i="4"/>
  <c r="AU11" i="4"/>
  <c r="AU12" i="4"/>
  <c r="AU13" i="4"/>
  <c r="AU14" i="4"/>
  <c r="AU16" i="4"/>
  <c r="AU17" i="4"/>
  <c r="AU18" i="4"/>
  <c r="AU19" i="4"/>
  <c r="AU20" i="4"/>
  <c r="AU21" i="4"/>
  <c r="AU22" i="4"/>
  <c r="AU23" i="4"/>
  <c r="AU25" i="4"/>
  <c r="AU27" i="4"/>
  <c r="AU28" i="4"/>
  <c r="AU5" i="4"/>
  <c r="AT5" i="4"/>
  <c r="AP31" i="4"/>
  <c r="AO31" i="4"/>
  <c r="AN31" i="4"/>
  <c r="AM31" i="4"/>
  <c r="AL31" i="4"/>
  <c r="AK31" i="4"/>
  <c r="AJ31" i="4"/>
  <c r="AI31" i="4"/>
  <c r="AH31" i="4"/>
  <c r="AG31" i="4"/>
  <c r="AF31" i="4"/>
  <c r="AE31" i="4"/>
  <c r="AD31" i="4"/>
  <c r="AC31" i="4"/>
  <c r="AB31" i="4"/>
  <c r="AA31" i="4"/>
  <c r="Z31" i="4"/>
  <c r="AP29" i="4"/>
  <c r="AN29" i="4"/>
  <c r="AM29" i="4"/>
  <c r="AL29" i="4"/>
  <c r="AK29" i="4"/>
  <c r="AJ29" i="4"/>
  <c r="AI29" i="4"/>
  <c r="AH29" i="4"/>
  <c r="AG29" i="4"/>
  <c r="AF29" i="4"/>
  <c r="AE29" i="4"/>
  <c r="AD29" i="4"/>
  <c r="AC29" i="4"/>
  <c r="AB29" i="4"/>
  <c r="AA29" i="4"/>
  <c r="Y29" i="4"/>
  <c r="V29" i="4"/>
  <c r="S29" i="4"/>
  <c r="R29" i="4"/>
  <c r="Q29" i="4"/>
  <c r="M29" i="4"/>
  <c r="H29" i="4"/>
  <c r="G29" i="4"/>
  <c r="F29" i="4"/>
  <c r="AT28" i="4"/>
  <c r="P28" i="4"/>
  <c r="P29" i="4" s="1"/>
  <c r="O28" i="4"/>
  <c r="AO28" i="4" s="1"/>
  <c r="AQ28" i="4" s="1"/>
  <c r="AR28" i="4" s="1"/>
  <c r="J28" i="4"/>
  <c r="AT27" i="4"/>
  <c r="K27" i="4"/>
  <c r="J27" i="4"/>
  <c r="AP26" i="4"/>
  <c r="AO26" i="4"/>
  <c r="AN26" i="4"/>
  <c r="AM26" i="4"/>
  <c r="AL26" i="4"/>
  <c r="AK26" i="4"/>
  <c r="AJ26" i="4"/>
  <c r="AI26" i="4"/>
  <c r="AH26" i="4"/>
  <c r="AG26" i="4"/>
  <c r="AF26" i="4"/>
  <c r="AE26" i="4"/>
  <c r="AD26" i="4"/>
  <c r="AB26" i="4"/>
  <c r="AA26" i="4"/>
  <c r="Z26" i="4"/>
  <c r="Y26" i="4"/>
  <c r="V26" i="4"/>
  <c r="S26" i="4"/>
  <c r="R26" i="4"/>
  <c r="Q26" i="4"/>
  <c r="P26" i="4"/>
  <c r="H26" i="4"/>
  <c r="G26" i="4"/>
  <c r="J25" i="4"/>
  <c r="AP24" i="4"/>
  <c r="AO24" i="4"/>
  <c r="AN24" i="4"/>
  <c r="AM24" i="4"/>
  <c r="AK24" i="4"/>
  <c r="AI24" i="4"/>
  <c r="AH24" i="4"/>
  <c r="AG24" i="4"/>
  <c r="AF24" i="4"/>
  <c r="AE24" i="4"/>
  <c r="AD24" i="4"/>
  <c r="AC24" i="4"/>
  <c r="AB24" i="4"/>
  <c r="AA24" i="4"/>
  <c r="Z24" i="4"/>
  <c r="T24" i="4"/>
  <c r="S24" i="4"/>
  <c r="R24" i="4"/>
  <c r="Q24" i="4"/>
  <c r="P24" i="4"/>
  <c r="H24" i="4"/>
  <c r="G24" i="4"/>
  <c r="Y23" i="4"/>
  <c r="AJ23" i="4" s="1"/>
  <c r="AQ23" i="4" s="1"/>
  <c r="AR23" i="4" s="1"/>
  <c r="U23" i="4"/>
  <c r="J23" i="4"/>
  <c r="F23" i="4"/>
  <c r="AT23" i="4" s="1"/>
  <c r="O22" i="4"/>
  <c r="U22" i="4" s="1"/>
  <c r="J22" i="4"/>
  <c r="AT21" i="4"/>
  <c r="V21" i="4"/>
  <c r="Y21" i="4" s="1"/>
  <c r="U21" i="4"/>
  <c r="J21" i="4"/>
  <c r="AT20" i="4"/>
  <c r="K20" i="4"/>
  <c r="O20" i="4" s="1"/>
  <c r="AL20" i="4" s="1"/>
  <c r="J20" i="4"/>
  <c r="AT19" i="4"/>
  <c r="Y19" i="4"/>
  <c r="AQ19" i="4" s="1"/>
  <c r="AR19" i="4" s="1"/>
  <c r="O19" i="4"/>
  <c r="U19" i="4" s="1"/>
  <c r="J19" i="4"/>
  <c r="AT18" i="4"/>
  <c r="Y18" i="4"/>
  <c r="AQ18" i="4" s="1"/>
  <c r="AR18" i="4" s="1"/>
  <c r="O18" i="4"/>
  <c r="U18" i="4" s="1"/>
  <c r="J18" i="4"/>
  <c r="Y17" i="4"/>
  <c r="J17" i="4"/>
  <c r="K17" i="4" s="1"/>
  <c r="O17" i="4" s="1"/>
  <c r="AT16" i="4"/>
  <c r="Y16" i="4"/>
  <c r="J16" i="4"/>
  <c r="AP15" i="4"/>
  <c r="AN15" i="4"/>
  <c r="AM15" i="4"/>
  <c r="AK15" i="4"/>
  <c r="AJ15" i="4"/>
  <c r="AI15" i="4"/>
  <c r="AH15" i="4"/>
  <c r="AG15" i="4"/>
  <c r="AF15" i="4"/>
  <c r="AD15" i="4"/>
  <c r="AC15" i="4"/>
  <c r="AB15" i="4"/>
  <c r="AA15" i="4"/>
  <c r="X15" i="4"/>
  <c r="W15" i="4"/>
  <c r="V15" i="4"/>
  <c r="T15" i="4"/>
  <c r="S15" i="4"/>
  <c r="R15" i="4"/>
  <c r="Q15" i="4"/>
  <c r="M15" i="4"/>
  <c r="L15" i="4"/>
  <c r="H15" i="4"/>
  <c r="G15" i="4"/>
  <c r="AQ14" i="4"/>
  <c r="AR14" i="4" s="1"/>
  <c r="N14" i="4"/>
  <c r="U14" i="4" s="1"/>
  <c r="J14" i="4"/>
  <c r="F14" i="4"/>
  <c r="AT14" i="4" s="1"/>
  <c r="AQ13" i="4"/>
  <c r="AR13" i="4" s="1"/>
  <c r="O13" i="4"/>
  <c r="F13" i="4" s="1"/>
  <c r="N13" i="4"/>
  <c r="J13" i="4"/>
  <c r="AQ12" i="4"/>
  <c r="AR12" i="4" s="1"/>
  <c r="U12" i="4"/>
  <c r="J12" i="4"/>
  <c r="F12" i="4"/>
  <c r="AT12" i="4" s="1"/>
  <c r="AQ11" i="4"/>
  <c r="AR11" i="4" s="1"/>
  <c r="I11" i="4"/>
  <c r="J11" i="4" s="1"/>
  <c r="F11" i="4"/>
  <c r="AT10" i="4"/>
  <c r="O10" i="4"/>
  <c r="P10" i="4" s="1"/>
  <c r="U10" i="4" s="1"/>
  <c r="J10" i="4"/>
  <c r="AT9" i="4"/>
  <c r="AO9" i="4"/>
  <c r="AO15" i="4" s="1"/>
  <c r="N9" i="4"/>
  <c r="K9" i="4"/>
  <c r="J9" i="4"/>
  <c r="I8" i="4"/>
  <c r="AT8" i="4" s="1"/>
  <c r="AQ7" i="4"/>
  <c r="AR7" i="4" s="1"/>
  <c r="O7" i="4"/>
  <c r="I7" i="4"/>
  <c r="AV7" i="4" s="1"/>
  <c r="AT6" i="4"/>
  <c r="N6" i="4"/>
  <c r="K6" i="4"/>
  <c r="O6" i="4" s="1"/>
  <c r="J6" i="4"/>
  <c r="Y5" i="4"/>
  <c r="AQ5" i="4" s="1"/>
  <c r="AR5" i="4" s="1"/>
  <c r="O5" i="4"/>
  <c r="N5" i="4"/>
  <c r="J5" i="4"/>
  <c r="Z61" i="2"/>
  <c r="AA61" i="2"/>
  <c r="AC61" i="2"/>
  <c r="AD61" i="2"/>
  <c r="AE61" i="2"/>
  <c r="AF61" i="2"/>
  <c r="AG61" i="2"/>
  <c r="AH61" i="2"/>
  <c r="X59" i="2"/>
  <c r="Z59" i="2"/>
  <c r="AA59" i="2"/>
  <c r="AB59" i="2"/>
  <c r="AC59" i="2"/>
  <c r="AD59" i="2"/>
  <c r="AE59" i="2"/>
  <c r="AF59" i="2"/>
  <c r="AG59" i="2"/>
  <c r="AH59" i="2"/>
  <c r="X52" i="2"/>
  <c r="Y52" i="2"/>
  <c r="Z52" i="2"/>
  <c r="AA52" i="2"/>
  <c r="AC52" i="2"/>
  <c r="AD52" i="2"/>
  <c r="AE52" i="2"/>
  <c r="AF52" i="2"/>
  <c r="AG52" i="2"/>
  <c r="AH52" i="2"/>
  <c r="Y46" i="2"/>
  <c r="Z46" i="2"/>
  <c r="AA46" i="2"/>
  <c r="AB46" i="2"/>
  <c r="AC46" i="2"/>
  <c r="AD46" i="2"/>
  <c r="AE46" i="2"/>
  <c r="AF46" i="2"/>
  <c r="AG46" i="2"/>
  <c r="AH46" i="2"/>
  <c r="AK52" i="2"/>
  <c r="AP39" i="2"/>
  <c r="AQ39" i="2" s="1"/>
  <c r="T39" i="2"/>
  <c r="I39" i="2"/>
  <c r="E39" i="2"/>
  <c r="X35" i="2"/>
  <c r="AI35" i="2" s="1"/>
  <c r="X30" i="2"/>
  <c r="X29" i="2"/>
  <c r="X28" i="2"/>
  <c r="X27" i="2"/>
  <c r="T43" i="2"/>
  <c r="T44" i="2"/>
  <c r="S46" i="2"/>
  <c r="E38" i="2"/>
  <c r="P46" i="2"/>
  <c r="I27" i="2"/>
  <c r="J27" i="2" s="1"/>
  <c r="N27" i="2" s="1"/>
  <c r="N30" i="2"/>
  <c r="I30" i="2"/>
  <c r="N29" i="2"/>
  <c r="I29" i="2"/>
  <c r="I28" i="2"/>
  <c r="J28" i="2" s="1"/>
  <c r="N58" i="2"/>
  <c r="AN58" i="2" s="1"/>
  <c r="N57" i="2"/>
  <c r="AN57" i="2" s="1"/>
  <c r="N56" i="2"/>
  <c r="AN56" i="2" s="1"/>
  <c r="O55" i="2"/>
  <c r="I55" i="2"/>
  <c r="N55" i="2"/>
  <c r="AN55" i="2" s="1"/>
  <c r="J54" i="2"/>
  <c r="N54" i="2" s="1"/>
  <c r="T54" i="2" s="1"/>
  <c r="T32" i="2"/>
  <c r="I54" i="2"/>
  <c r="E59" i="1"/>
  <c r="N34" i="2"/>
  <c r="AI34" i="2" s="1"/>
  <c r="I34" i="2"/>
  <c r="AI33" i="2"/>
  <c r="J31" i="2"/>
  <c r="N31" i="2" s="1"/>
  <c r="AK31" i="2" s="1"/>
  <c r="T33" i="2"/>
  <c r="T35" i="2"/>
  <c r="T36" i="2"/>
  <c r="T37" i="2"/>
  <c r="T38" i="2"/>
  <c r="T40" i="2"/>
  <c r="T41" i="2"/>
  <c r="T42" i="2"/>
  <c r="T45" i="2"/>
  <c r="T26" i="2"/>
  <c r="U32" i="2"/>
  <c r="X32" i="2" s="1"/>
  <c r="AI32" i="2" s="1"/>
  <c r="AP26" i="2"/>
  <c r="AQ26" i="2" s="1"/>
  <c r="H9" i="2"/>
  <c r="I9" i="2" s="1"/>
  <c r="AJ25" i="1"/>
  <c r="K25" i="2"/>
  <c r="L25" i="2"/>
  <c r="P25" i="2"/>
  <c r="Q25" i="2"/>
  <c r="R25" i="2"/>
  <c r="S25" i="2"/>
  <c r="U25" i="2"/>
  <c r="V25" i="2"/>
  <c r="W25" i="2"/>
  <c r="F25" i="2"/>
  <c r="G25" i="2"/>
  <c r="Z25" i="2"/>
  <c r="AA25" i="2"/>
  <c r="AB25" i="2"/>
  <c r="AC25" i="2"/>
  <c r="AE25" i="2"/>
  <c r="AF25" i="2"/>
  <c r="AG25" i="2"/>
  <c r="AH25" i="2"/>
  <c r="AI25" i="2"/>
  <c r="AJ25" i="2"/>
  <c r="AL25" i="2"/>
  <c r="AM25" i="2"/>
  <c r="AO25" i="2"/>
  <c r="E21" i="2"/>
  <c r="E23" i="2"/>
  <c r="N22" i="2"/>
  <c r="E22" i="2" s="1"/>
  <c r="H20" i="2"/>
  <c r="M20" i="2" s="1"/>
  <c r="H10" i="2"/>
  <c r="J10" i="2" s="1"/>
  <c r="N12" i="2"/>
  <c r="AD12" i="2" s="1"/>
  <c r="AD14" i="2"/>
  <c r="T18" i="2"/>
  <c r="T24" i="2"/>
  <c r="J11" i="2"/>
  <c r="N7" i="2"/>
  <c r="S60" i="2" l="1"/>
  <c r="T57" i="2"/>
  <c r="T58" i="2"/>
  <c r="T56" i="2"/>
  <c r="T55" i="2"/>
  <c r="AA60" i="2"/>
  <c r="AA62" i="2" s="1"/>
  <c r="Z60" i="2"/>
  <c r="Z62" i="2" s="1"/>
  <c r="M9" i="2"/>
  <c r="T20" i="2"/>
  <c r="AH60" i="2"/>
  <c r="AH62" i="2" s="1"/>
  <c r="AG60" i="2"/>
  <c r="AG62" i="2" s="1"/>
  <c r="AF60" i="2"/>
  <c r="AF62" i="2" s="1"/>
  <c r="M10" i="2"/>
  <c r="AE60" i="2"/>
  <c r="AE62" i="2" s="1"/>
  <c r="X46" i="2"/>
  <c r="AC60" i="2"/>
  <c r="AC62" i="2" s="1"/>
  <c r="AU30" i="4"/>
  <c r="AU31" i="4" s="1"/>
  <c r="AV11" i="4"/>
  <c r="AV8" i="4"/>
  <c r="G30" i="4"/>
  <c r="U13" i="4"/>
  <c r="AT11" i="4"/>
  <c r="M30" i="4"/>
  <c r="I30" i="4"/>
  <c r="J29" i="4"/>
  <c r="Y15" i="4"/>
  <c r="AA30" i="4"/>
  <c r="AM30" i="4"/>
  <c r="J26" i="4"/>
  <c r="AN30" i="4"/>
  <c r="AP30" i="4"/>
  <c r="AD30" i="4"/>
  <c r="Q30" i="4"/>
  <c r="N11" i="4"/>
  <c r="U11" i="4" s="1"/>
  <c r="F22" i="4"/>
  <c r="AT22" i="4" s="1"/>
  <c r="AL6" i="4"/>
  <c r="AL15" i="4" s="1"/>
  <c r="AF30" i="4"/>
  <c r="AE10" i="4"/>
  <c r="AQ10" i="4" s="1"/>
  <c r="AR10" i="4" s="1"/>
  <c r="F15" i="4"/>
  <c r="AI30" i="4"/>
  <c r="AT7" i="4"/>
  <c r="AG30" i="4"/>
  <c r="AJ22" i="4"/>
  <c r="AQ22" i="4" s="1"/>
  <c r="AR22" i="4" s="1"/>
  <c r="H30" i="4"/>
  <c r="U5" i="4"/>
  <c r="AH30" i="4"/>
  <c r="J24" i="4"/>
  <c r="AK30" i="4"/>
  <c r="AB30" i="4"/>
  <c r="R30" i="4"/>
  <c r="Y24" i="4"/>
  <c r="S30" i="4"/>
  <c r="U6" i="4"/>
  <c r="U17" i="4"/>
  <c r="AJ17" i="4"/>
  <c r="AQ17" i="4" s="1"/>
  <c r="AR17" i="4" s="1"/>
  <c r="AL24" i="4"/>
  <c r="AQ20" i="4"/>
  <c r="AR20" i="4" s="1"/>
  <c r="AJ21" i="4"/>
  <c r="AQ21" i="4" s="1"/>
  <c r="AR21" i="4" s="1"/>
  <c r="O9" i="4"/>
  <c r="U9" i="4" s="1"/>
  <c r="N8" i="4"/>
  <c r="AE9" i="4"/>
  <c r="AQ9" i="4" s="1"/>
  <c r="AR9" i="4" s="1"/>
  <c r="U28" i="4"/>
  <c r="J7" i="4"/>
  <c r="V24" i="4"/>
  <c r="V30" i="4" s="1"/>
  <c r="K29" i="4"/>
  <c r="N7" i="4"/>
  <c r="K25" i="4"/>
  <c r="O27" i="4"/>
  <c r="K8" i="4"/>
  <c r="AT13" i="4"/>
  <c r="U20" i="4"/>
  <c r="J8" i="4"/>
  <c r="K16" i="4"/>
  <c r="I15" i="4"/>
  <c r="F17" i="4"/>
  <c r="AP30" i="2"/>
  <c r="AQ30" i="2" s="1"/>
  <c r="AP29" i="2"/>
  <c r="AQ29" i="2" s="1"/>
  <c r="AI27" i="2"/>
  <c r="T30" i="2"/>
  <c r="T29" i="2"/>
  <c r="N28" i="2"/>
  <c r="AI28" i="2" s="1"/>
  <c r="N59" i="2"/>
  <c r="Y54" i="2"/>
  <c r="T34" i="2"/>
  <c r="T27" i="2"/>
  <c r="T31" i="2"/>
  <c r="T7" i="2"/>
  <c r="O12" i="2"/>
  <c r="AN54" i="2" l="1"/>
  <c r="Y59" i="2"/>
  <c r="AL30" i="4"/>
  <c r="AQ6" i="4"/>
  <c r="AR6" i="4" s="1"/>
  <c r="Y32" i="4"/>
  <c r="J15" i="4"/>
  <c r="J30" i="4" s="1"/>
  <c r="Z27" i="4"/>
  <c r="O29" i="4"/>
  <c r="U27" i="4"/>
  <c r="AT17" i="4"/>
  <c r="F24" i="4"/>
  <c r="P7" i="4"/>
  <c r="P15" i="4" s="1"/>
  <c r="P30" i="4" s="1"/>
  <c r="K26" i="4"/>
  <c r="O25" i="4"/>
  <c r="K24" i="4"/>
  <c r="O16" i="4"/>
  <c r="N15" i="4"/>
  <c r="O8" i="4"/>
  <c r="K15" i="4"/>
  <c r="AP28" i="2"/>
  <c r="AQ28" i="2" s="1"/>
  <c r="T28" i="2"/>
  <c r="E28" i="2"/>
  <c r="Y3" i="2" l="1"/>
  <c r="U7" i="4"/>
  <c r="AC25" i="4"/>
  <c r="U25" i="4"/>
  <c r="O26" i="4"/>
  <c r="K30" i="4"/>
  <c r="AE8" i="4"/>
  <c r="O15" i="4"/>
  <c r="U8" i="4"/>
  <c r="O24" i="4"/>
  <c r="AJ16" i="4"/>
  <c r="U16" i="4"/>
  <c r="U24" i="4" s="1"/>
  <c r="Z29" i="4"/>
  <c r="AO27" i="4"/>
  <c r="AO29" i="4" s="1"/>
  <c r="AO30" i="4" s="1"/>
  <c r="F25" i="4"/>
  <c r="J8" i="2"/>
  <c r="AP9" i="2"/>
  <c r="AP12" i="2"/>
  <c r="AQ12" i="2" s="1"/>
  <c r="AP13" i="2"/>
  <c r="AQ13" i="2" s="1"/>
  <c r="AP14" i="2"/>
  <c r="AQ14" i="2" s="1"/>
  <c r="AP15" i="2"/>
  <c r="AQ15" i="2" s="1"/>
  <c r="AP16" i="2"/>
  <c r="AQ16" i="2" s="1"/>
  <c r="AP17" i="2"/>
  <c r="AQ17" i="2" s="1"/>
  <c r="AP18" i="2"/>
  <c r="AQ18" i="2" s="1"/>
  <c r="AP19" i="2"/>
  <c r="AQ19" i="2" s="1"/>
  <c r="AP20" i="2"/>
  <c r="AQ20" i="2" s="1"/>
  <c r="AP21" i="2"/>
  <c r="AQ21" i="2" s="1"/>
  <c r="AP22" i="2"/>
  <c r="AQ22" i="2" s="1"/>
  <c r="AP23" i="2"/>
  <c r="AQ23" i="2" s="1"/>
  <c r="AP24" i="2"/>
  <c r="AQ24" i="2" s="1"/>
  <c r="AP27" i="2"/>
  <c r="AP31" i="2"/>
  <c r="AP32" i="2"/>
  <c r="AP33" i="2"/>
  <c r="AP34" i="2"/>
  <c r="AP35" i="2"/>
  <c r="AP36" i="2"/>
  <c r="AP37" i="2"/>
  <c r="AP38" i="2"/>
  <c r="AP40" i="2"/>
  <c r="AP41" i="2"/>
  <c r="AP42" i="2"/>
  <c r="AP44" i="2"/>
  <c r="AP45" i="2"/>
  <c r="AP47" i="2"/>
  <c r="AP49" i="2"/>
  <c r="AP50" i="2"/>
  <c r="AP51" i="2"/>
  <c r="AP53" i="2"/>
  <c r="AP54" i="2"/>
  <c r="AP55" i="2"/>
  <c r="AP56" i="2"/>
  <c r="AP57" i="2"/>
  <c r="AP58" i="2"/>
  <c r="X7" i="2"/>
  <c r="AI61" i="2"/>
  <c r="AJ61" i="2"/>
  <c r="AK61" i="2"/>
  <c r="AL61" i="2"/>
  <c r="AM61" i="2"/>
  <c r="AN61" i="2"/>
  <c r="AO61" i="2"/>
  <c r="U59" i="2"/>
  <c r="AI59" i="2"/>
  <c r="AJ59" i="2"/>
  <c r="AK59" i="2"/>
  <c r="AL59" i="2"/>
  <c r="AM59" i="2"/>
  <c r="AN59" i="2"/>
  <c r="AO59" i="2"/>
  <c r="AI52" i="2"/>
  <c r="AJ52" i="2"/>
  <c r="AL52" i="2"/>
  <c r="AM52" i="2"/>
  <c r="AN52" i="2"/>
  <c r="AO52" i="2"/>
  <c r="AJ46" i="2"/>
  <c r="AK46" i="2"/>
  <c r="AL46" i="2"/>
  <c r="AM46" i="2"/>
  <c r="AN46" i="2"/>
  <c r="AO46" i="2"/>
  <c r="T11" i="2"/>
  <c r="AN11" i="2"/>
  <c r="AQ27" i="4" l="1"/>
  <c r="AR27" i="4" s="1"/>
  <c r="U15" i="4"/>
  <c r="AQ25" i="4"/>
  <c r="AR25" i="4" s="1"/>
  <c r="AC26" i="4"/>
  <c r="AQ16" i="4"/>
  <c r="AR16" i="4" s="1"/>
  <c r="AJ24" i="4"/>
  <c r="AQ8" i="4"/>
  <c r="AR8" i="4" s="1"/>
  <c r="AE15" i="4"/>
  <c r="Z30" i="4"/>
  <c r="O30" i="4"/>
  <c r="F26" i="4"/>
  <c r="F30" i="4" s="1"/>
  <c r="AT25" i="4"/>
  <c r="AV30" i="4" s="1"/>
  <c r="AV31" i="4" s="1"/>
  <c r="AN25" i="2"/>
  <c r="AN60" i="2" s="1"/>
  <c r="AN62" i="2" s="1"/>
  <c r="AD11" i="2"/>
  <c r="X25" i="2"/>
  <c r="N8" i="2"/>
  <c r="AK8" i="2"/>
  <c r="AK25" i="2" s="1"/>
  <c r="AK60" i="2" s="1"/>
  <c r="AO60" i="2"/>
  <c r="AO62" i="2" s="1"/>
  <c r="AP7" i="2"/>
  <c r="AQ7" i="2" s="1"/>
  <c r="AJ60" i="2"/>
  <c r="AJ62" i="2" s="1"/>
  <c r="AM60" i="2"/>
  <c r="AM62" i="2" s="1"/>
  <c r="AL60" i="2"/>
  <c r="AL62" i="2" s="1"/>
  <c r="X3" i="2" l="1"/>
  <c r="AQ24" i="4"/>
  <c r="AJ30" i="4"/>
  <c r="AQ26" i="4"/>
  <c r="AC30" i="4"/>
  <c r="AE30" i="4"/>
  <c r="AQ15" i="4"/>
  <c r="AR15" i="4" s="1"/>
  <c r="AP8" i="2"/>
  <c r="AQ8" i="2" s="1"/>
  <c r="T8" i="2"/>
  <c r="AP11" i="2"/>
  <c r="AQ11" i="2" s="1"/>
  <c r="AK62" i="2"/>
  <c r="I20" i="2" l="1"/>
  <c r="AQ47" i="2"/>
  <c r="AQ53" i="2"/>
  <c r="N9" i="2" l="1"/>
  <c r="I31" i="2"/>
  <c r="I32" i="2"/>
  <c r="I33" i="2"/>
  <c r="I35" i="2"/>
  <c r="I36" i="2"/>
  <c r="I37" i="2"/>
  <c r="I38" i="2"/>
  <c r="I40" i="2"/>
  <c r="I41" i="2"/>
  <c r="I42" i="2"/>
  <c r="I45" i="2"/>
  <c r="T22" i="2"/>
  <c r="O9" i="2" l="1"/>
  <c r="O25" i="2" s="1"/>
  <c r="M25" i="2"/>
  <c r="H25" i="2"/>
  <c r="AQ9" i="2"/>
  <c r="J25" i="2"/>
  <c r="I10" i="2"/>
  <c r="H60" i="2"/>
  <c r="I8" i="2"/>
  <c r="I11" i="2"/>
  <c r="I12" i="2"/>
  <c r="I21" i="2"/>
  <c r="I22" i="2"/>
  <c r="I23" i="2"/>
  <c r="I7" i="2"/>
  <c r="I48" i="2"/>
  <c r="J48" i="2" s="1"/>
  <c r="I49" i="2"/>
  <c r="N48" i="2" l="1"/>
  <c r="T48" i="2" s="1"/>
  <c r="T9" i="2"/>
  <c r="I25" i="2"/>
  <c r="N10" i="2"/>
  <c r="N25" i="2" s="1"/>
  <c r="T25" i="2" s="1"/>
  <c r="R59" i="2"/>
  <c r="Q59" i="2"/>
  <c r="P59" i="2"/>
  <c r="O59" i="2"/>
  <c r="L59" i="2"/>
  <c r="L60" i="2" s="1"/>
  <c r="J59" i="2"/>
  <c r="G59" i="2"/>
  <c r="AQ57" i="2"/>
  <c r="AQ56" i="2"/>
  <c r="AQ55" i="2"/>
  <c r="AQ54" i="2"/>
  <c r="U52" i="2"/>
  <c r="R52" i="2"/>
  <c r="Q52" i="2"/>
  <c r="P52" i="2"/>
  <c r="O52" i="2"/>
  <c r="G52" i="2"/>
  <c r="AQ51" i="2"/>
  <c r="I51" i="2"/>
  <c r="E51" i="2"/>
  <c r="AQ49" i="2"/>
  <c r="E49" i="2"/>
  <c r="U46" i="2"/>
  <c r="R46" i="2"/>
  <c r="Q46" i="2"/>
  <c r="O46" i="2"/>
  <c r="G46" i="2"/>
  <c r="AQ45" i="2"/>
  <c r="AQ44" i="2"/>
  <c r="AQ42" i="2"/>
  <c r="E42" i="2"/>
  <c r="AQ41" i="2"/>
  <c r="E41" i="2"/>
  <c r="AQ40" i="2"/>
  <c r="E40" i="2"/>
  <c r="AQ38" i="2"/>
  <c r="AQ37" i="2"/>
  <c r="E37" i="2"/>
  <c r="AQ36" i="2"/>
  <c r="E36" i="2"/>
  <c r="AQ35" i="2"/>
  <c r="E35" i="2"/>
  <c r="AQ34" i="2"/>
  <c r="E34" i="2"/>
  <c r="AQ33" i="2"/>
  <c r="AQ32" i="2"/>
  <c r="AQ27" i="2"/>
  <c r="E20" i="2"/>
  <c r="E71" i="1"/>
  <c r="E68" i="1"/>
  <c r="E75" i="1"/>
  <c r="E76" i="1"/>
  <c r="E69" i="1"/>
  <c r="E74" i="1"/>
  <c r="E73" i="1"/>
  <c r="E72" i="1"/>
  <c r="E70" i="1"/>
  <c r="E67" i="1"/>
  <c r="Q77" i="1"/>
  <c r="P77" i="1"/>
  <c r="O77" i="1"/>
  <c r="N77" i="1"/>
  <c r="M77" i="1"/>
  <c r="L77" i="1"/>
  <c r="I77" i="1"/>
  <c r="N65" i="1"/>
  <c r="M65" i="1"/>
  <c r="L65" i="1"/>
  <c r="F77" i="1"/>
  <c r="G77" i="1"/>
  <c r="K77" i="1"/>
  <c r="Q48" i="1"/>
  <c r="Q23" i="1"/>
  <c r="E64" i="1"/>
  <c r="E58" i="1"/>
  <c r="E62" i="1"/>
  <c r="E60" i="1"/>
  <c r="E61" i="1"/>
  <c r="E63" i="1"/>
  <c r="E56" i="1"/>
  <c r="E55" i="1"/>
  <c r="E54" i="1"/>
  <c r="E53" i="1"/>
  <c r="E52" i="1"/>
  <c r="E51" i="1"/>
  <c r="E50" i="1"/>
  <c r="E47" i="1"/>
  <c r="E44" i="1"/>
  <c r="E43" i="1"/>
  <c r="E37" i="1"/>
  <c r="E45" i="1"/>
  <c r="E42" i="1"/>
  <c r="E41" i="1"/>
  <c r="E40" i="1"/>
  <c r="E39" i="1"/>
  <c r="E38" i="1"/>
  <c r="E31" i="1"/>
  <c r="E46" i="1"/>
  <c r="E35" i="1"/>
  <c r="E30" i="1"/>
  <c r="E36" i="1"/>
  <c r="E29" i="1"/>
  <c r="E28" i="1"/>
  <c r="E34" i="1"/>
  <c r="E27" i="1"/>
  <c r="E25" i="1"/>
  <c r="E7" i="1"/>
  <c r="E8" i="1"/>
  <c r="E9" i="1"/>
  <c r="E13" i="1"/>
  <c r="E10" i="1"/>
  <c r="E6" i="1"/>
  <c r="E11" i="1"/>
  <c r="E15" i="1"/>
  <c r="E16" i="1"/>
  <c r="E17" i="1"/>
  <c r="E18" i="1"/>
  <c r="E14" i="1"/>
  <c r="E12" i="1"/>
  <c r="E19" i="1"/>
  <c r="E20" i="1"/>
  <c r="E21" i="1"/>
  <c r="E22" i="1"/>
  <c r="E5" i="1"/>
  <c r="T59" i="2" l="1"/>
  <c r="R60" i="2"/>
  <c r="P60" i="2"/>
  <c r="O60" i="2"/>
  <c r="Q60" i="2"/>
  <c r="E25" i="2"/>
  <c r="AB48" i="2"/>
  <c r="N52" i="2"/>
  <c r="T52" i="2" s="1"/>
  <c r="E48" i="2"/>
  <c r="T10" i="2"/>
  <c r="AD10" i="2"/>
  <c r="AD25" i="2" s="1"/>
  <c r="G60" i="2"/>
  <c r="E59" i="2"/>
  <c r="U60" i="2"/>
  <c r="E77" i="1"/>
  <c r="E23" i="1"/>
  <c r="K78" i="1"/>
  <c r="Q65" i="1"/>
  <c r="Q78" i="1" s="1"/>
  <c r="P65" i="1"/>
  <c r="P48" i="1"/>
  <c r="O48" i="1"/>
  <c r="N48" i="1"/>
  <c r="M48" i="1"/>
  <c r="P23" i="1"/>
  <c r="O23" i="1"/>
  <c r="N23" i="1"/>
  <c r="M23" i="1"/>
  <c r="L23" i="1"/>
  <c r="I23" i="1"/>
  <c r="J87" i="1"/>
  <c r="J86" i="1"/>
  <c r="J85" i="1"/>
  <c r="AJ67" i="1"/>
  <c r="AK67" i="1" s="1"/>
  <c r="H67" i="1"/>
  <c r="AJ68" i="1"/>
  <c r="AK68" i="1" s="1"/>
  <c r="H68" i="1"/>
  <c r="J68" i="1" s="1"/>
  <c r="AJ75" i="1"/>
  <c r="AK75" i="1" s="1"/>
  <c r="H75" i="1"/>
  <c r="J75" i="1" s="1"/>
  <c r="AJ76" i="1"/>
  <c r="AK76" i="1" s="1"/>
  <c r="H76" i="1"/>
  <c r="J76" i="1" s="1"/>
  <c r="AJ69" i="1"/>
  <c r="AK69" i="1" s="1"/>
  <c r="H69" i="1"/>
  <c r="J69" i="1" s="1"/>
  <c r="AJ73" i="1"/>
  <c r="AK73" i="1" s="1"/>
  <c r="H73" i="1"/>
  <c r="J73" i="1" s="1"/>
  <c r="AJ74" i="1"/>
  <c r="AK74" i="1" s="1"/>
  <c r="H74" i="1"/>
  <c r="J74" i="1" s="1"/>
  <c r="AJ71" i="1"/>
  <c r="AK71" i="1" s="1"/>
  <c r="H71" i="1"/>
  <c r="J71" i="1" s="1"/>
  <c r="AJ72" i="1"/>
  <c r="AK72" i="1" s="1"/>
  <c r="H72" i="1"/>
  <c r="J72" i="1" s="1"/>
  <c r="AJ70" i="1"/>
  <c r="AK70" i="1" s="1"/>
  <c r="H70" i="1"/>
  <c r="O65" i="1"/>
  <c r="G65" i="1"/>
  <c r="F65" i="1"/>
  <c r="AJ64" i="1"/>
  <c r="AK64" i="1" s="1"/>
  <c r="H64" i="1"/>
  <c r="J64" i="1" s="1"/>
  <c r="AJ58" i="1"/>
  <c r="AK58" i="1" s="1"/>
  <c r="H58" i="1"/>
  <c r="J58" i="1" s="1"/>
  <c r="AJ62" i="1"/>
  <c r="AK62" i="1" s="1"/>
  <c r="H62" i="1"/>
  <c r="J62" i="1" s="1"/>
  <c r="AJ60" i="1"/>
  <c r="AK60" i="1" s="1"/>
  <c r="H60" i="1"/>
  <c r="J60" i="1" s="1"/>
  <c r="AJ61" i="1"/>
  <c r="AK61" i="1" s="1"/>
  <c r="H61" i="1"/>
  <c r="J61" i="1" s="1"/>
  <c r="AJ63" i="1"/>
  <c r="AK63" i="1" s="1"/>
  <c r="H63" i="1"/>
  <c r="J63" i="1" s="1"/>
  <c r="AJ59" i="1"/>
  <c r="AK59" i="1" s="1"/>
  <c r="H59" i="1"/>
  <c r="J59" i="1" s="1"/>
  <c r="AJ57" i="1"/>
  <c r="H57" i="1"/>
  <c r="I57" i="1" s="1"/>
  <c r="AJ56" i="1"/>
  <c r="AK56" i="1" s="1"/>
  <c r="H56" i="1"/>
  <c r="J56" i="1" s="1"/>
  <c r="AJ55" i="1"/>
  <c r="AK55" i="1" s="1"/>
  <c r="H55" i="1"/>
  <c r="J55" i="1" s="1"/>
  <c r="AJ54" i="1"/>
  <c r="AK54" i="1" s="1"/>
  <c r="H54" i="1"/>
  <c r="J54" i="1" s="1"/>
  <c r="AJ53" i="1"/>
  <c r="AK53" i="1" s="1"/>
  <c r="H53" i="1"/>
  <c r="J53" i="1" s="1"/>
  <c r="AJ52" i="1"/>
  <c r="AK52" i="1" s="1"/>
  <c r="H52" i="1"/>
  <c r="J52" i="1" s="1"/>
  <c r="AJ51" i="1"/>
  <c r="AK51" i="1" s="1"/>
  <c r="H51" i="1"/>
  <c r="J51" i="1" s="1"/>
  <c r="AJ50" i="1"/>
  <c r="AK50" i="1" s="1"/>
  <c r="H50" i="1"/>
  <c r="J50" i="1" s="1"/>
  <c r="G48" i="1"/>
  <c r="F48" i="1"/>
  <c r="AJ47" i="1"/>
  <c r="AK47" i="1" s="1"/>
  <c r="H47" i="1"/>
  <c r="J47" i="1" s="1"/>
  <c r="AJ44" i="1"/>
  <c r="AK44" i="1" s="1"/>
  <c r="H44" i="1"/>
  <c r="J44" i="1" s="1"/>
  <c r="AJ43" i="1"/>
  <c r="AK43" i="1" s="1"/>
  <c r="H43" i="1"/>
  <c r="J43" i="1" s="1"/>
  <c r="AJ37" i="1"/>
  <c r="AK37" i="1" s="1"/>
  <c r="H37" i="1"/>
  <c r="J37" i="1" s="1"/>
  <c r="AJ45" i="1"/>
  <c r="AK45" i="1" s="1"/>
  <c r="H45" i="1"/>
  <c r="J45" i="1" s="1"/>
  <c r="AJ42" i="1"/>
  <c r="AK42" i="1" s="1"/>
  <c r="H42" i="1"/>
  <c r="J42" i="1" s="1"/>
  <c r="AJ41" i="1"/>
  <c r="AK41" i="1" s="1"/>
  <c r="H41" i="1"/>
  <c r="J41" i="1" s="1"/>
  <c r="AJ40" i="1"/>
  <c r="AK40" i="1" s="1"/>
  <c r="H40" i="1"/>
  <c r="J40" i="1" s="1"/>
  <c r="AJ39" i="1"/>
  <c r="AK39" i="1" s="1"/>
  <c r="H39" i="1"/>
  <c r="J39" i="1" s="1"/>
  <c r="AJ38" i="1"/>
  <c r="AK38" i="1" s="1"/>
  <c r="H38" i="1"/>
  <c r="J38" i="1" s="1"/>
  <c r="AJ31" i="1"/>
  <c r="AK31" i="1" s="1"/>
  <c r="H31" i="1"/>
  <c r="J31" i="1" s="1"/>
  <c r="AJ46" i="1"/>
  <c r="AK46" i="1" s="1"/>
  <c r="H46" i="1"/>
  <c r="J46" i="1" s="1"/>
  <c r="AJ35" i="1"/>
  <c r="AK35" i="1" s="1"/>
  <c r="H35" i="1"/>
  <c r="J35" i="1" s="1"/>
  <c r="AJ30" i="1"/>
  <c r="AK30" i="1" s="1"/>
  <c r="H30" i="1"/>
  <c r="J30" i="1" s="1"/>
  <c r="AJ32" i="1"/>
  <c r="AK32" i="1" s="1"/>
  <c r="L32" i="1"/>
  <c r="E32" i="1" s="1"/>
  <c r="H32" i="1"/>
  <c r="J32" i="1" s="1"/>
  <c r="AJ36" i="1"/>
  <c r="AK36" i="1" s="1"/>
  <c r="H36" i="1"/>
  <c r="J36" i="1" s="1"/>
  <c r="AJ29" i="1"/>
  <c r="AK29" i="1" s="1"/>
  <c r="H29" i="1"/>
  <c r="J29" i="1" s="1"/>
  <c r="AJ28" i="1"/>
  <c r="AK28" i="1" s="1"/>
  <c r="J28" i="1"/>
  <c r="H28" i="1"/>
  <c r="AJ34" i="1"/>
  <c r="AK34" i="1" s="1"/>
  <c r="H34" i="1"/>
  <c r="J34" i="1" s="1"/>
  <c r="AJ27" i="1"/>
  <c r="AK27" i="1" s="1"/>
  <c r="J27" i="1"/>
  <c r="H27" i="1"/>
  <c r="AJ26" i="1"/>
  <c r="H26" i="1"/>
  <c r="I26" i="1" s="1"/>
  <c r="E26" i="1" s="1"/>
  <c r="AJ33" i="1"/>
  <c r="H33" i="1"/>
  <c r="AK25" i="1"/>
  <c r="H25" i="1"/>
  <c r="J25" i="1" s="1"/>
  <c r="AJ24" i="1"/>
  <c r="AK24" i="1" s="1"/>
  <c r="AJ23" i="1"/>
  <c r="G23" i="1"/>
  <c r="F23" i="1"/>
  <c r="AJ22" i="1"/>
  <c r="AK22" i="1" s="1"/>
  <c r="H22" i="1"/>
  <c r="J22" i="1" s="1"/>
  <c r="AJ21" i="1"/>
  <c r="AK21" i="1" s="1"/>
  <c r="J21" i="1"/>
  <c r="H21" i="1"/>
  <c r="AJ20" i="1"/>
  <c r="AK20" i="1" s="1"/>
  <c r="H20" i="1"/>
  <c r="J20" i="1" s="1"/>
  <c r="AJ19" i="1"/>
  <c r="AK19" i="1" s="1"/>
  <c r="J19" i="1"/>
  <c r="H19" i="1"/>
  <c r="AJ12" i="1"/>
  <c r="AK12" i="1" s="1"/>
  <c r="H12" i="1"/>
  <c r="J12" i="1" s="1"/>
  <c r="AJ14" i="1"/>
  <c r="AK14" i="1" s="1"/>
  <c r="H14" i="1"/>
  <c r="J14" i="1" s="1"/>
  <c r="AJ18" i="1"/>
  <c r="AK18" i="1" s="1"/>
  <c r="H18" i="1"/>
  <c r="J18" i="1" s="1"/>
  <c r="AJ17" i="1"/>
  <c r="AK17" i="1" s="1"/>
  <c r="H17" i="1"/>
  <c r="J17" i="1" s="1"/>
  <c r="AJ16" i="1"/>
  <c r="AK16" i="1" s="1"/>
  <c r="H16" i="1"/>
  <c r="J16" i="1" s="1"/>
  <c r="AJ15" i="1"/>
  <c r="AK15" i="1" s="1"/>
  <c r="H15" i="1"/>
  <c r="J15" i="1" s="1"/>
  <c r="AJ11" i="1"/>
  <c r="AK11" i="1" s="1"/>
  <c r="H11" i="1"/>
  <c r="J11" i="1" s="1"/>
  <c r="AJ6" i="1"/>
  <c r="AK6" i="1" s="1"/>
  <c r="H6" i="1"/>
  <c r="J6" i="1" s="1"/>
  <c r="AJ10" i="1"/>
  <c r="AK10" i="1" s="1"/>
  <c r="H10" i="1"/>
  <c r="J10" i="1" s="1"/>
  <c r="AJ13" i="1"/>
  <c r="AK13" i="1" s="1"/>
  <c r="H13" i="1"/>
  <c r="J13" i="1" s="1"/>
  <c r="AJ9" i="1"/>
  <c r="AK9" i="1" s="1"/>
  <c r="H9" i="1"/>
  <c r="J9" i="1" s="1"/>
  <c r="AJ8" i="1"/>
  <c r="AK8" i="1" s="1"/>
  <c r="H8" i="1"/>
  <c r="J8" i="1" s="1"/>
  <c r="AJ7" i="1"/>
  <c r="AK7" i="1" s="1"/>
  <c r="H7" i="1"/>
  <c r="J7" i="1" s="1"/>
  <c r="AJ5" i="1"/>
  <c r="AK5" i="1" s="1"/>
  <c r="H5" i="1"/>
  <c r="AC1" i="1"/>
  <c r="AP25" i="2" l="1"/>
  <c r="AQ25" i="2" s="1"/>
  <c r="AD60" i="2"/>
  <c r="AD62" i="2" s="1"/>
  <c r="AP48" i="2"/>
  <c r="AQ48" i="2" s="1"/>
  <c r="AB52" i="2"/>
  <c r="AP10" i="2"/>
  <c r="AQ10" i="2" s="1"/>
  <c r="J67" i="1"/>
  <c r="H77" i="1"/>
  <c r="E57" i="1"/>
  <c r="E65" i="1" s="1"/>
  <c r="I65" i="1"/>
  <c r="G78" i="1"/>
  <c r="P78" i="1"/>
  <c r="M78" i="1"/>
  <c r="N78" i="1"/>
  <c r="O78" i="1"/>
  <c r="F78" i="1"/>
  <c r="L48" i="1"/>
  <c r="L78" i="1" s="1"/>
  <c r="J57" i="1"/>
  <c r="J65" i="1" s="1"/>
  <c r="H23" i="1"/>
  <c r="AK57" i="1"/>
  <c r="H48" i="1"/>
  <c r="J26" i="1"/>
  <c r="AK26" i="1"/>
  <c r="J5" i="1"/>
  <c r="I33" i="1"/>
  <c r="E33" i="1" s="1"/>
  <c r="E48" i="1" s="1"/>
  <c r="J70" i="1"/>
  <c r="H65" i="1"/>
  <c r="AB60" i="2" l="1"/>
  <c r="AB62" i="2" s="1"/>
  <c r="AP52" i="2"/>
  <c r="J77" i="1"/>
  <c r="J23" i="1"/>
  <c r="I48" i="1"/>
  <c r="I78" i="1" s="1"/>
  <c r="H78" i="1"/>
  <c r="AK33" i="1"/>
  <c r="J33" i="1"/>
  <c r="J48" i="1" s="1"/>
  <c r="J78" i="1" l="1"/>
  <c r="E78" i="1"/>
  <c r="F59" i="2" l="1"/>
  <c r="I59" i="2"/>
  <c r="F52" i="2" l="1"/>
  <c r="I50" i="2"/>
  <c r="I52" i="2" s="1"/>
  <c r="E50" i="2"/>
  <c r="E52" i="2" l="1"/>
  <c r="J52" i="2"/>
  <c r="AQ50" i="2"/>
  <c r="F46" i="2"/>
  <c r="F60" i="2" s="1"/>
  <c r="I46" i="2"/>
  <c r="I60" i="2" s="1"/>
  <c r="T12" i="2" l="1"/>
  <c r="J46" i="2"/>
  <c r="J60" i="2" s="1"/>
  <c r="AQ31" i="2"/>
  <c r="E46" i="2" l="1"/>
  <c r="N46" i="2"/>
  <c r="N60" i="2" l="1"/>
  <c r="T46" i="2"/>
  <c r="T60" i="2" s="1"/>
  <c r="E60" i="2"/>
  <c r="AI46" i="2"/>
  <c r="AP46" i="2" l="1"/>
  <c r="AI60" i="2"/>
  <c r="AI62" i="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tc={15DCF8A5-7FA8-4B5E-895F-960E30E7D124}</author>
    <author>tc={22AADA24-5DA6-411A-9447-C901A8DDC9E6}</author>
    <author>tc={62F0CE45-5CF5-45F5-974D-376ADA240D03}</author>
    <author>tc={F6BADB24-3003-4189-B4A4-861F739AB043}</author>
  </authors>
  <commentList>
    <comment ref="AG3" authorId="0" shapeId="0" xr:uid="{15DCF8A5-7FA8-4B5E-895F-960E30E7D124}">
      <text>
        <t>[Threaded comment]
Your version of Excel allows you to read this threaded comment; however, any edits to it will get removed if the file is opened in a newer version of Excel. Learn more: https://go.microsoft.com/fwlink/?linkid=870924
Comment:
    Sidewalk</t>
      </text>
    </comment>
    <comment ref="AH3" authorId="1" shapeId="0" xr:uid="{22AADA24-5DA6-411A-9447-C901A8DDC9E6}">
      <text>
        <t>[Threaded comment]
Your version of Excel allows you to read this threaded comment; however, any edits to it will get removed if the file is opened in a newer version of Excel. Learn more: https://go.microsoft.com/fwlink/?linkid=870924
Comment:
    Stormwater Capital</t>
      </text>
    </comment>
    <comment ref="AI3" authorId="2" shapeId="0" xr:uid="{62F0CE45-5CF5-45F5-974D-376ADA240D03}">
      <text>
        <t>[Threaded comment]
Your version of Excel allows you to read this threaded comment; however, any edits to it will get removed if the file is opened in a newer version of Excel. Learn more: https://go.microsoft.com/fwlink/?linkid=870924
Comment:
    Other Capital</t>
      </text>
    </comment>
    <comment ref="K67" authorId="3" shapeId="0" xr:uid="{F6BADB24-3003-4189-B4A4-861F739AB043}">
      <text>
        <t>[Threaded comment]
Your version of Excel allows you to read this threaded comment; however, any edits to it will get removed if the file is opened in a newer version of Excel. Learn more: https://go.microsoft.com/fwlink/?linkid=870924
Comment:
    Kim was this feasibility, design &amp; engineering only?
Reply:
    It should be design and construction. I guessed at the construction cost for now. It will need to be refined once we are in the design phase. 
Reply:
    Okay</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tc={F970AEB6-0DDD-44D1-BF52-AA18AB8F0E31}</author>
    <author>Barbara Stevens</author>
    <author>tc={79775D1F-AF5F-4698-9F7A-CA3F5DBA735A}</author>
    <author>tc={81BFA9DA-7692-4660-8D46-DDCCDD5BEA06}</author>
    <author>tc={96EEE375-A76A-4A70-8A6F-458124925D19}</author>
    <author>tc={D53C7AE6-8937-4B56-918A-E0DF37328846}</author>
    <author>tc={7663900E-FA70-4D16-A3E7-375A5EFADD83}</author>
    <author>tc={EE2F4EE0-B2D5-4AAB-8090-55EDE44E3845}</author>
    <author>tc={E3A91D3F-01DE-4CCA-96B0-0B6EAEE55069}</author>
    <author>tc={343EA1A7-5068-41A5-9529-6755DC65F32B}</author>
    <author>tc={E3D71AE6-B5F7-4846-A6E2-0F64BE0F5B62}</author>
    <author>tc={D6014D8B-BBB8-43F7-A1FA-BEC9D8C485D1}</author>
    <author>tc={F8322128-3F6F-46FE-8C41-444A4831C4A9}</author>
    <author>tc={343279DD-FC8F-4032-9ABE-1B3D90AA2716}</author>
    <author>tc={A8168B30-28B9-41E2-870B-9EBAB3E34375}</author>
    <author>tc={D9F96302-AAAB-4900-B6EC-FFC0689EC563}</author>
    <author>tc={346E2929-B595-45CC-854C-F0CEA8063FA3}</author>
    <author>tc={F05A0833-3EF2-4B02-B80E-198B196D779B}</author>
    <author>tc={6CC7D173-5A9B-4BDF-A94C-B9AAE3BAC63A}</author>
    <author>tc={CDC57DB2-5F16-429C-AF8B-9D9BAA87424C}</author>
    <author>tc={8113CE93-A7F3-4AF1-A645-32D2583B1933}</author>
    <author>tc={13B4C442-DB47-4BA8-AA37-244AEC04E90C}</author>
    <author>tc={CF70700B-0D0D-4D45-8A35-74F710CF1342}</author>
    <author>tc={4F05B886-69CB-408B-8A5A-380BE5F1C542}</author>
    <author>tc={7B120EAD-9179-4F61-B0DB-2C6A1BB7A64A}</author>
    <author>tc={1D2E4D25-CA50-4008-802B-8530D6BB4EF5}</author>
    <author>tc={0DA88342-00A0-4376-A628-FB9F7C07BDD7}</author>
    <author>tc={4D9BE693-5B0F-4D4D-AFD6-796FB4B05614}</author>
  </authors>
  <commentList>
    <comment ref="AK1" authorId="0" shapeId="0" xr:uid="{F970AEB6-0DDD-44D1-BF52-AA18AB8F0E31}">
      <text>
        <t>[Threaded comment]
Your version of Excel allows you to read this threaded comment; however, any edits to it will get removed if the file is opened in a newer version of Excel. Learn more: https://go.microsoft.com/fwlink/?linkid=870924
Comment:
    @Aaron Halverson this $3M is already claimed by the Civic Campus and Museum.</t>
      </text>
    </comment>
    <comment ref="AN1" authorId="1" shapeId="0" xr:uid="{A822A22F-67FD-4599-94D6-AAB683912699}">
      <text>
        <r>
          <rPr>
            <b/>
            <sz val="9"/>
            <color indexed="81"/>
            <rFont val="Tahoma"/>
            <family val="2"/>
          </rPr>
          <t>Barbara Stevens:</t>
        </r>
        <r>
          <rPr>
            <sz val="9"/>
            <color indexed="81"/>
            <rFont val="Tahoma"/>
            <family val="2"/>
          </rPr>
          <t xml:space="preserve">
Includes $911,000 PWTF budgeted to be "received" in 2025</t>
        </r>
      </text>
    </comment>
    <comment ref="AO1" authorId="1" shapeId="0" xr:uid="{C2E93F59-3E9F-4C7D-A570-AD85C0BBB7EB}">
      <text>
        <r>
          <rPr>
            <b/>
            <sz val="9"/>
            <color indexed="81"/>
            <rFont val="Tahoma"/>
            <family val="2"/>
          </rPr>
          <t>Barbara Stevens:</t>
        </r>
        <r>
          <rPr>
            <sz val="9"/>
            <color indexed="81"/>
            <rFont val="Tahoma"/>
            <family val="2"/>
          </rPr>
          <t xml:space="preserve">
This is the est $600K for Sewer contribution to 131st project</t>
        </r>
      </text>
    </comment>
    <comment ref="AI4" authorId="1" shapeId="0" xr:uid="{D9995990-D05C-44D7-B740-C4C45C438316}">
      <text>
        <r>
          <rPr>
            <b/>
            <sz val="9"/>
            <color indexed="81"/>
            <rFont val="Tahoma"/>
            <family val="2"/>
          </rPr>
          <t>Barbara Stevens:</t>
        </r>
        <r>
          <rPr>
            <sz val="9"/>
            <color indexed="81"/>
            <rFont val="Tahoma"/>
            <family val="2"/>
          </rPr>
          <t xml:space="preserve">
Park Mitigation</t>
        </r>
      </text>
    </comment>
    <comment ref="AM4" authorId="2" shapeId="0" xr:uid="{79775D1F-AF5F-4698-9F7A-CA3F5DBA735A}">
      <text>
        <t>[Threaded comment]
Your version of Excel allows you to read this threaded comment; however, any edits to it will get removed if the file is opened in a newer version of Excel. Learn more: https://go.microsoft.com/fwlink/?linkid=870924
Comment:
    Sidewalk</t>
      </text>
    </comment>
    <comment ref="AN4" authorId="3" shapeId="0" xr:uid="{81BFA9DA-7692-4660-8D46-DDCCDD5BEA06}">
      <text>
        <t>[Threaded comment]
Your version of Excel allows you to read this threaded comment; however, any edits to it will get removed if the file is opened in a newer version of Excel. Learn more: https://go.microsoft.com/fwlink/?linkid=870924
Comment:
    Stormwater Capital</t>
      </text>
    </comment>
    <comment ref="AO4" authorId="4" shapeId="0" xr:uid="{96EEE375-A76A-4A70-8A6F-458124925D19}">
      <text>
        <t>[Threaded comment]
Your version of Excel allows you to read this threaded comment; however, any edits to it will get removed if the file is opened in a newer version of Excel. Learn more: https://go.microsoft.com/fwlink/?linkid=870924
Comment:
    Other Capital</t>
      </text>
    </comment>
    <comment ref="F8" authorId="5" shapeId="0" xr:uid="{D53C7AE6-8937-4B56-918A-E0DF37328846}">
      <text>
        <t xml:space="preserve">[Threaded comment]
Your version of Excel allows you to read this threaded comment; however, any edits to it will get removed if the file is opened in a newer version of Excel. Learn more: https://go.microsoft.com/fwlink/?linkid=870924
Comment:
    @Erik Mangold this was not the 2025 Budget amount. It was only $1,777,000. The extra $700,000 was an estimate that Kim thought we would get the Sewer District to pay. That is the “Other” capital column and why it is coded green. </t>
      </text>
    </comment>
    <comment ref="F9" authorId="6" shapeId="0" xr:uid="{7663900E-FA70-4D16-A3E7-375A5EFADD83}">
      <text>
        <t>[Threaded comment]
Your version of Excel allows you to read this threaded comment; however, any edits to it will get removed if the file is opened in a newer version of Excel. Learn more: https://go.microsoft.com/fwlink/?linkid=870924
Comment:
    The 2025 budget was $374,825</t>
      </text>
    </comment>
    <comment ref="F11" authorId="7" shapeId="0" xr:uid="{EE2F4EE0-B2D5-4AAB-8090-55EDE44E3845}">
      <text>
        <t>[Threaded comment]
Your version of Excel allows you to read this threaded comment; however, any edits to it will get removed if the file is opened in a newer version of Excel. Learn more: https://go.microsoft.com/fwlink/?linkid=870924
Comment:
    No budget in 2025. $0
Reply:
    Budget amended to include grant</t>
      </text>
    </comment>
    <comment ref="N11" authorId="8" shapeId="0" xr:uid="{E3A91D3F-01DE-4CCA-96B0-0B6EAEE55069}">
      <text>
        <t xml:space="preserve">[Threaded comment]
Your version of Excel allows you to read this threaded comment; however, any edits to it will get removed if the file is opened in a newer version of Excel. Learn more: https://go.microsoft.com/fwlink/?linkid=870924
Comment:
    @Erik Mangold @Aaron Halverson I accidentally edited this cell to “a” on Friday, but the $800K SRTS grant rev, and exp of $1,950,000 (including the grant funds) is in the budget. That does not include the unsecured TIB grant. That will get added once secured.  I’ve taken a copy so it doesn’t happen again.
Reply:
    Or maybe it wasn’t me as the “show changes” says it was Aaron on 10/14, but in my copy it says it was me…??? </t>
      </text>
    </comment>
    <comment ref="J27" authorId="9" shapeId="0" xr:uid="{343EA1A7-5068-41A5-9529-6755DC65F32B}">
      <text>
        <t>[Threaded comment]
Your version of Excel allows you to read this threaded comment; however, any edits to it will get removed if the file is opened in a newer version of Excel. Learn more: https://go.microsoft.com/fwlink/?linkid=870924
Comment:
    $1,243,505 is cost for current construction contract. This does not include the pending modified landscape plan, or additional amenities such as soccer/lacrosse goals for the field, signage, trash cans, seating, etc.
Reply:
    Add $40k as placeholder - Sarah needs to calculate final amounts</t>
      </text>
    </comment>
    <comment ref="F28" authorId="10" shapeId="0" xr:uid="{E3D71AE6-B5F7-4846-A6E2-0F64BE0F5B62}">
      <text>
        <t>[Threaded comment]
Your version of Excel allows you to read this threaded comment; however, any edits to it will get removed if the file is opened in a newer version of Excel. Learn more: https://go.microsoft.com/fwlink/?linkid=870924
Comment:
    2025 Budget was $332,387.</t>
      </text>
    </comment>
    <comment ref="E29" authorId="11" shapeId="0" xr:uid="{D6014D8B-BBB8-43F7-A1FA-BEC9D8C485D1}">
      <text>
        <t>[Threaded comment]
Your version of Excel allows you to read this threaded comment; however, any edits to it will get removed if the file is opened in a newer version of Excel. Learn more: https://go.microsoft.com/fwlink/?linkid=870924
Comment:
    Reduce for scope change (was indoor recreation center - now open outdoor park)</t>
      </text>
    </comment>
    <comment ref="F29" authorId="12" shapeId="0" xr:uid="{F8322128-3F6F-46FE-8C41-444A4831C4A9}">
      <text>
        <t>[Threaded comment]
Your version of Excel allows you to read this threaded comment; however, any edits to it will get removed if the file is opened in a newer version of Excel. Learn more: https://go.microsoft.com/fwlink/?linkid=870924
Comment:
    @Erik Mangold Sarah asked for the entire budget to be rolled forward last year, so it was. The 2025 budget is $2,955,089</t>
      </text>
    </comment>
    <comment ref="J29" authorId="13" shapeId="0" xr:uid="{343279DD-FC8F-4032-9ABE-1B3D90AA2716}">
      <text>
        <t>[Threaded comment]
Your version of Excel allows you to read this threaded comment; however, any edits to it will get removed if the file is opened in a newer version of Excel. Learn more: https://go.microsoft.com/fwlink/?linkid=870924
Comment:
    Sarah modified. Design/Engineering 2026 and build 2027</t>
      </text>
    </comment>
    <comment ref="AI31" authorId="14" shapeId="0" xr:uid="{A8168B30-28B9-41E2-870B-9EBAB3E34375}">
      <text>
        <t>[Threaded comment]
Your version of Excel allows you to read this threaded comment; however, any edits to it will get removed if the file is opened in a newer version of Excel. Learn more: https://go.microsoft.com/fwlink/?linkid=870924
Comment:
    I don’t think PM-302 can be used for resurfacing a dock?</t>
      </text>
    </comment>
    <comment ref="AK31" authorId="15" shapeId="0" xr:uid="{D9F96302-AAAB-4900-B6EC-FFC0689EC563}">
      <text>
        <t>[Threaded comment]
Your version of Excel allows you to read this threaded comment; however, any edits to it will get removed if the file is opened in a newer version of Excel. Learn more: https://go.microsoft.com/fwlink/?linkid=870924
Comment:
    Moved from PM-302 - Park Mitigation must be used for new parks or new amenities, not replacements?</t>
      </text>
    </comment>
    <comment ref="F49" authorId="16" shapeId="0" xr:uid="{346E2929-B595-45CC-854C-F0CEA8063FA3}">
      <text>
        <t>[Threaded comment]
Your version of Excel allows you to read this threaded comment; however, any edits to it will get removed if the file is opened in a newer version of Excel. Learn more: https://go.microsoft.com/fwlink/?linkid=870924
Comment:
    2025 Budget $5,910,210. Included $99,910 grant</t>
      </text>
    </comment>
    <comment ref="J49" authorId="17" shapeId="0" xr:uid="{F05A0833-3EF2-4B02-B80E-198B196D779B}">
      <text>
        <t>[Threaded comment]
Your version of Excel allows you to read this threaded comment; however, any edits to it will get removed if the file is opened in a newer version of Excel. Learn more: https://go.microsoft.com/fwlink/?linkid=870924
Comment:
    @Erik Mangold this number should be $7,949,910</t>
      </text>
    </comment>
    <comment ref="AA49" authorId="18" shapeId="0" xr:uid="{6CC7D173-5A9B-4BDF-A94C-B9AAE3BAC63A}">
      <text>
        <t>[Threaded comment]
Your version of Excel allows you to read this threaded comment; however, any edits to it will get removed if the file is opened in a newer version of Excel. Learn more: https://go.microsoft.com/fwlink/?linkid=870924
Comment:
    @Erik Mangold this is $1,850,000</t>
      </text>
    </comment>
    <comment ref="AL49" authorId="19" shapeId="0" xr:uid="{CDC57DB2-5F16-429C-AF8B-9D9BAA87424C}">
      <text>
        <t>[Threaded comment]
Your version of Excel allows you to read this threaded comment; however, any edits to it will get removed if the file is opened in a newer version of Excel. Learn more: https://go.microsoft.com/fwlink/?linkid=870924
Comment:
    @Erik Mangold the rest of the budget is in 306 and will need to rolled forward in the 2026 budget.</t>
      </text>
    </comment>
    <comment ref="AO49" authorId="20" shapeId="0" xr:uid="{8113CE93-A7F3-4AF1-A645-32D2583B1933}">
      <text>
        <t>[Threaded comment]
Your version of Excel allows you to read this threaded comment; however, any edits to it will get removed if the file is opened in a newer version of Excel. Learn more: https://go.microsoft.com/fwlink/?linkid=870924
Comment:
    Sale of Chapel Hill property</t>
      </text>
    </comment>
    <comment ref="F50" authorId="21" shapeId="0" xr:uid="{13B4C442-DB47-4BA8-AA37-244AEC04E90C}">
      <text>
        <t>[Threaded comment]
Your version of Excel allows you to read this threaded comment; however, any edits to it will get removed if the file is opened in a newer version of Excel. Learn more: https://go.microsoft.com/fwlink/?linkid=870924
Comment:
    2025 Budget $3,163,096</t>
      </text>
    </comment>
    <comment ref="J50" authorId="22" shapeId="0" xr:uid="{CF70700B-0D0D-4D45-8A35-74F710CF1342}">
      <text>
        <t>[Threaded comment]
Your version of Excel allows you to read this threaded comment; however, any edits to it will get removed if the file is opened in a newer version of Excel. Learn more: https://go.microsoft.com/fwlink/?linkid=870924
Comment:
    @Erik Mangold this number should be $4,282,621</t>
      </text>
    </comment>
    <comment ref="AA50" authorId="23" shapeId="0" xr:uid="{4F05B886-69CB-408B-8A5A-380BE5F1C542}">
      <text>
        <t>[Threaded comment]
Your version of Excel allows you to read this threaded comment; however, any edits to it will get removed if the file is opened in a newer version of Excel. Learn more: https://go.microsoft.com/fwlink/?linkid=870924
Comment:
    @Erik Mangold this is $$800,000</t>
      </text>
    </comment>
    <comment ref="F54" authorId="24" shapeId="0" xr:uid="{7B120EAD-9179-4F61-B0DB-2C6A1BB7A64A}">
      <text>
        <t xml:space="preserve">[Threaded comment]
Your version of Excel allows you to read this threaded comment; however, any edits to it will get removed if the file is opened in a newer version of Excel. Learn more: https://go.microsoft.com/fwlink/?linkid=870924
Comment:
    @Erik Mangold Budget was amended to $1,794,121. Increased by $222K and added the remaining funds from the downtown regional SWM facility that were not longer needed. Per Shannon.
Reply:
    @Erik Mangold I clarified with Shannon and I was wrong about the SWM Facility $ going to this project. The extra is not needed in 2025 so I am not going to move them into that project. </t>
      </text>
    </comment>
    <comment ref="F55" authorId="25" shapeId="0" xr:uid="{1D2E4D25-CA50-4008-802B-8530D6BB4EF5}">
      <text>
        <t xml:space="preserve">[Threaded comment]
Your version of Excel allows you to read this threaded comment; however, any edits to it will get removed if the file is opened in a newer version of Excel. Learn more: https://go.microsoft.com/fwlink/?linkid=870924
Comment:
    @Erik Mangold Shannon asked me to combine SW111 and SW106 in the budget.  So the $780,000 is the total 2025 budget for both. The budget was $280,000 for this one but was combined with the $500,000 for SW106 which is why there is $0 budget showing there now. </t>
      </text>
    </comment>
    <comment ref="J55" authorId="26" shapeId="0" xr:uid="{0DA88342-00A0-4376-A628-FB9F7C07BDD7}">
      <text>
        <t>[Threaded comment]
Your version of Excel allows you to read this threaded comment; however, any edits to it will get removed if the file is opened in a newer version of Excel. Learn more: https://go.microsoft.com/fwlink/?linkid=870924
Comment:
    @Erik Mangold are these the only 2 SWM projects for 2026 or are we supposed to take into consideration those in the 2026 column M?</t>
      </text>
    </comment>
    <comment ref="AN58" authorId="27" shapeId="0" xr:uid="{4D9BE693-5B0F-4D4D-AFD6-796FB4B05614}">
      <text>
        <t>[Threaded comment]
Your version of Excel allows you to read this threaded comment; however, any edits to it will get removed if the file is opened in a newer version of Excel. Learn more: https://go.microsoft.com/fwlink/?linkid=870924
Comment:
    @Aaron Halverson this is in the operating fund and “approved” through the “item request” budget. I don’t think it needs to be in the CIP. Thanks</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Barbara Stevens</author>
    <author>tc={5118A97C-29FA-477F-8B74-FDC40FE6D7A1}</author>
    <author>tc={F1D21D8D-E966-4396-8F47-9E70FE39AC84}</author>
    <author>tc={F7A4D6CC-E6F5-4949-B2F8-EFA4B835A68D}</author>
    <author>tc={8A74808C-EC1D-4F06-868A-85B40B0938EC}</author>
    <author>tc={D59AEAA7-DBA5-4597-A2B0-F8F78DD2930A}</author>
    <author>tc={A8F88F9E-FA64-409B-8FEC-4929E4D4EAAF}</author>
    <author>tc={F8722026-6D01-4A3C-B040-02E17AEAB59B}</author>
    <author>tc={2BB8E93C-A0CE-498F-8594-E65856AA8F57}</author>
    <author>tc={1325A978-35C9-4AE9-A6C8-9E3361421E20}</author>
    <author>tc={785D3072-6FEA-4CE1-9443-CBD2A3F1D01F}</author>
    <author>tc={4AC95E3E-EEA9-47FA-9315-9C68E4248761}</author>
    <author>tc={CA6827F1-45C3-4EAA-A8C0-F44AFF4A39F9}</author>
    <author>tc={FAC89AA9-5E5D-4A07-BCDC-E0DAF7AA79A8}</author>
    <author>tc={F764DC2E-D60E-4EEE-BD58-CC4ACE1F69BC}</author>
    <author>tc={135D8D89-1F64-4A15-B045-18502AFB97CF}</author>
    <author>tc={9B5C162A-C635-4617-9B11-319D2E29C941}</author>
  </authors>
  <commentList>
    <comment ref="AJ3" authorId="0" shapeId="0" xr:uid="{0D909ECE-2B5A-4632-ABEF-5EB14F7B2E4C}">
      <text>
        <r>
          <rPr>
            <b/>
            <sz val="9"/>
            <color indexed="81"/>
            <rFont val="Tahoma"/>
            <family val="2"/>
          </rPr>
          <t>Barbara Stevens:</t>
        </r>
        <r>
          <rPr>
            <sz val="9"/>
            <color indexed="81"/>
            <rFont val="Tahoma"/>
            <family val="2"/>
          </rPr>
          <t xml:space="preserve">
Park Mitigation</t>
        </r>
      </text>
    </comment>
    <comment ref="AN3" authorId="1" shapeId="0" xr:uid="{5118A97C-29FA-477F-8B74-FDC40FE6D7A1}">
      <text>
        <t>[Threaded comment]
Your version of Excel allows you to read this threaded comment; however, any edits to it will get removed if the file is opened in a newer version of Excel. Learn more: https://go.microsoft.com/fwlink/?linkid=870924
Comment:
    Sidewalk</t>
      </text>
    </comment>
    <comment ref="AO3" authorId="2" shapeId="0" xr:uid="{F1D21D8D-E966-4396-8F47-9E70FE39AC84}">
      <text>
        <t>[Threaded comment]
Your version of Excel allows you to read this threaded comment; however, any edits to it will get removed if the file is opened in a newer version of Excel. Learn more: https://go.microsoft.com/fwlink/?linkid=870924
Comment:
    Stormwater Capital</t>
      </text>
    </comment>
    <comment ref="AP3" authorId="3" shapeId="0" xr:uid="{F7A4D6CC-E6F5-4949-B2F8-EFA4B835A68D}">
      <text>
        <t>[Threaded comment]
Your version of Excel allows you to read this threaded comment; however, any edits to it will get removed if the file is opened in a newer version of Excel. Learn more: https://go.microsoft.com/fwlink/?linkid=870924
Comment:
    Other Capital</t>
      </text>
    </comment>
    <comment ref="G6" authorId="4" shapeId="0" xr:uid="{8A74808C-EC1D-4F06-868A-85B40B0938EC}">
      <text>
        <t xml:space="preserve">[Threaded comment]
Your version of Excel allows you to read this threaded comment; however, any edits to it will get removed if the file is opened in a newer version of Excel. Learn more: https://go.microsoft.com/fwlink/?linkid=870924
Comment:
    @Erik Mangold this was not the 2025 Budget amount. It was only $1,777,000. The extra $700,000 was an estimate that Kim thought we would get the Sewer District to pay. That is the “Other” capital column and why it is coded green. </t>
      </text>
    </comment>
    <comment ref="G7" authorId="5" shapeId="0" xr:uid="{D59AEAA7-DBA5-4597-A2B0-F8F78DD2930A}">
      <text>
        <t>[Threaded comment]
Your version of Excel allows you to read this threaded comment; however, any edits to it will get removed if the file is opened in a newer version of Excel. Learn more: https://go.microsoft.com/fwlink/?linkid=870924
Comment:
    The 2025 budget was $374,825</t>
      </text>
    </comment>
    <comment ref="G9" authorId="6" shapeId="0" xr:uid="{A8F88F9E-FA64-409B-8FEC-4929E4D4EAAF}">
      <text>
        <t>[Threaded comment]
Your version of Excel allows you to read this threaded comment; however, any edits to it will get removed if the file is opened in a newer version of Excel. Learn more: https://go.microsoft.com/fwlink/?linkid=870924
Comment:
    No budget in 2025. $0
Reply:
    Budget amended to include grant</t>
      </text>
    </comment>
    <comment ref="K16" authorId="7" shapeId="0" xr:uid="{F8722026-6D01-4A3C-B040-02E17AEAB59B}">
      <text>
        <t>[Threaded comment]
Your version of Excel allows you to read this threaded comment; however, any edits to it will get removed if the file is opened in a newer version of Excel. Learn more: https://go.microsoft.com/fwlink/?linkid=870924
Comment:
    $1,243,505 is cost for current construction contract. This does not include the pending modified landscape plan, or additional amenities such as soccer/lacrosse goals for the field, signage, trash cans, seating, etc.
Reply:
    Add $40k as placeholder - Sarah needs to calculate final amounts</t>
      </text>
    </comment>
    <comment ref="G17" authorId="8" shapeId="0" xr:uid="{2BB8E93C-A0CE-498F-8594-E65856AA8F57}">
      <text>
        <t>[Threaded comment]
Your version of Excel allows you to read this threaded comment; however, any edits to it will get removed if the file is opened in a newer version of Excel. Learn more: https://go.microsoft.com/fwlink/?linkid=870924
Comment:
    2025 Budget was $332,387.</t>
      </text>
    </comment>
    <comment ref="F18" authorId="9" shapeId="0" xr:uid="{1325A978-35C9-4AE9-A6C8-9E3361421E20}">
      <text>
        <t>[Threaded comment]
Your version of Excel allows you to read this threaded comment; however, any edits to it will get removed if the file is opened in a newer version of Excel. Learn more: https://go.microsoft.com/fwlink/?linkid=870924
Comment:
    Reduce for scope change (was indoor recreation center - now open outdoor park)</t>
      </text>
    </comment>
    <comment ref="G18" authorId="10" shapeId="0" xr:uid="{785D3072-6FEA-4CE1-9443-CBD2A3F1D01F}">
      <text>
        <t>[Threaded comment]
Your version of Excel allows you to read this threaded comment; however, any edits to it will get removed if the file is opened in a newer version of Excel. Learn more: https://go.microsoft.com/fwlink/?linkid=870924
Comment:
    @Erik Mangold Sarah asked for the entire budget to be rolled forward last year, so it was. The 2025 budget is $2,955,089</t>
      </text>
    </comment>
    <comment ref="K18" authorId="11" shapeId="0" xr:uid="{4AC95E3E-EEA9-47FA-9315-9C68E4248761}">
      <text>
        <t>[Threaded comment]
Your version of Excel allows you to read this threaded comment; however, any edits to it will get removed if the file is opened in a newer version of Excel. Learn more: https://go.microsoft.com/fwlink/?linkid=870924
Comment:
    Sarah modified. Design/Engineering 2026 and build 2027</t>
      </text>
    </comment>
    <comment ref="AJ20" authorId="12" shapeId="0" xr:uid="{CA6827F1-45C3-4EAA-A8C0-F44AFF4A39F9}">
      <text>
        <t>[Threaded comment]
Your version of Excel allows you to read this threaded comment; however, any edits to it will get removed if the file is opened in a newer version of Excel. Learn more: https://go.microsoft.com/fwlink/?linkid=870924
Comment:
    I don’t think PM-302 can be used for resurfacing a dock?</t>
      </text>
    </comment>
    <comment ref="AL20" authorId="13" shapeId="0" xr:uid="{FAC89AA9-5E5D-4A07-BCDC-E0DAF7AA79A8}">
      <text>
        <t>[Threaded comment]
Your version of Excel allows you to read this threaded comment; however, any edits to it will get removed if the file is opened in a newer version of Excel. Learn more: https://go.microsoft.com/fwlink/?linkid=870924
Comment:
    Moved from PM-302 - Park Mitigation must be used for new parks or new amenities, not replacements?</t>
      </text>
    </comment>
    <comment ref="G27" authorId="14" shapeId="0" xr:uid="{F764DC2E-D60E-4EEE-BD58-CC4ACE1F69BC}">
      <text>
        <t xml:space="preserve">[Threaded comment]
Your version of Excel allows you to read this threaded comment; however, any edits to it will get removed if the file is opened in a newer version of Excel. Learn more: https://go.microsoft.com/fwlink/?linkid=870924
Comment:
    @Erik Mangold Budget was amended to $1,794,121. Increased by $222K and added the remaining funds from the downtown regional SWM facility that were not longer needed. Per Shannon.
Reply:
    @Erik Mangold I clarified with Shannon and I was wrong about the SWM Facility $ going to this project. The extra is not needed in 2025 so I am not going to move them into that project. </t>
      </text>
    </comment>
    <comment ref="G28" authorId="15" shapeId="0" xr:uid="{135D8D89-1F64-4A15-B045-18502AFB97CF}">
      <text>
        <t xml:space="preserve">[Threaded comment]
Your version of Excel allows you to read this threaded comment; however, any edits to it will get removed if the file is opened in a newer version of Excel. Learn more: https://go.microsoft.com/fwlink/?linkid=870924
Comment:
    @Erik Mangold Shannon asked me to combine SW111 and SW106 in the budget.  So the $780,000 is the total 2025 budget for both. The budget was $280,000 for this one but was combined with the $500,000 for SW106 which is why there is $0 budget showing there now. </t>
      </text>
    </comment>
    <comment ref="K28" authorId="16" shapeId="0" xr:uid="{9B5C162A-C635-4617-9B11-319D2E29C941}">
      <text>
        <t>[Threaded comment]
Your version of Excel allows you to read this threaded comment; however, any edits to it will get removed if the file is opened in a newer version of Excel. Learn more: https://go.microsoft.com/fwlink/?linkid=870924
Comment:
    @Erik Mangold are these the only 2 SWM projects for 2026 or are we supposed to take into consideration those in the 2026 column M?</t>
      </text>
    </comment>
  </commentList>
</comments>
</file>

<file path=xl/sharedStrings.xml><?xml version="1.0" encoding="utf-8"?>
<sst xmlns="http://schemas.openxmlformats.org/spreadsheetml/2006/main" count="899" uniqueCount="408">
  <si>
    <t>City of Lake Stevens</t>
  </si>
  <si>
    <t>2025 - 2030 Capital Improvement Plan</t>
  </si>
  <si>
    <t>Fund Options</t>
  </si>
  <si>
    <t>Type</t>
  </si>
  <si>
    <t>Project No.</t>
  </si>
  <si>
    <t>Project Name</t>
  </si>
  <si>
    <t>Description</t>
  </si>
  <si>
    <t>Total Project Cost</t>
  </si>
  <si>
    <t>2024 Budget</t>
  </si>
  <si>
    <t>2024 Spent</t>
  </si>
  <si>
    <t>Difference</t>
  </si>
  <si>
    <t>2025 Additional Needed</t>
  </si>
  <si>
    <t> </t>
  </si>
  <si>
    <t>Grants</t>
  </si>
  <si>
    <t>Gen</t>
  </si>
  <si>
    <t>PR</t>
  </si>
  <si>
    <t>Rental</t>
  </si>
  <si>
    <t>Street</t>
  </si>
  <si>
    <t>TIZ1</t>
  </si>
  <si>
    <t>TIZ2</t>
  </si>
  <si>
    <t>TIZ3</t>
  </si>
  <si>
    <t>TBP</t>
  </si>
  <si>
    <t>FIL</t>
  </si>
  <si>
    <t>PM</t>
  </si>
  <si>
    <t>R1</t>
  </si>
  <si>
    <t>R2</t>
  </si>
  <si>
    <t>FC</t>
  </si>
  <si>
    <t>SW</t>
  </si>
  <si>
    <t>SWC</t>
  </si>
  <si>
    <t>Cap</t>
  </si>
  <si>
    <t>Barb's Finance Notes</t>
  </si>
  <si>
    <t>Amount</t>
  </si>
  <si>
    <t>Source</t>
  </si>
  <si>
    <t>Notes</t>
  </si>
  <si>
    <t>001</t>
  </si>
  <si>
    <t>004</t>
  </si>
  <si>
    <t>005</t>
  </si>
  <si>
    <t>101</t>
  </si>
  <si>
    <t>301</t>
  </si>
  <si>
    <t>120</t>
  </si>
  <si>
    <t>302</t>
  </si>
  <si>
    <t>303</t>
  </si>
  <si>
    <t>304</t>
  </si>
  <si>
    <t>306</t>
  </si>
  <si>
    <t>309</t>
  </si>
  <si>
    <t>411</t>
  </si>
  <si>
    <t>other</t>
  </si>
  <si>
    <t>STREETS</t>
  </si>
  <si>
    <t>RD-101</t>
  </si>
  <si>
    <t>Main St. Improvements (16th St NE to 20th St NE)</t>
  </si>
  <si>
    <t>Multi-use path, street frontage improvements along Main Street between 16th St to 20th St.</t>
  </si>
  <si>
    <t xml:space="preserve"> RF Current Budgets </t>
  </si>
  <si>
    <t>FHWA</t>
  </si>
  <si>
    <t>Obligated</t>
  </si>
  <si>
    <t>X</t>
  </si>
  <si>
    <t>RF</t>
  </si>
  <si>
    <t>FC-112</t>
  </si>
  <si>
    <t>131st Avenue Infrastructure Improvements</t>
  </si>
  <si>
    <t>Construct new sewer, storm and road improvements along 131st Ave NE from 20th Street NE to Hartford Drive.</t>
  </si>
  <si>
    <t xml:space="preserve"> RF Only - Sewer Dist $$? - No need to find $$ now</t>
  </si>
  <si>
    <t>LSSD Share</t>
  </si>
  <si>
    <t>Negotiations in process</t>
  </si>
  <si>
    <t>x</t>
  </si>
  <si>
    <t>RD-113</t>
  </si>
  <si>
    <t>20th St NE and Main Street Roundabout</t>
  </si>
  <si>
    <t>Construct roundabout and frontage improvements per the downtown subarea plan.</t>
  </si>
  <si>
    <t xml:space="preserve"> $500K Local Needed?Construction to start late 2025. BA when grant obligated. </t>
  </si>
  <si>
    <t>Federal Earmark</t>
  </si>
  <si>
    <t>Obligate by Sept. 2026</t>
  </si>
  <si>
    <t>TBD-04</t>
  </si>
  <si>
    <t>117th Ave NE Sidewalk (20th to 26th St NE)</t>
  </si>
  <si>
    <t>TBD sidewalk along one side of 117th Ave NE between 20th St and26th St. Includes ROW and typical frontage improvements including stormwater.</t>
  </si>
  <si>
    <t xml:space="preserve"> TBP - through final design </t>
  </si>
  <si>
    <t>TBD-05</t>
  </si>
  <si>
    <t>91st Ave SE Sidewalk (20th to 12th St SE)</t>
  </si>
  <si>
    <t>TBD sidewalk along the east side of 91st Ave SE between 20th St SE and 12th St. Includes ROW and typical frontage improvements including stormwater.</t>
  </si>
  <si>
    <t xml:space="preserve"> Planning D&amp;E. Hold for grant - Do not budget</t>
  </si>
  <si>
    <t>WSDOT SRTS</t>
  </si>
  <si>
    <t>Applied / unsecured</t>
  </si>
  <si>
    <t>TBD-07</t>
  </si>
  <si>
    <t>Soper Hill Sidewalk &amp; Sewer Improvements</t>
  </si>
  <si>
    <t>TBD sidewalk along one side of Soper Hill Rd between Lake Dr and SR9. Includes ROW and typical frontage improvements including stormwater.</t>
  </si>
  <si>
    <t xml:space="preserve"> TBP - D&amp;E </t>
  </si>
  <si>
    <t>20th St SE Widening (Trestle to 83rd Ave)</t>
  </si>
  <si>
    <t xml:space="preserve"> Local Match? Hold for Grant - Do not budget</t>
  </si>
  <si>
    <t>TIB</t>
  </si>
  <si>
    <t>RD-100</t>
  </si>
  <si>
    <t>79th Ave SE Access Road</t>
  </si>
  <si>
    <t>Construct new roadway including bike lane, two travel lanes, landscape strips and sidewalks for through road to Cavalero Mid-High School.</t>
  </si>
  <si>
    <t>TBD-06</t>
  </si>
  <si>
    <t>N Lakeshore Dr Sidewalk (Main St to 123rd Ave NE)</t>
  </si>
  <si>
    <t>TBD sidewalk along one side of N Lakeshore Dr between Main St and 123rd Ave.</t>
  </si>
  <si>
    <t>TBD-01</t>
  </si>
  <si>
    <t>16th Street NE Multi-Use Path</t>
  </si>
  <si>
    <t xml:space="preserve">Construction of an MUP to connect downtown Lake Stevens to the Centennial Trail. </t>
  </si>
  <si>
    <t>Capital Transportation</t>
  </si>
  <si>
    <t>Available 2029</t>
  </si>
  <si>
    <t>RD-102I</t>
  </si>
  <si>
    <t>91st Ave NE Commercial Revitalization Phase I</t>
  </si>
  <si>
    <t>Market Place to SR 204, upgrade road to minor arterial road standard between Market Place to SR 204.</t>
  </si>
  <si>
    <t>RD-102II</t>
  </si>
  <si>
    <t>91st Ave NE Commercial Revitalization Phase II</t>
  </si>
  <si>
    <t>SR 204 to Frontier Circle, upgrade road to minor arterial road standard between SR 204 to Frontier Circle.</t>
  </si>
  <si>
    <t>CP-140S</t>
  </si>
  <si>
    <t>South Lake Stevens Multi-Use Path Phase II</t>
  </si>
  <si>
    <t>Construction of MUP to connect pedestrian generators to the existing trail.</t>
  </si>
  <si>
    <t>TBD-18</t>
  </si>
  <si>
    <t>South Lake Stevens Multi-Use Path Phase III</t>
  </si>
  <si>
    <t>Annual Citywide Road Striping and Thermoplastic</t>
  </si>
  <si>
    <t xml:space="preserve"> Street </t>
  </si>
  <si>
    <t>RD-202</t>
  </si>
  <si>
    <t>Annual ADA &amp; Sidewalk Improvements</t>
  </si>
  <si>
    <t>Curb ramp and sidewalk repair, maintenance, reconstruction in support of the ADA Transition Plan.</t>
  </si>
  <si>
    <t xml:space="preserve"> 309 - $50K for sidewalk &amp; $50K ADA </t>
  </si>
  <si>
    <t>RD-203</t>
  </si>
  <si>
    <t>Annual Pavement Preservation Program</t>
  </si>
  <si>
    <t xml:space="preserve">Annual pavement preservation activities including grind and overlay, crack sealing. </t>
  </si>
  <si>
    <t xml:space="preserve"> ST (Sewer UT), TBP, REET,  </t>
  </si>
  <si>
    <t>RD-205</t>
  </si>
  <si>
    <t>Traffic Safety &amp; Calming Program</t>
  </si>
  <si>
    <t xml:space="preserve">Create Traffic Calming Program with stakeholder engagement, update code, notify public, implement. </t>
  </si>
  <si>
    <t xml:space="preserve"> RF $50K = $100K </t>
  </si>
  <si>
    <t>TOTAL</t>
  </si>
  <si>
    <t>PARKS</t>
  </si>
  <si>
    <t>PR-100</t>
  </si>
  <si>
    <t>Frontier Heights Phase II</t>
  </si>
  <si>
    <t>Phase 2 - multi use synthetic athletic field, 4 pickleball courts, parking, sensory garden, labyrinth.</t>
  </si>
  <si>
    <t xml:space="preserve">Construction - RF </t>
  </si>
  <si>
    <t>RCO</t>
  </si>
  <si>
    <t>Secured thru 2025</t>
  </si>
  <si>
    <t>PR-123</t>
  </si>
  <si>
    <t>Eagle Ridge Storage Building</t>
  </si>
  <si>
    <t xml:space="preserve">Restore/remodel the storage facility at Eagle Ridge Park for use by the Parks Department. </t>
  </si>
  <si>
    <t>Updated per Sarah</t>
  </si>
  <si>
    <t>PR-206</t>
  </si>
  <si>
    <t>Eagle Ridge Property Acquisition</t>
  </si>
  <si>
    <t xml:space="preserve">Purchase property that is surrounded by Eagle Ridge Park. </t>
  </si>
  <si>
    <t xml:space="preserve"> Complete 2024 - PR - May come in under budget.</t>
  </si>
  <si>
    <t>PR-141</t>
  </si>
  <si>
    <t>North Cove Non-Motorized Dock</t>
  </si>
  <si>
    <t>Replacement of the non-motorized dock at North Cove. This includes a new footing, gangway and dock installation.</t>
  </si>
  <si>
    <t>PR-103</t>
  </si>
  <si>
    <t>North Cove Light Bollard Replacement</t>
  </si>
  <si>
    <t>In ground installation of bollards replaced along roads/parking. In ground lights to replace the bollards along pathways throughout the park.</t>
  </si>
  <si>
    <t>PR-113</t>
  </si>
  <si>
    <t>Davies Beach Pier Resurfacing</t>
  </si>
  <si>
    <t>Resurface public dock at Davies Beach.  The wood is degraded and new light transparent decking is needed.</t>
  </si>
  <si>
    <t>PR-106</t>
  </si>
  <si>
    <t>West Lake Park Recreation Amenities</t>
  </si>
  <si>
    <t>Plan amenities for West Lake Park consistent with the powerline easements. (May inc revamping sports field, adding a playground or pump track.)</t>
  </si>
  <si>
    <t>PR-104</t>
  </si>
  <si>
    <t>Cedarwood Property</t>
  </si>
  <si>
    <t>Site feasibility study for Cedarwood property.</t>
  </si>
  <si>
    <t xml:space="preserve"> RF for feasibility only - Not budgeting construction or grants until they approve scope change. </t>
  </si>
  <si>
    <t>State</t>
  </si>
  <si>
    <t>Secured</t>
  </si>
  <si>
    <t>PR-102</t>
  </si>
  <si>
    <t>Eagle Ridge Park Phase II</t>
  </si>
  <si>
    <t>Phase 2 of master plan - playground, walking trail, amphitheater, parking.</t>
  </si>
  <si>
    <t xml:space="preserve"> RF - Pursuing grants </t>
  </si>
  <si>
    <t>PR-201</t>
  </si>
  <si>
    <t>N Cove Marina Feasibility &amp; Marine Unit Relocation</t>
  </si>
  <si>
    <t>Construct a marina to replace motorized, non-motorized and first responder's dock.</t>
  </si>
  <si>
    <t xml:space="preserve"> RF </t>
  </si>
  <si>
    <t>Fire District</t>
  </si>
  <si>
    <t>PR-105</t>
  </si>
  <si>
    <t>Davies Beach Parking Lot</t>
  </si>
  <si>
    <t>Repave and stripe parking lot to improve configuration for boat trailers.</t>
  </si>
  <si>
    <t>PR-207</t>
  </si>
  <si>
    <t>North Cove Parking Lot</t>
  </si>
  <si>
    <t>Remove one of the administrative buildings, repurpose the other and construct new parking lot.</t>
  </si>
  <si>
    <t>PR-117</t>
  </si>
  <si>
    <t>Annual Mini Park Restorations</t>
  </si>
  <si>
    <t xml:space="preserve">Restoration program for mini-parks throughout the City. Mini-parks typically have playgrounds that need to be replaced or repaired. This is recurring annual funding. </t>
  </si>
  <si>
    <t>PR-108</t>
  </si>
  <si>
    <t>Lake Stevens Bayview Connector Phase 1A</t>
  </si>
  <si>
    <t>12th St to 8th St trail, realign 12th Street and connect to Phase 0 project</t>
  </si>
  <si>
    <t>PR-203</t>
  </si>
  <si>
    <t>Lake Stevens Bayview Connector Phase 1</t>
  </si>
  <si>
    <t>8th St SE to SR 204, coordination with City of Marysville for Bayview Connector.</t>
  </si>
  <si>
    <t xml:space="preserve"> Design - Cost Sharing with Marysville </t>
  </si>
  <si>
    <t>PR-204</t>
  </si>
  <si>
    <t>Lake Stevens Bayview Connector Phase 2</t>
  </si>
  <si>
    <t>SR 204 to 17th St NE, coordination with City of Marysville for Bayview Connector.</t>
  </si>
  <si>
    <t>PR-205</t>
  </si>
  <si>
    <t>Lake Stevens Bayview Connector Phase 3</t>
  </si>
  <si>
    <t>17th St NE to Soper Hill Rd, coordination with City of Marysville for Bayview Connector.</t>
  </si>
  <si>
    <t>PR-109</t>
  </si>
  <si>
    <t>Lake Stevens Bayview Connector Phase 4</t>
  </si>
  <si>
    <t>20th &amp; 83rd Ave NE to Marysville Connection</t>
  </si>
  <si>
    <t>PR-110</t>
  </si>
  <si>
    <t>Centennial Woods Trail Improvements</t>
  </si>
  <si>
    <t>Improve trails and signage.</t>
  </si>
  <si>
    <t>PR-111</t>
  </si>
  <si>
    <t>Pump Track and Climbing Walls</t>
  </si>
  <si>
    <t>Find location to construct a pump track and climbing walls.</t>
  </si>
  <si>
    <t>PR-126</t>
  </si>
  <si>
    <t>Lundeen Park Restroom Building</t>
  </si>
  <si>
    <t>Remodel the Lundeen Park restroom building, including the concession area.</t>
  </si>
  <si>
    <t>Removed per Sarah. Overall building issues.</t>
  </si>
  <si>
    <t>PR-202</t>
  </si>
  <si>
    <t>Davies Beach Boat Launch Repair</t>
  </si>
  <si>
    <t>Fix undermining and moving ramp piece.</t>
  </si>
  <si>
    <t>PR-112</t>
  </si>
  <si>
    <t>South Lake Stevens Acquisition of Park Property</t>
  </si>
  <si>
    <t>Neighborhood level park need in south west area of the city.</t>
  </si>
  <si>
    <t>FACILITIES</t>
  </si>
  <si>
    <t>FC-111</t>
  </si>
  <si>
    <t>PW/Parks Building Feasibility Study</t>
  </si>
  <si>
    <t xml:space="preserve">Prepare feasibility report and preliminary design for additional public works and parks shop building at current location. </t>
  </si>
  <si>
    <t>Evergreen Office Building (siding, HVAC, fire alarm)</t>
  </si>
  <si>
    <t>FC-107</t>
  </si>
  <si>
    <t>1819 Building (HVAC, fire panel)</t>
  </si>
  <si>
    <t>PW Shop Improvements (electrical panels, roof, cracked walls)</t>
  </si>
  <si>
    <t>PD Station (fire alarm)</t>
  </si>
  <si>
    <t>PD Evidence Building (fire alarm, security system panels)</t>
  </si>
  <si>
    <t>Municipal Service Campus</t>
  </si>
  <si>
    <t xml:space="preserve"> RF - $11.8M budget per Russ (+$100K retainage)</t>
  </si>
  <si>
    <t>FC-101</t>
  </si>
  <si>
    <t>Museum</t>
  </si>
  <si>
    <t>Complete final design of museum and construct</t>
  </si>
  <si>
    <t>Capital Heritage Grant</t>
  </si>
  <si>
    <t>Secured through 2025</t>
  </si>
  <si>
    <t>FC-204</t>
  </si>
  <si>
    <t>Police Training Center Lighting</t>
  </si>
  <si>
    <t>Change to LED lighting</t>
  </si>
  <si>
    <t>Hold for grant. Do not Budget</t>
  </si>
  <si>
    <t>Energy Conservation</t>
  </si>
  <si>
    <t>Visitor Information Center (electrical panel)</t>
  </si>
  <si>
    <t>FC-114</t>
  </si>
  <si>
    <t>Machias Sewer Infrastructure Improvements</t>
  </si>
  <si>
    <t>Lift station design, sewer and road improvements along Machias Road.</t>
  </si>
  <si>
    <t>Senior Center (roof, HVAC)</t>
  </si>
  <si>
    <t>FC-115</t>
  </si>
  <si>
    <t>20th St SE Water Main Extension</t>
  </si>
  <si>
    <t xml:space="preserve">Installation of ~4,000 linear feet water main on the south side of 20th Street SE between 91st Street SE and 79th Street SE providing water service for commercial and residential customers. Water main will reduce roadway cuts across recently improved road. </t>
  </si>
  <si>
    <t>FC-104</t>
  </si>
  <si>
    <t>Library (fire alarm, HVAC)</t>
  </si>
  <si>
    <t>FC-202</t>
  </si>
  <si>
    <t>Police Office Space Expansion</t>
  </si>
  <si>
    <t>2nd story to training center for additional office space to allow for future growth</t>
  </si>
  <si>
    <t xml:space="preserve"> Can't afford all of this from GF or R1 </t>
  </si>
  <si>
    <t>STORM</t>
  </si>
  <si>
    <t>Downtown Regional Stormwater Facility</t>
  </si>
  <si>
    <t>Design &amp; Estimated Construction</t>
  </si>
  <si>
    <t>SW-104</t>
  </si>
  <si>
    <t>Bridge 06 Replacement - 36th Street NE</t>
  </si>
  <si>
    <t>Replacement of Bridge 06 to ensure safe access to the Hartford Industrial area by commercial traffic.</t>
  </si>
  <si>
    <t xml:space="preserve"> PWTF Loan - Loan payments Budget (need amort)</t>
  </si>
  <si>
    <t>PW Board Loan</t>
  </si>
  <si>
    <t>Award / unsecured</t>
  </si>
  <si>
    <t>SW-111</t>
  </si>
  <si>
    <t>Catherine Creek/Hartford Crossing Replacement</t>
  </si>
  <si>
    <t>Lower Stevens Creek Phase 1A: Replace fish passage barrier culvert on Catherine Creek at Hartford Dr. for restored channel realignment.</t>
  </si>
  <si>
    <t xml:space="preserve"> Design </t>
  </si>
  <si>
    <t>SW-108</t>
  </si>
  <si>
    <t>36th St Culvert Replacement</t>
  </si>
  <si>
    <t>Replace the fish barrier culvert at 36th Street NE that conveys a tributary to Catherine Creek.</t>
  </si>
  <si>
    <t xml:space="preserve"> Hold for grant. $40K Local </t>
  </si>
  <si>
    <t>Fish Barrier Removal</t>
  </si>
  <si>
    <t>SW-106</t>
  </si>
  <si>
    <t>Hartford Crossing - New and Channel Realignment</t>
  </si>
  <si>
    <t xml:space="preserve">Lower Stevens Creek Phase 1B: Construct new bridge on Hartford Drive and stream restoration through the wetland north of Hartford. </t>
  </si>
  <si>
    <t xml:space="preserve"> Budget with Grant Revenue  - BARS 3316600</t>
  </si>
  <si>
    <t xml:space="preserve">EPA </t>
  </si>
  <si>
    <t>Fed Direct Award / unsecured</t>
  </si>
  <si>
    <t>SW-105</t>
  </si>
  <si>
    <t>20th St NE Culvert Replacement/Channel Realignment</t>
  </si>
  <si>
    <t>Lower Stevens Creek Phase 2A: Replacing the 20th Street NE culvert with a bridge and stream realignment reduces downtown flooding risk.</t>
  </si>
  <si>
    <t>SW-107</t>
  </si>
  <si>
    <t>18th Street NE Culvert Replacement/Realignment</t>
  </si>
  <si>
    <t xml:space="preserve">Lower Stevens Creek Phase 2B: Removal of the 18th Street NE culvert, roadway modifications, and new/restored stream alignment to 20th Street NE.  </t>
  </si>
  <si>
    <t>SW-101</t>
  </si>
  <si>
    <t>Weir Replacement</t>
  </si>
  <si>
    <t xml:space="preserve">Replacement of the weir at the outlet of Lake Stevens with al structure that provides fish passage and controls the lake level at a desired target. </t>
  </si>
  <si>
    <t xml:space="preserve"> Don't RF </t>
  </si>
  <si>
    <t>Original Outlet Channel Restoration</t>
  </si>
  <si>
    <t xml:space="preserve">Lower Stevens Creek Phase 3: New bridge at Main St. and restoration of Lower Stevens Creek and floodplain with regional treatment facility. </t>
  </si>
  <si>
    <t>SW-103</t>
  </si>
  <si>
    <t>99th Ave SE/4th St SE Culvert Feasibility</t>
  </si>
  <si>
    <t xml:space="preserve">Design &amp; feasibility of a fish barrier culvert replacement project at 99th Ave SE/4th St SE. </t>
  </si>
  <si>
    <t>2025 Budget</t>
  </si>
  <si>
    <t>2025 Ending Projection</t>
  </si>
  <si>
    <t>2025 Expenditures (As of 9/12/25)</t>
  </si>
  <si>
    <t>Replace Speed Feedback Signs</t>
  </si>
  <si>
    <t>Lake Side Multi-Use Path Feasiblity Study</t>
  </si>
  <si>
    <t>SWM Fee - Rate Study and Fee Adoption</t>
  </si>
  <si>
    <t>*new</t>
  </si>
  <si>
    <t>AC Register in Chief's conference room</t>
  </si>
  <si>
    <t>Flagpole Landscaping</t>
  </si>
  <si>
    <t>FOB reader on pedestrian gate</t>
  </si>
  <si>
    <t>2nd Story to training center for additional office space</t>
  </si>
  <si>
    <t>NC Playground Concrete Seat Wall Adjustment</t>
  </si>
  <si>
    <t>WeatherTrak Irrigation System Addition</t>
  </si>
  <si>
    <t>Extend Railing - NC Observation Deck</t>
  </si>
  <si>
    <t>Utility/Storage Building - Cavalero</t>
  </si>
  <si>
    <t>Cavalero Community/Sports Center - Design</t>
  </si>
  <si>
    <t>Water Deduct Meter Installation</t>
  </si>
  <si>
    <t>Security Cameras - Cavalero</t>
  </si>
  <si>
    <t>Monument/Entrance Sign - Cavalero</t>
  </si>
  <si>
    <t>North Cove Parking Lot &amp; Recreation Building Design</t>
  </si>
  <si>
    <t xml:space="preserve"> Grants</t>
  </si>
  <si>
    <t>WSDOT SRTS (800k) + TIB (800k)</t>
  </si>
  <si>
    <t>SRTS Secured, TIP Applied Unsecured</t>
  </si>
  <si>
    <t>Design and Engineering. 80-100k Community &amp; Sports Center - Partnership with TBD</t>
  </si>
  <si>
    <t>The North Cove Observation Deck has a railing with cable system around half of it. A step will be added to the west side (grass hill) of the observation deck and continue the fencing around the North side of the Observation Deck.</t>
  </si>
  <si>
    <t>The City will be acquiring Cavalero Park from the County. This park will need a City entry sign to match our standards, which consists of a base and blue sign displaying the park name and address.</t>
  </si>
  <si>
    <t>Design and Engineering. Remove one of the administrative buildings, repurpose the other and construct new parking lot</t>
  </si>
  <si>
    <t>Security cameras for Cavalero Park.</t>
  </si>
  <si>
    <t>A 10x20 concrete block building at Cavalero Park for storage of materials and supplies needed for parks maintenance</t>
  </si>
  <si>
    <t>Irrigation or water lines may need to be modified to reroute water. Each deduct meter will cost approximately $1300 to purchase, staff will install.</t>
  </si>
  <si>
    <t xml:space="preserve"> 4 parks - North Cove, Davies, Lundeen and Oak. This is a smart irrigation controller that uses weather data to adjust watering schedules</t>
  </si>
  <si>
    <t>2nd Story to training center for additional office space - 2035 This is for future growth and expansion. PW director provided prelimenary discussion</t>
  </si>
  <si>
    <t>Erik Notes</t>
  </si>
  <si>
    <t>RF entire amount in 2025 per SG</t>
  </si>
  <si>
    <t>Russ needs $2M more in 2026 (R2)</t>
  </si>
  <si>
    <t>Russ to request more HS grant funds</t>
  </si>
  <si>
    <t>AC Register in Chief's conference room. When the door is closed the room temperature increases quickly about 20 degrees and is VERY uncomfortable.</t>
  </si>
  <si>
    <t xml:space="preserve">Flagpole Landscaping to increase the beautification of the flagpole area for ceremonial events and recgonition. </t>
  </si>
  <si>
    <t>FOB reader on pedestrian gate to access the PD training room and parking lot from walking path between buildings</t>
  </si>
  <si>
    <t>Roll Forward</t>
  </si>
  <si>
    <t>Current ILA shows $600k share with Sewer District</t>
  </si>
  <si>
    <t>Figure out where to Rev/Exp Sewer $</t>
  </si>
  <si>
    <t>City Council has authorized the ordinance to install traffic safety cameras. This ordinance grants the ability to put into place a program</t>
  </si>
  <si>
    <t>Traffic Safety Cameras Program and Equipment</t>
  </si>
  <si>
    <t>2026 budget requested (incl RF)</t>
  </si>
  <si>
    <r>
      <rPr>
        <b/>
        <sz val="11"/>
        <color theme="1"/>
        <rFont val="Aptos Narrow"/>
        <family val="2"/>
        <scheme val="minor"/>
      </rPr>
      <t>B</t>
    </r>
    <r>
      <rPr>
        <sz val="11"/>
        <color theme="1"/>
        <rFont val="Aptos Narrow"/>
        <family val="2"/>
        <scheme val="minor"/>
      </rPr>
      <t>ased on Engineer's Estimate</t>
    </r>
  </si>
  <si>
    <t>This project consists of hiring a contractor to cut a portion of the vertical concrete wall and patching the ground around it.</t>
  </si>
  <si>
    <t>$50k</t>
  </si>
  <si>
    <t>This project is to hire a consultant to set surface water utility rates. 
Assess the stormwater management fee structure to ensure fair distribution of costs, compliance with regulations, and financial sustainability. This study should include staff needs, NPDES requirements, integrate actions from the basins plan, EMP, SMAP, and CCTV projects.
The surface water utility fees have been set through 2027. The last rate study for the City took place in 2018. Since 2018, the City has inspected and inventoried all stormwater facility assets, set condition ratings for more than half of the stormwater conveyance infrastructure, identified capital projects, and completed long-range plan to address water quality by assessing enhanced maintenance standards, retrofits to existing infrastructure, and new capital projects. All of this information will be used in a new study to set utility rates.</t>
  </si>
  <si>
    <t>Obligated (86% Match)</t>
  </si>
  <si>
    <t>Total</t>
  </si>
  <si>
    <t xml:space="preserve"> STORMWATER TOTAL</t>
  </si>
  <si>
    <t>FACILITIES TOTAL</t>
  </si>
  <si>
    <t>PARKS TOTAL</t>
  </si>
  <si>
    <t xml:space="preserve"> STREETS TOTAL</t>
  </si>
  <si>
    <t>GRAND TOTAL</t>
  </si>
  <si>
    <t>2026 EXPENDITURES BY FUND</t>
  </si>
  <si>
    <t>EXPENDITURES TOTAL</t>
  </si>
  <si>
    <t>BEGINNING FUND BALANCE</t>
  </si>
  <si>
    <t>FUNDING SHORTFALL</t>
  </si>
  <si>
    <t>2026 GRANT</t>
  </si>
  <si>
    <t>Previous Expenditures</t>
  </si>
  <si>
    <t>Unfunded Projects</t>
  </si>
  <si>
    <t>Lundeen Parkway Splitter Island Fill</t>
  </si>
  <si>
    <t>Cost Estimate</t>
  </si>
  <si>
    <t>Ongoing</t>
  </si>
  <si>
    <t>Maintenance of city-wide striping</t>
  </si>
  <si>
    <t>Construction of multi use path from 20th Street SE to SR9</t>
  </si>
  <si>
    <t>Construction of a multi use path from S. Lake Stevens Road east on Machias Cutoff</t>
  </si>
  <si>
    <t>2026 SECURED GRANTS</t>
  </si>
  <si>
    <t>Fire District (40K), RCO (200K), SnoCo (87k)</t>
  </si>
  <si>
    <t>Lake Stevens Bayview Connector Phase 0.5</t>
  </si>
  <si>
    <t>Machias Sewer Lift Station</t>
  </si>
  <si>
    <t>Evergreen Office Building (HVAC, Alarm)</t>
  </si>
  <si>
    <t xml:space="preserve">Replace the roof and sheeting on the Senior Center Building, replace the aging HVAC system. </t>
  </si>
  <si>
    <t>Design a water main extension on the south side of 20th Street SE</t>
  </si>
  <si>
    <t>Library Fire Alarm/HVAC</t>
  </si>
  <si>
    <t>Complete final design of museum and construction of the new building</t>
  </si>
  <si>
    <t xml:space="preserve">Replace the HVAC </t>
  </si>
  <si>
    <t>SECURED LOANS</t>
  </si>
  <si>
    <t>RCO YAF + WWRP (850k), RCO WWRP ($309,352), SnoCo Partnership $45k</t>
  </si>
  <si>
    <t>Secured thru 2026</t>
  </si>
  <si>
    <t>Snohomish County's Capital Improvement Program</t>
  </si>
  <si>
    <t>Local Community Project/Department of Commerce</t>
  </si>
  <si>
    <t>New channel and culvert from 20th Street NE to 18th Street NE</t>
  </si>
  <si>
    <t>State &amp; Federal</t>
  </si>
  <si>
    <t>RCO WWRP</t>
  </si>
  <si>
    <t xml:space="preserve">Feasibility of a fish barrier culvert replacement project at 99th Ave SE/4th St SE. </t>
  </si>
  <si>
    <t>Review options for a lakeside path along East Lakeshore Boulevard</t>
  </si>
  <si>
    <t>Replace aging speed feedback signs across the city to improve reliability.</t>
  </si>
  <si>
    <t xml:space="preserve">Fill the rock-filled islands on Lundeen Parkway with concrete or another suitable material that will prevent weeds from growing. </t>
  </si>
  <si>
    <t>Design and eventually construct a project that will provide additional lanes on 20th Street SE from 83rd Ave SE to the Trestle.</t>
  </si>
  <si>
    <t>North Cove Parking Lot &amp; Recreation Building</t>
  </si>
  <si>
    <t>Frontier Heights Restroom &amp; Storage Building</t>
  </si>
  <si>
    <t>Davies Park Restroom Building</t>
  </si>
  <si>
    <t>Project Health</t>
  </si>
  <si>
    <t>REVENUE TOTAL</t>
  </si>
  <si>
    <t>Total  Outside Funding Secured</t>
  </si>
  <si>
    <t>FTE Equivalent</t>
  </si>
  <si>
    <t xml:space="preserve">Hours Required </t>
  </si>
  <si>
    <t>Estimated Staff Hours Needed (7.5%)</t>
  </si>
  <si>
    <t xml:space="preserve">Hours Delivered in 2025 </t>
  </si>
  <si>
    <t>2025 Health Report</t>
  </si>
  <si>
    <t>Remodel existing buildings to house the city hall complex</t>
  </si>
  <si>
    <t>Total Expenditures</t>
  </si>
  <si>
    <t>Beginning Fund Balance</t>
  </si>
  <si>
    <t>Ending Fund Balance</t>
  </si>
  <si>
    <t>PW Board Loanx</t>
  </si>
  <si>
    <t>Secured (0.83% Interest, 5 Year Term)</t>
  </si>
  <si>
    <t>Streets</t>
  </si>
  <si>
    <t>Parks</t>
  </si>
  <si>
    <t>Facilities</t>
  </si>
  <si>
    <t>Storm</t>
  </si>
  <si>
    <t>Project Group/Name</t>
  </si>
  <si>
    <t>Commerce</t>
  </si>
  <si>
    <t>2026 - 2031 Capital Improvement Plan (Draft)</t>
  </si>
  <si>
    <t>a</t>
  </si>
  <si>
    <r>
      <rPr>
        <b/>
        <sz val="11"/>
        <color theme="1"/>
        <rFont val="Arial Narrow"/>
        <family val="2"/>
      </rPr>
      <t>B</t>
    </r>
    <r>
      <rPr>
        <sz val="11"/>
        <color theme="1"/>
        <rFont val="Arial Narrow"/>
        <family val="2"/>
      </rPr>
      <t>ased on Engineer's Estimate</t>
    </r>
  </si>
  <si>
    <t>FC-205</t>
  </si>
  <si>
    <t>FC-102</t>
  </si>
  <si>
    <t>FC-208</t>
  </si>
  <si>
    <t>FC-207</t>
  </si>
  <si>
    <t>FC-206</t>
  </si>
  <si>
    <t>FC-210</t>
  </si>
  <si>
    <t>FC-209</t>
  </si>
  <si>
    <t>SW-109</t>
  </si>
  <si>
    <t>SW-112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</si>
</sst>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4" formatCode="_(&quot;$&quot;* #,##0.00_);_(&quot;$&quot;* \(#,##0.00\);_(&quot;$&quot;* &quot;-&quot;??_);_(@_)"/>
    <numFmt numFmtId="43" formatCode="_(* #,##0.00_);_(* \(#,##0.00\);_(* &quot;-&quot;??_);_(@_)"/>
    <numFmt numFmtId="164" formatCode="_(&quot;$&quot;* #,##0_);_(&quot;$&quot;* \(#,##0\);_(&quot;$&quot;* &quot;-&quot;??_);_(@_)"/>
    <numFmt numFmtId="165" formatCode="_(&quot;$&quot;* #,##0.0_);_(&quot;$&quot;* \(#,##0.0\);_(&quot;$&quot;* &quot;-&quot;??_);_(@_)"/>
    <numFmt numFmtId="166" formatCode="&quot;$&quot;#,##0"/>
    <numFmt numFmtId="167" formatCode="_(* #,##0_);_(* \(#,##0\);_(* &quot;-&quot;??_);_(@_)"/>
  </numFmts>
  <fonts count="61"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1"/>
      <color theme="0"/>
      <name val="Aptos Narrow"/>
      <family val="2"/>
      <scheme val="minor"/>
    </font>
    <font>
      <b/>
      <sz val="11"/>
      <color theme="1"/>
      <name val="Aptos Narrow"/>
      <family val="2"/>
      <scheme val="minor"/>
    </font>
    <font>
      <sz val="11"/>
      <color theme="0"/>
      <name val="Aptos Narrow"/>
      <family val="2"/>
      <scheme val="minor"/>
    </font>
    <font>
      <b/>
      <sz val="20"/>
      <color theme="3"/>
      <name val="Aptos Display"/>
      <family val="2"/>
      <scheme val="major"/>
    </font>
    <font>
      <b/>
      <sz val="16"/>
      <color theme="1"/>
      <name val="Aptos Narrow"/>
      <family val="2"/>
      <scheme val="minor"/>
    </font>
    <font>
      <b/>
      <sz val="12"/>
      <color theme="3"/>
      <name val="Aptos Narrow"/>
      <family val="2"/>
      <scheme val="minor"/>
    </font>
    <font>
      <b/>
      <sz val="9"/>
      <color theme="3"/>
      <name val="Aptos Narrow"/>
      <family val="2"/>
      <scheme val="minor"/>
    </font>
    <font>
      <b/>
      <sz val="12"/>
      <color rgb="FF44546A"/>
      <name val="Calibri"/>
      <family val="2"/>
    </font>
    <font>
      <sz val="9"/>
      <color theme="1"/>
      <name val="Aptos Narrow"/>
      <family val="2"/>
      <scheme val="minor"/>
    </font>
    <font>
      <sz val="11"/>
      <color rgb="FF000000"/>
      <name val="Calibri"/>
      <family val="2"/>
    </font>
    <font>
      <b/>
      <sz val="9"/>
      <color theme="0"/>
      <name val="Aptos Narrow"/>
      <family val="2"/>
      <scheme val="minor"/>
    </font>
    <font>
      <b/>
      <sz val="12"/>
      <color theme="0"/>
      <name val="Aptos Narrow"/>
      <family val="2"/>
      <scheme val="minor"/>
    </font>
    <font>
      <sz val="12"/>
      <color theme="0"/>
      <name val="Aptos Narrow"/>
      <family val="2"/>
      <scheme val="minor"/>
    </font>
    <font>
      <sz val="12"/>
      <color theme="1"/>
      <name val="Aptos Narrow"/>
      <family val="2"/>
      <scheme val="minor"/>
    </font>
    <font>
      <b/>
      <sz val="12"/>
      <color theme="1"/>
      <name val="Aptos Narrow"/>
      <family val="2"/>
      <scheme val="minor"/>
    </font>
    <font>
      <sz val="11"/>
      <name val="Aptos Narrow"/>
      <family val="2"/>
      <scheme val="minor"/>
    </font>
    <font>
      <b/>
      <sz val="12"/>
      <color rgb="FFFFFFFF"/>
      <name val="Calibri"/>
      <family val="2"/>
    </font>
    <font>
      <b/>
      <sz val="14"/>
      <color theme="1"/>
      <name val="Aptos Narrow"/>
      <family val="2"/>
      <scheme val="minor"/>
    </font>
    <font>
      <sz val="14"/>
      <color theme="1"/>
      <name val="Aptos Narrow"/>
      <family val="2"/>
      <scheme val="minor"/>
    </font>
    <font>
      <sz val="11"/>
      <color theme="3"/>
      <name val="Aptos Narrow"/>
      <family val="2"/>
      <scheme val="minor"/>
    </font>
    <font>
      <sz val="11"/>
      <color rgb="FFFF0000"/>
      <name val="Aptos Narrow"/>
      <family val="2"/>
      <scheme val="minor"/>
    </font>
    <font>
      <b/>
      <sz val="9"/>
      <name val="Aptos Narrow"/>
      <family val="2"/>
      <scheme val="minor"/>
    </font>
    <font>
      <b/>
      <sz val="12"/>
      <name val="Aptos Narrow"/>
      <family val="2"/>
      <scheme val="minor"/>
    </font>
    <font>
      <i/>
      <sz val="11"/>
      <color theme="1"/>
      <name val="Aptos Narrow"/>
      <family val="2"/>
      <scheme val="minor"/>
    </font>
    <font>
      <sz val="9"/>
      <color indexed="81"/>
      <name val="Tahoma"/>
      <family val="2"/>
    </font>
    <font>
      <sz val="11"/>
      <color rgb="FF0070C0"/>
      <name val="Aptos Narrow"/>
      <family val="2"/>
      <scheme val="minor"/>
    </font>
    <font>
      <b/>
      <sz val="9"/>
      <color indexed="81"/>
      <name val="Tahoma"/>
      <family val="2"/>
    </font>
    <font>
      <sz val="11"/>
      <name val="Calibri"/>
      <family val="2"/>
    </font>
    <font>
      <i/>
      <sz val="11"/>
      <name val="Aptos Narrow"/>
      <family val="2"/>
      <scheme val="minor"/>
    </font>
    <font>
      <sz val="9"/>
      <color theme="1"/>
      <name val="Segoe UI"/>
      <family val="2"/>
    </font>
    <font>
      <b/>
      <sz val="11"/>
      <name val="Aptos Narrow"/>
      <family val="2"/>
      <scheme val="minor"/>
    </font>
    <font>
      <b/>
      <sz val="20"/>
      <color theme="3"/>
      <name val="Arial Narrow"/>
      <family val="2"/>
    </font>
    <font>
      <sz val="11"/>
      <color theme="1"/>
      <name val="Arial Narrow"/>
      <family val="2"/>
    </font>
    <font>
      <sz val="11"/>
      <color rgb="FFFF0000"/>
      <name val="Arial Narrow"/>
      <family val="2"/>
    </font>
    <font>
      <b/>
      <sz val="16"/>
      <color theme="1"/>
      <name val="Arial Narrow"/>
      <family val="2"/>
    </font>
    <font>
      <b/>
      <sz val="15"/>
      <color theme="3"/>
      <name val="Arial Narrow"/>
      <family val="2"/>
    </font>
    <font>
      <b/>
      <sz val="12"/>
      <color theme="1"/>
      <name val="Arial Narrow"/>
      <family val="2"/>
    </font>
    <font>
      <b/>
      <sz val="12"/>
      <color theme="3"/>
      <name val="Arial Narrow"/>
      <family val="2"/>
    </font>
    <font>
      <b/>
      <sz val="9"/>
      <color theme="3"/>
      <name val="Arial Narrow"/>
      <family val="2"/>
    </font>
    <font>
      <b/>
      <sz val="12"/>
      <color rgb="FF44546A"/>
      <name val="Arial Narrow"/>
      <family val="2"/>
    </font>
    <font>
      <b/>
      <sz val="11"/>
      <color theme="0"/>
      <name val="Arial Narrow"/>
      <family val="2"/>
    </font>
    <font>
      <sz val="9"/>
      <color theme="1"/>
      <name val="Arial Narrow"/>
      <family val="2"/>
    </font>
    <font>
      <i/>
      <sz val="11"/>
      <color theme="1"/>
      <name val="Arial Narrow"/>
      <family val="2"/>
    </font>
    <font>
      <sz val="11"/>
      <color rgb="FF000000"/>
      <name val="Arial Narrow"/>
      <family val="2"/>
    </font>
    <font>
      <sz val="11"/>
      <color rgb="FF00B050"/>
      <name val="Arial Narrow"/>
      <family val="2"/>
    </font>
    <font>
      <sz val="11"/>
      <color rgb="FF0070C0"/>
      <name val="Arial Narrow"/>
      <family val="2"/>
    </font>
    <font>
      <sz val="11"/>
      <name val="Arial Narrow"/>
      <family val="2"/>
    </font>
    <font>
      <i/>
      <sz val="11"/>
      <name val="Arial Narrow"/>
      <family val="2"/>
    </font>
    <font>
      <b/>
      <sz val="9"/>
      <name val="Arial Narrow"/>
      <family val="2"/>
    </font>
    <font>
      <b/>
      <sz val="12"/>
      <color theme="0"/>
      <name val="Arial Narrow"/>
      <family val="2"/>
    </font>
    <font>
      <sz val="12"/>
      <color theme="0"/>
      <name val="Arial Narrow"/>
      <family val="2"/>
    </font>
    <font>
      <b/>
      <sz val="11"/>
      <color theme="1"/>
      <name val="Arial Narrow"/>
      <family val="2"/>
    </font>
    <font>
      <b/>
      <sz val="9"/>
      <color theme="0"/>
      <name val="Arial Narrow"/>
      <family val="2"/>
    </font>
    <font>
      <b/>
      <sz val="12"/>
      <color rgb="FFFFFFFF"/>
      <name val="Arial Narrow"/>
      <family val="2"/>
    </font>
    <font>
      <b/>
      <sz val="14"/>
      <color theme="1"/>
      <name val="Arial Narrow"/>
      <family val="2"/>
    </font>
    <font>
      <sz val="9"/>
      <color indexed="81"/>
      <name val="Tahoma"/>
      <charset val="1"/>
    </font>
    <font>
      <sz val="9"/>
      <color theme="1"/>
      <name val="Segoe UI"/>
    </font>
  </fonts>
  <fills count="15">
    <fill>
      <patternFill patternType="none"/>
    </fill>
    <fill>
      <patternFill patternType="gray125"/>
    </fill>
    <fill>
      <patternFill patternType="solid">
        <fgColor theme="4"/>
      </patternFill>
    </fill>
    <fill>
      <patternFill patternType="solid">
        <fgColor theme="5"/>
      </patternFill>
    </fill>
    <fill>
      <patternFill patternType="solid">
        <fgColor theme="8"/>
      </patternFill>
    </fill>
    <fill>
      <patternFill patternType="solid">
        <fgColor theme="9"/>
      </patternFill>
    </fill>
    <fill>
      <patternFill patternType="solid">
        <fgColor theme="0" tint="-4.9989318521683403E-2"/>
        <bgColor indexed="64"/>
      </patternFill>
    </fill>
    <fill>
      <patternFill patternType="solid">
        <fgColor theme="7" tint="0.59999389629810485"/>
        <bgColor indexed="64"/>
      </patternFill>
    </fill>
    <fill>
      <patternFill patternType="solid">
        <fgColor theme="5"/>
        <bgColor indexed="64"/>
      </patternFill>
    </fill>
    <fill>
      <patternFill patternType="solid">
        <fgColor rgb="FF8EA9DB"/>
        <bgColor rgb="FF000000"/>
      </patternFill>
    </fill>
    <fill>
      <patternFill patternType="solid">
        <fgColor theme="9" tint="0.39997558519241921"/>
        <bgColor indexed="64"/>
      </patternFill>
    </fill>
    <fill>
      <patternFill patternType="solid">
        <fgColor rgb="FFA9D08E"/>
        <bgColor rgb="FF000000"/>
      </patternFill>
    </fill>
    <fill>
      <patternFill patternType="solid">
        <fgColor rgb="FF70AD47"/>
        <bgColor rgb="FF000000"/>
      </patternFill>
    </fill>
    <fill>
      <patternFill patternType="solid">
        <fgColor rgb="FFFCE4D6"/>
        <bgColor rgb="FF000000"/>
      </patternFill>
    </fill>
    <fill>
      <patternFill patternType="solid">
        <fgColor rgb="FFFFFF00"/>
        <bgColor indexed="64"/>
      </patternFill>
    </fill>
  </fills>
  <borders count="57">
    <border>
      <left/>
      <right/>
      <top/>
      <bottom/>
      <diagonal/>
    </border>
    <border>
      <left/>
      <right/>
      <top/>
      <bottom style="thick">
        <color theme="4"/>
      </bottom>
      <diagonal/>
    </border>
    <border>
      <left style="thin">
        <color indexed="64"/>
      </left>
      <right style="thin">
        <color indexed="64"/>
      </right>
      <top style="thin">
        <color indexed="64"/>
      </top>
      <bottom style="thin">
        <color indexed="64"/>
      </bottom>
      <diagonal/>
    </border>
    <border>
      <left/>
      <right/>
      <top/>
      <bottom style="thick">
        <color rgb="FF4472C4"/>
      </bottom>
      <diagonal/>
    </border>
    <border>
      <left style="thin">
        <color indexed="64"/>
      </left>
      <right style="thin">
        <color indexed="64"/>
      </right>
      <top/>
      <bottom style="thin">
        <color auto="1"/>
      </bottom>
      <diagonal/>
    </border>
    <border>
      <left style="thin">
        <color indexed="64"/>
      </left>
      <right style="thin">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top style="medium">
        <color indexed="64"/>
      </top>
      <bottom style="thick">
        <color theme="4"/>
      </bottom>
      <diagonal/>
    </border>
    <border>
      <left/>
      <right style="medium">
        <color indexed="64"/>
      </right>
      <top style="medium">
        <color indexed="64"/>
      </top>
      <bottom style="thick">
        <color theme="4"/>
      </bottom>
      <diagonal/>
    </border>
    <border>
      <left style="medium">
        <color indexed="64"/>
      </left>
      <right/>
      <top/>
      <bottom style="thick">
        <color theme="4"/>
      </bottom>
      <diagonal/>
    </border>
    <border>
      <left/>
      <right style="medium">
        <color indexed="64"/>
      </right>
      <top/>
      <bottom style="thick">
        <color theme="4"/>
      </bottom>
      <diagonal/>
    </border>
    <border>
      <left style="medium">
        <color indexed="64"/>
      </left>
      <right style="thin">
        <color indexed="64"/>
      </right>
      <top style="thick">
        <color theme="4"/>
      </top>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diagonal/>
    </border>
    <border>
      <left style="medium">
        <color indexed="64"/>
      </left>
      <right style="thin">
        <color indexed="64"/>
      </right>
      <top/>
      <bottom style="thin">
        <color auto="1"/>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style="medium">
        <color indexed="64"/>
      </bottom>
      <diagonal/>
    </border>
    <border>
      <left style="thin">
        <color indexed="64"/>
      </left>
      <right style="medium">
        <color indexed="64"/>
      </right>
      <top style="thin">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right style="medium">
        <color indexed="64"/>
      </right>
      <top/>
      <bottom/>
      <diagonal/>
    </border>
    <border>
      <left/>
      <right style="thin">
        <color indexed="64"/>
      </right>
      <top style="thin">
        <color indexed="64"/>
      </top>
      <bottom/>
      <diagonal/>
    </border>
    <border>
      <left style="thin">
        <color indexed="64"/>
      </left>
      <right style="thin">
        <color indexed="64"/>
      </right>
      <top/>
      <bottom/>
      <diagonal/>
    </border>
    <border>
      <left style="medium">
        <color auto="1"/>
      </left>
      <right style="medium">
        <color auto="1"/>
      </right>
      <top style="medium">
        <color auto="1"/>
      </top>
      <bottom style="medium">
        <color auto="1"/>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medium">
        <color auto="1"/>
      </left>
      <right/>
      <top style="medium">
        <color auto="1"/>
      </top>
      <bottom style="thick">
        <color theme="4"/>
      </bottom>
      <diagonal/>
    </border>
    <border>
      <left/>
      <right style="medium">
        <color auto="1"/>
      </right>
      <top style="thin">
        <color indexed="64"/>
      </top>
      <bottom style="thin">
        <color indexed="64"/>
      </bottom>
      <diagonal/>
    </border>
    <border>
      <left/>
      <right style="medium">
        <color auto="1"/>
      </right>
      <top style="thin">
        <color indexed="64"/>
      </top>
      <bottom/>
      <diagonal/>
    </border>
    <border>
      <left style="medium">
        <color auto="1"/>
      </left>
      <right style="thin">
        <color indexed="64"/>
      </right>
      <top style="thin">
        <color indexed="64"/>
      </top>
      <bottom style="medium">
        <color auto="1"/>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auto="1"/>
      </left>
      <right/>
      <top/>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bottom style="thin">
        <color indexed="64"/>
      </bottom>
      <diagonal/>
    </border>
    <border>
      <left style="medium">
        <color indexed="64"/>
      </left>
      <right/>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style="thin">
        <color indexed="64"/>
      </left>
      <right/>
      <top/>
      <bottom style="thin">
        <color indexed="64"/>
      </bottom>
      <diagonal/>
    </border>
    <border>
      <left/>
      <right style="medium">
        <color auto="1"/>
      </right>
      <top/>
      <bottom style="thin">
        <color indexed="64"/>
      </bottom>
      <diagonal/>
    </border>
    <border>
      <left style="thin">
        <color indexed="64"/>
      </left>
      <right style="medium">
        <color indexed="64"/>
      </right>
      <top/>
      <bottom style="thin">
        <color indexed="64"/>
      </bottom>
      <diagonal/>
    </border>
  </borders>
  <cellStyleXfs count="10">
    <xf numFmtId="0" fontId="0" fillId="0" borderId="0"/>
    <xf numFmtId="44"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6" fillId="2" borderId="0" applyNumberFormat="0" applyBorder="0" applyAlignment="0" applyProtection="0"/>
    <xf numFmtId="0" fontId="6" fillId="3" borderId="0" applyNumberFormat="0" applyBorder="0" applyAlignment="0" applyProtection="0"/>
    <xf numFmtId="0" fontId="6" fillId="4" borderId="0" applyNumberFormat="0" applyBorder="0" applyAlignment="0" applyProtection="0"/>
    <xf numFmtId="0" fontId="6" fillId="5" borderId="0" applyNumberFormat="0" applyBorder="0" applyAlignment="0" applyProtection="0"/>
    <xf numFmtId="43" fontId="1" fillId="0" borderId="0" applyFont="0" applyFill="0" applyBorder="0" applyAlignment="0" applyProtection="0"/>
    <xf numFmtId="9" fontId="1" fillId="0" borderId="0" applyFont="0" applyFill="0" applyBorder="0" applyAlignment="0" applyProtection="0"/>
  </cellStyleXfs>
  <cellXfs count="506">
    <xf numFmtId="0" fontId="0" fillId="0" borderId="0" xfId="0"/>
    <xf numFmtId="37" fontId="0" fillId="0" borderId="2" xfId="0" applyNumberFormat="1" applyBorder="1" applyAlignment="1">
      <alignment horizontal="center" vertical="center"/>
    </xf>
    <xf numFmtId="0" fontId="8" fillId="0" borderId="0" xfId="0" applyFont="1" applyAlignment="1">
      <alignment vertical="center"/>
    </xf>
    <xf numFmtId="1" fontId="3" fillId="6" borderId="0" xfId="3" applyNumberFormat="1" applyFill="1" applyBorder="1" applyAlignment="1">
      <alignment horizontal="center" vertical="center"/>
    </xf>
    <xf numFmtId="0" fontId="3" fillId="0" borderId="1" xfId="3" applyFill="1" applyAlignment="1">
      <alignment vertical="center"/>
    </xf>
    <xf numFmtId="0" fontId="11" fillId="9" borderId="3" xfId="0" applyFont="1" applyFill="1" applyBorder="1" applyAlignment="1">
      <alignment horizontal="center" wrapText="1"/>
    </xf>
    <xf numFmtId="49" fontId="3" fillId="6" borderId="0" xfId="3" applyNumberFormat="1" applyFill="1" applyBorder="1" applyAlignment="1">
      <alignment horizontal="center" vertical="center"/>
    </xf>
    <xf numFmtId="1" fontId="3" fillId="0" borderId="1" xfId="3" applyNumberFormat="1" applyFill="1" applyAlignment="1">
      <alignment horizontal="center" vertical="center"/>
    </xf>
    <xf numFmtId="0" fontId="12" fillId="0" borderId="2" xfId="0" applyFont="1" applyBorder="1" applyAlignment="1">
      <alignment horizontal="center" vertical="center"/>
    </xf>
    <xf numFmtId="0" fontId="0" fillId="0" borderId="2" xfId="0" applyBorder="1" applyAlignment="1">
      <alignment horizontal="left" vertical="center" wrapText="1"/>
    </xf>
    <xf numFmtId="0" fontId="0" fillId="0" borderId="2" xfId="0" applyBorder="1" applyAlignment="1">
      <alignment horizontal="left" vertical="top" wrapText="1"/>
    </xf>
    <xf numFmtId="44" fontId="0" fillId="0" borderId="2" xfId="1" applyFont="1" applyBorder="1" applyAlignment="1">
      <alignment horizontal="center" vertical="center"/>
    </xf>
    <xf numFmtId="44" fontId="0" fillId="0" borderId="2" xfId="1" applyFont="1" applyFill="1" applyBorder="1" applyAlignment="1">
      <alignment vertical="center"/>
    </xf>
    <xf numFmtId="44" fontId="0" fillId="0" borderId="2" xfId="1" applyFont="1" applyBorder="1" applyAlignment="1">
      <alignment vertical="center"/>
    </xf>
    <xf numFmtId="0" fontId="0" fillId="0" borderId="2" xfId="0" applyBorder="1" applyAlignment="1">
      <alignment horizontal="center" vertical="center"/>
    </xf>
    <xf numFmtId="37" fontId="0" fillId="0" borderId="0" xfId="0" applyNumberFormat="1" applyAlignment="1">
      <alignment vertical="center"/>
    </xf>
    <xf numFmtId="0" fontId="0" fillId="0" borderId="0" xfId="0" applyAlignment="1">
      <alignment vertical="center"/>
    </xf>
    <xf numFmtId="0" fontId="0" fillId="0" borderId="2" xfId="0" applyBorder="1" applyAlignment="1">
      <alignment vertical="top" wrapText="1"/>
    </xf>
    <xf numFmtId="0" fontId="0" fillId="0" borderId="2" xfId="0" applyBorder="1" applyAlignment="1">
      <alignment vertical="center" wrapText="1"/>
    </xf>
    <xf numFmtId="44" fontId="0" fillId="0" borderId="2" xfId="1" applyFont="1" applyFill="1" applyBorder="1" applyAlignment="1">
      <alignment horizontal="center" vertical="center"/>
    </xf>
    <xf numFmtId="37" fontId="0" fillId="10" borderId="2" xfId="0" applyNumberFormat="1" applyFill="1" applyBorder="1" applyAlignment="1">
      <alignment horizontal="center" vertical="center"/>
    </xf>
    <xf numFmtId="164" fontId="14" fillId="2" borderId="2" xfId="1" applyNumberFormat="1" applyFont="1" applyFill="1" applyBorder="1" applyAlignment="1">
      <alignment horizontal="center" vertical="center"/>
    </xf>
    <xf numFmtId="164" fontId="15" fillId="2" borderId="2" xfId="1" applyNumberFormat="1" applyFont="1" applyFill="1" applyBorder="1" applyAlignment="1">
      <alignment vertical="center"/>
    </xf>
    <xf numFmtId="164" fontId="15" fillId="2" borderId="2" xfId="1" applyNumberFormat="1" applyFont="1" applyFill="1" applyBorder="1" applyAlignment="1">
      <alignment horizontal="right" vertical="center"/>
    </xf>
    <xf numFmtId="164" fontId="15" fillId="2" borderId="2" xfId="1" applyNumberFormat="1" applyFont="1" applyFill="1" applyBorder="1" applyAlignment="1">
      <alignment horizontal="center" vertical="center"/>
    </xf>
    <xf numFmtId="164" fontId="16" fillId="2" borderId="2" xfId="1" applyNumberFormat="1" applyFont="1" applyFill="1" applyBorder="1" applyAlignment="1">
      <alignment horizontal="center" vertical="center"/>
    </xf>
    <xf numFmtId="164" fontId="17" fillId="0" borderId="0" xfId="1" applyNumberFormat="1" applyFont="1" applyAlignment="1">
      <alignment vertical="center"/>
    </xf>
    <xf numFmtId="164" fontId="18" fillId="0" borderId="0" xfId="1" applyNumberFormat="1" applyFont="1" applyAlignment="1">
      <alignment vertical="center"/>
    </xf>
    <xf numFmtId="0" fontId="0" fillId="0" borderId="2" xfId="0" applyBorder="1" applyAlignment="1">
      <alignment vertical="center"/>
    </xf>
    <xf numFmtId="0" fontId="0" fillId="0" borderId="2" xfId="0" applyBorder="1" applyAlignment="1">
      <alignment horizontal="center" vertical="center" wrapText="1"/>
    </xf>
    <xf numFmtId="164" fontId="14" fillId="3" borderId="2" xfId="1" applyNumberFormat="1" applyFont="1" applyFill="1" applyBorder="1" applyAlignment="1">
      <alignment vertical="top"/>
    </xf>
    <xf numFmtId="164" fontId="15" fillId="3" borderId="2" xfId="1" applyNumberFormat="1" applyFont="1" applyFill="1" applyBorder="1" applyAlignment="1">
      <alignment vertical="top"/>
    </xf>
    <xf numFmtId="164" fontId="15" fillId="3" borderId="2" xfId="1" applyNumberFormat="1" applyFont="1" applyFill="1" applyBorder="1" applyAlignment="1">
      <alignment horizontal="right" vertical="center"/>
    </xf>
    <xf numFmtId="164" fontId="15" fillId="3" borderId="2" xfId="1" applyNumberFormat="1" applyFont="1" applyFill="1" applyBorder="1" applyAlignment="1">
      <alignment horizontal="center" vertical="center"/>
    </xf>
    <xf numFmtId="164" fontId="16" fillId="3" borderId="2" xfId="1" applyNumberFormat="1" applyFont="1" applyFill="1" applyBorder="1" applyAlignment="1">
      <alignment horizontal="center" vertical="center"/>
    </xf>
    <xf numFmtId="0" fontId="0" fillId="0" borderId="2" xfId="0" applyBorder="1"/>
    <xf numFmtId="164" fontId="14" fillId="5" borderId="2" xfId="1" applyNumberFormat="1" applyFont="1" applyFill="1" applyBorder="1" applyAlignment="1">
      <alignment vertical="center"/>
    </xf>
    <xf numFmtId="164" fontId="15" fillId="5" borderId="2" xfId="1" applyNumberFormat="1" applyFont="1" applyFill="1" applyBorder="1" applyAlignment="1">
      <alignment vertical="center"/>
    </xf>
    <xf numFmtId="164" fontId="15" fillId="5" borderId="2" xfId="1" applyNumberFormat="1" applyFont="1" applyFill="1" applyBorder="1" applyAlignment="1">
      <alignment horizontal="right" vertical="center"/>
    </xf>
    <xf numFmtId="164" fontId="15" fillId="5" borderId="2" xfId="1" applyNumberFormat="1" applyFont="1" applyFill="1" applyBorder="1" applyAlignment="1">
      <alignment horizontal="center" vertical="center"/>
    </xf>
    <xf numFmtId="164" fontId="20" fillId="12" borderId="4" xfId="1" applyNumberFormat="1" applyFont="1" applyFill="1" applyBorder="1"/>
    <xf numFmtId="164" fontId="16" fillId="5" borderId="2" xfId="1" applyNumberFormat="1" applyFont="1" applyFill="1" applyBorder="1" applyAlignment="1">
      <alignment horizontal="center" vertical="center"/>
    </xf>
    <xf numFmtId="44" fontId="0" fillId="0" borderId="2" xfId="1" applyFont="1" applyFill="1" applyBorder="1" applyAlignment="1">
      <alignment horizontal="left" vertical="top" wrapText="1"/>
    </xf>
    <xf numFmtId="44" fontId="0" fillId="0" borderId="2" xfId="1" applyFont="1" applyFill="1" applyBorder="1" applyAlignment="1">
      <alignment horizontal="left" vertical="top"/>
    </xf>
    <xf numFmtId="164" fontId="16" fillId="4" borderId="2" xfId="1" applyNumberFormat="1" applyFont="1" applyFill="1" applyBorder="1" applyAlignment="1">
      <alignment horizontal="center" vertical="center"/>
    </xf>
    <xf numFmtId="0" fontId="5" fillId="0" borderId="2" xfId="0" applyFont="1" applyBorder="1" applyAlignment="1">
      <alignment vertical="center"/>
    </xf>
    <xf numFmtId="164" fontId="21" fillId="0" borderId="0" xfId="1" applyNumberFormat="1" applyFont="1" applyAlignment="1">
      <alignment horizontal="center" vertical="center"/>
    </xf>
    <xf numFmtId="164" fontId="21" fillId="0" borderId="0" xfId="1" applyNumberFormat="1" applyFont="1" applyAlignment="1">
      <alignment vertical="center"/>
    </xf>
    <xf numFmtId="0" fontId="22" fillId="0" borderId="0" xfId="0" applyFont="1" applyAlignment="1">
      <alignment horizontal="center" vertical="center"/>
    </xf>
    <xf numFmtId="0" fontId="22" fillId="0" borderId="0" xfId="0" applyFont="1" applyAlignment="1">
      <alignment vertical="center"/>
    </xf>
    <xf numFmtId="0" fontId="0" fillId="0" borderId="0" xfId="0" applyAlignment="1">
      <alignment horizontal="center" vertical="center"/>
    </xf>
    <xf numFmtId="1" fontId="5" fillId="0" borderId="2" xfId="1" applyNumberFormat="1" applyFont="1" applyFill="1" applyBorder="1" applyAlignment="1">
      <alignment horizontal="center" vertical="center"/>
    </xf>
    <xf numFmtId="165" fontId="0" fillId="0" borderId="2" xfId="1" applyNumberFormat="1" applyFont="1" applyBorder="1" applyAlignment="1">
      <alignment vertical="center"/>
    </xf>
    <xf numFmtId="164" fontId="0" fillId="0" borderId="2" xfId="1" applyNumberFormat="1" applyFont="1" applyBorder="1" applyAlignment="1">
      <alignment horizontal="center" vertical="center"/>
    </xf>
    <xf numFmtId="164" fontId="0" fillId="0" borderId="2" xfId="1" applyNumberFormat="1" applyFont="1" applyFill="1" applyBorder="1" applyAlignment="1">
      <alignment vertical="center"/>
    </xf>
    <xf numFmtId="164" fontId="13" fillId="0" borderId="2" xfId="0" applyNumberFormat="1" applyFont="1" applyBorder="1"/>
    <xf numFmtId="164" fontId="0" fillId="0" borderId="2" xfId="1" applyNumberFormat="1" applyFont="1" applyBorder="1" applyAlignment="1">
      <alignment vertical="center"/>
    </xf>
    <xf numFmtId="164" fontId="13" fillId="0" borderId="4" xfId="0" applyNumberFormat="1" applyFont="1" applyBorder="1"/>
    <xf numFmtId="164" fontId="0" fillId="0" borderId="2" xfId="1" applyNumberFormat="1" applyFont="1" applyFill="1" applyBorder="1" applyAlignment="1">
      <alignment horizontal="center" vertical="center"/>
    </xf>
    <xf numFmtId="164" fontId="0" fillId="10" borderId="2" xfId="1" applyNumberFormat="1" applyFont="1" applyFill="1" applyBorder="1" applyAlignment="1">
      <alignment vertical="center"/>
    </xf>
    <xf numFmtId="164" fontId="13" fillId="11" borderId="4" xfId="0" applyNumberFormat="1" applyFont="1" applyFill="1" applyBorder="1"/>
    <xf numFmtId="164" fontId="1" fillId="0" borderId="2" xfId="1" applyNumberFormat="1" applyFont="1" applyFill="1" applyBorder="1" applyAlignment="1">
      <alignment horizontal="center" vertical="center"/>
    </xf>
    <xf numFmtId="164" fontId="19" fillId="0" borderId="2" xfId="1" applyNumberFormat="1" applyFont="1" applyFill="1" applyBorder="1" applyAlignment="1">
      <alignment vertical="center"/>
    </xf>
    <xf numFmtId="164" fontId="13" fillId="11" borderId="2" xfId="0" applyNumberFormat="1" applyFont="1" applyFill="1" applyBorder="1"/>
    <xf numFmtId="164" fontId="13" fillId="13" borderId="4" xfId="0" applyNumberFormat="1" applyFont="1" applyFill="1" applyBorder="1"/>
    <xf numFmtId="164" fontId="14" fillId="4" borderId="5" xfId="1" applyNumberFormat="1" applyFont="1" applyFill="1" applyBorder="1" applyAlignment="1">
      <alignment vertical="top"/>
    </xf>
    <xf numFmtId="164" fontId="15" fillId="4" borderId="5" xfId="1" applyNumberFormat="1" applyFont="1" applyFill="1" applyBorder="1" applyAlignment="1">
      <alignment vertical="top"/>
    </xf>
    <xf numFmtId="164" fontId="15" fillId="4" borderId="5" xfId="1" applyNumberFormat="1" applyFont="1" applyFill="1" applyBorder="1" applyAlignment="1">
      <alignment horizontal="right" vertical="center"/>
    </xf>
    <xf numFmtId="164" fontId="15" fillId="4" borderId="5" xfId="1" applyNumberFormat="1" applyFont="1" applyFill="1" applyBorder="1" applyAlignment="1">
      <alignment horizontal="center" vertical="center"/>
    </xf>
    <xf numFmtId="1" fontId="3" fillId="6" borderId="6" xfId="3" applyNumberFormat="1" applyFill="1" applyBorder="1" applyAlignment="1">
      <alignment horizontal="center" vertical="center"/>
    </xf>
    <xf numFmtId="1" fontId="3" fillId="6" borderId="7" xfId="3" applyNumberFormat="1" applyFill="1" applyBorder="1" applyAlignment="1">
      <alignment horizontal="center" vertical="center"/>
    </xf>
    <xf numFmtId="166" fontId="3" fillId="6" borderId="7" xfId="1" applyNumberFormat="1" applyFont="1" applyFill="1" applyBorder="1" applyAlignment="1">
      <alignment horizontal="center" vertical="center"/>
    </xf>
    <xf numFmtId="1" fontId="3" fillId="6" borderId="8" xfId="3" applyNumberFormat="1" applyFill="1" applyBorder="1" applyAlignment="1">
      <alignment horizontal="center" vertical="center"/>
    </xf>
    <xf numFmtId="37" fontId="0" fillId="0" borderId="9" xfId="0" applyNumberFormat="1" applyBorder="1" applyAlignment="1">
      <alignment horizontal="center" vertical="center"/>
    </xf>
    <xf numFmtId="37" fontId="0" fillId="10" borderId="9" xfId="0" applyNumberFormat="1" applyFill="1" applyBorder="1" applyAlignment="1">
      <alignment horizontal="center" vertical="center"/>
    </xf>
    <xf numFmtId="164" fontId="16" fillId="2" borderId="9" xfId="1" applyNumberFormat="1" applyFont="1" applyFill="1" applyBorder="1" applyAlignment="1">
      <alignment horizontal="center" vertical="center"/>
    </xf>
    <xf numFmtId="164" fontId="16" fillId="3" borderId="9" xfId="1" applyNumberFormat="1" applyFont="1" applyFill="1" applyBorder="1" applyAlignment="1">
      <alignment horizontal="center" vertical="center"/>
    </xf>
    <xf numFmtId="164" fontId="16" fillId="5" borderId="9" xfId="1" applyNumberFormat="1" applyFont="1" applyFill="1" applyBorder="1" applyAlignment="1">
      <alignment horizontal="center" vertical="center"/>
    </xf>
    <xf numFmtId="164" fontId="16" fillId="4" borderId="9" xfId="1" applyNumberFormat="1" applyFont="1" applyFill="1" applyBorder="1" applyAlignment="1">
      <alignment horizontal="center" vertical="center"/>
    </xf>
    <xf numFmtId="0" fontId="5" fillId="0" borderId="4" xfId="0" applyFont="1" applyBorder="1" applyAlignment="1">
      <alignment vertical="center"/>
    </xf>
    <xf numFmtId="0" fontId="12" fillId="0" borderId="4" xfId="0" applyFont="1" applyBorder="1" applyAlignment="1">
      <alignment horizontal="center" vertical="center"/>
    </xf>
    <xf numFmtId="0" fontId="0" fillId="0" borderId="4" xfId="0" applyBorder="1" applyAlignment="1">
      <alignment vertical="center"/>
    </xf>
    <xf numFmtId="0" fontId="0" fillId="0" borderId="4" xfId="0" applyBorder="1" applyAlignment="1">
      <alignment horizontal="left" vertical="top" wrapText="1"/>
    </xf>
    <xf numFmtId="44" fontId="0" fillId="0" borderId="4" xfId="1" applyFont="1" applyBorder="1" applyAlignment="1">
      <alignment horizontal="center" vertical="center"/>
    </xf>
    <xf numFmtId="44" fontId="0" fillId="0" borderId="4" xfId="1" applyFont="1" applyFill="1" applyBorder="1" applyAlignment="1">
      <alignment vertical="center"/>
    </xf>
    <xf numFmtId="1" fontId="5" fillId="0" borderId="4" xfId="1" applyNumberFormat="1" applyFont="1" applyFill="1" applyBorder="1" applyAlignment="1">
      <alignment horizontal="center" vertical="center"/>
    </xf>
    <xf numFmtId="44" fontId="0" fillId="0" borderId="4" xfId="1" applyFont="1" applyBorder="1" applyAlignment="1">
      <alignment vertical="center"/>
    </xf>
    <xf numFmtId="0" fontId="0" fillId="0" borderId="4" xfId="0" applyBorder="1" applyAlignment="1">
      <alignment horizontal="center" vertical="center"/>
    </xf>
    <xf numFmtId="0" fontId="11" fillId="9" borderId="11" xfId="0" applyFont="1" applyFill="1" applyBorder="1" applyAlignment="1">
      <alignment horizontal="center" wrapText="1"/>
    </xf>
    <xf numFmtId="1" fontId="3" fillId="6" borderId="15" xfId="3" applyNumberFormat="1" applyFill="1" applyBorder="1" applyAlignment="1">
      <alignment horizontal="center" vertical="center"/>
    </xf>
    <xf numFmtId="164" fontId="0" fillId="0" borderId="0" xfId="1" applyNumberFormat="1" applyFont="1" applyBorder="1"/>
    <xf numFmtId="49" fontId="0" fillId="0" borderId="17" xfId="0" applyNumberFormat="1" applyBorder="1" applyAlignment="1">
      <alignment horizontal="center" vertical="center"/>
    </xf>
    <xf numFmtId="0" fontId="0" fillId="0" borderId="17" xfId="0" applyBorder="1" applyAlignment="1">
      <alignment horizontal="center" vertical="center"/>
    </xf>
    <xf numFmtId="14" fontId="0" fillId="0" borderId="17" xfId="0" applyNumberFormat="1" applyBorder="1" applyAlignment="1">
      <alignment horizontal="center" vertical="center"/>
    </xf>
    <xf numFmtId="164" fontId="16" fillId="2" borderId="17" xfId="1" applyNumberFormat="1" applyFont="1" applyFill="1" applyBorder="1" applyAlignment="1">
      <alignment horizontal="center" vertical="center"/>
    </xf>
    <xf numFmtId="0" fontId="5" fillId="0" borderId="20" xfId="0" applyFont="1" applyBorder="1" applyAlignment="1">
      <alignment vertical="center" textRotation="90"/>
    </xf>
    <xf numFmtId="164" fontId="15" fillId="3" borderId="17" xfId="1" applyNumberFormat="1" applyFont="1" applyFill="1" applyBorder="1" applyAlignment="1">
      <alignment horizontal="center" vertical="center"/>
    </xf>
    <xf numFmtId="164" fontId="15" fillId="5" borderId="17" xfId="1" applyNumberFormat="1" applyFont="1" applyFill="1" applyBorder="1" applyAlignment="1">
      <alignment horizontal="center" vertical="center"/>
    </xf>
    <xf numFmtId="164" fontId="15" fillId="4" borderId="23" xfId="1" applyNumberFormat="1" applyFont="1" applyFill="1" applyBorder="1" applyAlignment="1">
      <alignment horizontal="center" vertical="center"/>
    </xf>
    <xf numFmtId="1" fontId="3" fillId="6" borderId="24" xfId="3" applyNumberFormat="1" applyFill="1" applyBorder="1" applyAlignment="1">
      <alignment horizontal="center" vertical="center"/>
    </xf>
    <xf numFmtId="1" fontId="3" fillId="6" borderId="25" xfId="3" applyNumberFormat="1" applyFill="1" applyBorder="1" applyAlignment="1">
      <alignment horizontal="center" vertical="center"/>
    </xf>
    <xf numFmtId="14" fontId="23" fillId="6" borderId="26" xfId="3" applyNumberFormat="1" applyFont="1" applyFill="1" applyBorder="1" applyAlignment="1">
      <alignment horizontal="right"/>
    </xf>
    <xf numFmtId="1" fontId="3" fillId="6" borderId="1" xfId="3" applyNumberFormat="1" applyFill="1" applyAlignment="1">
      <alignment horizontal="center" vertical="center"/>
    </xf>
    <xf numFmtId="9" fontId="0" fillId="0" borderId="2" xfId="1" applyNumberFormat="1" applyFont="1" applyBorder="1" applyAlignment="1">
      <alignment vertical="center"/>
    </xf>
    <xf numFmtId="9" fontId="0" fillId="0" borderId="2" xfId="1" applyNumberFormat="1" applyFont="1" applyFill="1" applyBorder="1" applyAlignment="1">
      <alignment vertical="center"/>
    </xf>
    <xf numFmtId="44" fontId="0" fillId="0" borderId="27" xfId="1" applyFont="1" applyBorder="1" applyAlignment="1">
      <alignment vertical="center"/>
    </xf>
    <xf numFmtId="44" fontId="0" fillId="0" borderId="9" xfId="1" applyFont="1" applyBorder="1" applyAlignment="1">
      <alignment vertical="center"/>
    </xf>
    <xf numFmtId="164" fontId="14" fillId="7" borderId="5" xfId="1" applyNumberFormat="1" applyFont="1" applyFill="1" applyBorder="1" applyAlignment="1">
      <alignment vertical="top"/>
    </xf>
    <xf numFmtId="164" fontId="27" fillId="0" borderId="2" xfId="1" applyNumberFormat="1" applyFont="1" applyBorder="1" applyAlignment="1">
      <alignment horizontal="center" vertical="center"/>
    </xf>
    <xf numFmtId="164" fontId="24" fillId="0" borderId="2" xfId="1" applyNumberFormat="1" applyFont="1" applyFill="1" applyBorder="1" applyAlignment="1">
      <alignment vertical="center"/>
    </xf>
    <xf numFmtId="164" fontId="0" fillId="0" borderId="4" xfId="1" applyNumberFormat="1" applyFont="1" applyFill="1" applyBorder="1" applyAlignment="1">
      <alignment vertical="center"/>
    </xf>
    <xf numFmtId="164" fontId="0" fillId="0" borderId="4" xfId="1" applyNumberFormat="1" applyFont="1" applyBorder="1" applyAlignment="1">
      <alignment vertical="center"/>
    </xf>
    <xf numFmtId="164" fontId="19" fillId="0" borderId="4" xfId="1" applyNumberFormat="1" applyFont="1" applyFill="1" applyBorder="1" applyAlignment="1">
      <alignment vertical="center"/>
    </xf>
    <xf numFmtId="164" fontId="15" fillId="5" borderId="4" xfId="1" applyNumberFormat="1" applyFont="1" applyFill="1" applyBorder="1" applyAlignment="1">
      <alignment horizontal="center" vertical="center"/>
    </xf>
    <xf numFmtId="164" fontId="29" fillId="0" borderId="2" xfId="1" applyNumberFormat="1" applyFont="1" applyFill="1" applyBorder="1" applyAlignment="1">
      <alignment horizontal="center" vertical="center"/>
    </xf>
    <xf numFmtId="164" fontId="29" fillId="0" borderId="2" xfId="1" applyNumberFormat="1" applyFont="1" applyFill="1" applyBorder="1" applyAlignment="1">
      <alignment vertical="center"/>
    </xf>
    <xf numFmtId="164" fontId="29" fillId="0" borderId="2" xfId="1" applyNumberFormat="1" applyFont="1" applyBorder="1" applyAlignment="1">
      <alignment horizontal="center" vertical="center"/>
    </xf>
    <xf numFmtId="164" fontId="0" fillId="0" borderId="0" xfId="0" applyNumberFormat="1" applyAlignment="1">
      <alignment vertical="center"/>
    </xf>
    <xf numFmtId="164" fontId="24" fillId="0" borderId="2" xfId="1" applyNumberFormat="1" applyFont="1" applyBorder="1" applyAlignment="1">
      <alignment vertical="center"/>
    </xf>
    <xf numFmtId="167" fontId="0" fillId="0" borderId="9" xfId="0" applyNumberFormat="1" applyBorder="1" applyAlignment="1">
      <alignment horizontal="center" vertical="center"/>
    </xf>
    <xf numFmtId="167" fontId="0" fillId="0" borderId="2" xfId="0" applyNumberFormat="1" applyBorder="1" applyAlignment="1">
      <alignment horizontal="center" vertical="center"/>
    </xf>
    <xf numFmtId="167" fontId="19" fillId="0" borderId="2" xfId="0" applyNumberFormat="1" applyFont="1" applyBorder="1" applyAlignment="1">
      <alignment horizontal="center" vertical="center"/>
    </xf>
    <xf numFmtId="167" fontId="24" fillId="0" borderId="2" xfId="0" applyNumberFormat="1" applyFont="1" applyBorder="1" applyAlignment="1">
      <alignment horizontal="center" vertical="center"/>
    </xf>
    <xf numFmtId="164" fontId="31" fillId="0" borderId="4" xfId="0" applyNumberFormat="1" applyFont="1" applyBorder="1"/>
    <xf numFmtId="164" fontId="32" fillId="0" borderId="2" xfId="1" applyNumberFormat="1" applyFont="1" applyBorder="1" applyAlignment="1">
      <alignment horizontal="center" vertical="center"/>
    </xf>
    <xf numFmtId="164" fontId="19" fillId="0" borderId="2" xfId="1" applyNumberFormat="1" applyFont="1" applyBorder="1" applyAlignment="1">
      <alignment horizontal="center" vertical="center"/>
    </xf>
    <xf numFmtId="0" fontId="19" fillId="0" borderId="2" xfId="0" applyFont="1" applyBorder="1" applyAlignment="1">
      <alignment vertical="center" wrapText="1"/>
    </xf>
    <xf numFmtId="164" fontId="25" fillId="2" borderId="2" xfId="1" applyNumberFormat="1" applyFont="1" applyFill="1" applyBorder="1" applyAlignment="1">
      <alignment horizontal="center" vertical="center"/>
    </xf>
    <xf numFmtId="44" fontId="0" fillId="0" borderId="0" xfId="1" applyFont="1" applyBorder="1" applyAlignment="1">
      <alignment vertical="center"/>
    </xf>
    <xf numFmtId="164" fontId="29" fillId="0" borderId="2" xfId="1" applyNumberFormat="1" applyFont="1" applyBorder="1" applyAlignment="1">
      <alignment vertical="center"/>
    </xf>
    <xf numFmtId="0" fontId="0" fillId="0" borderId="0" xfId="0" applyAlignment="1">
      <alignment wrapText="1"/>
    </xf>
    <xf numFmtId="0" fontId="5" fillId="0" borderId="0" xfId="0" applyFont="1" applyAlignment="1">
      <alignment vertical="center"/>
    </xf>
    <xf numFmtId="0" fontId="12" fillId="0" borderId="0" xfId="0" applyFont="1" applyAlignment="1">
      <alignment horizontal="center" vertical="center"/>
    </xf>
    <xf numFmtId="0" fontId="0" fillId="0" borderId="0" xfId="0" applyAlignment="1">
      <alignment horizontal="left" vertical="top" wrapText="1"/>
    </xf>
    <xf numFmtId="44" fontId="0" fillId="0" borderId="0" xfId="1" applyFont="1" applyBorder="1" applyAlignment="1">
      <alignment horizontal="center" vertical="center"/>
    </xf>
    <xf numFmtId="44" fontId="0" fillId="0" borderId="0" xfId="1" applyFont="1" applyFill="1" applyBorder="1" applyAlignment="1">
      <alignment vertical="center"/>
    </xf>
    <xf numFmtId="9" fontId="0" fillId="0" borderId="0" xfId="9" applyFont="1" applyAlignment="1">
      <alignment vertical="center"/>
    </xf>
    <xf numFmtId="0" fontId="19" fillId="0" borderId="2" xfId="0" applyFont="1" applyBorder="1" applyAlignment="1">
      <alignment vertical="center"/>
    </xf>
    <xf numFmtId="164" fontId="15" fillId="2" borderId="2" xfId="1" applyNumberFormat="1" applyFont="1" applyFill="1" applyBorder="1" applyAlignment="1">
      <alignment horizontal="center" vertical="center" wrapText="1"/>
    </xf>
    <xf numFmtId="164" fontId="15" fillId="3" borderId="2" xfId="1" applyNumberFormat="1" applyFont="1" applyFill="1" applyBorder="1" applyAlignment="1">
      <alignment horizontal="center" vertical="center" wrapText="1"/>
    </xf>
    <xf numFmtId="164" fontId="15" fillId="5" borderId="2" xfId="1" applyNumberFormat="1" applyFont="1" applyFill="1" applyBorder="1" applyAlignment="1">
      <alignment horizontal="center" vertical="center" wrapText="1"/>
    </xf>
    <xf numFmtId="0" fontId="0" fillId="0" borderId="0" xfId="0" applyAlignment="1">
      <alignment horizontal="center" vertical="center" wrapText="1"/>
    </xf>
    <xf numFmtId="0" fontId="0" fillId="0" borderId="32" xfId="0" applyBorder="1" applyAlignment="1">
      <alignment horizontal="center" vertical="center"/>
    </xf>
    <xf numFmtId="14" fontId="0" fillId="0" borderId="32" xfId="0" applyNumberFormat="1" applyBorder="1" applyAlignment="1">
      <alignment horizontal="center" vertical="center"/>
    </xf>
    <xf numFmtId="164" fontId="15" fillId="2" borderId="32" xfId="1" applyNumberFormat="1" applyFont="1" applyFill="1" applyBorder="1" applyAlignment="1">
      <alignment horizontal="center" vertical="center"/>
    </xf>
    <xf numFmtId="164" fontId="15" fillId="3" borderId="32" xfId="1" applyNumberFormat="1" applyFont="1" applyFill="1" applyBorder="1" applyAlignment="1">
      <alignment horizontal="center" vertical="center"/>
    </xf>
    <xf numFmtId="164" fontId="15" fillId="5" borderId="32" xfId="1" applyNumberFormat="1" applyFont="1" applyFill="1" applyBorder="1" applyAlignment="1">
      <alignment horizontal="center" vertical="center"/>
    </xf>
    <xf numFmtId="167" fontId="0" fillId="0" borderId="20" xfId="1" applyNumberFormat="1" applyFont="1" applyBorder="1" applyAlignment="1">
      <alignment vertical="center"/>
    </xf>
    <xf numFmtId="167" fontId="0" fillId="0" borderId="17" xfId="0" applyNumberFormat="1" applyBorder="1" applyAlignment="1">
      <alignment horizontal="center" vertical="center"/>
    </xf>
    <xf numFmtId="164" fontId="16" fillId="2" borderId="20" xfId="1" applyNumberFormat="1" applyFont="1" applyFill="1" applyBorder="1" applyAlignment="1">
      <alignment horizontal="center" vertical="center"/>
    </xf>
    <xf numFmtId="164" fontId="16" fillId="5" borderId="20" xfId="1" applyNumberFormat="1" applyFont="1" applyFill="1" applyBorder="1" applyAlignment="1">
      <alignment horizontal="center" vertical="center"/>
    </xf>
    <xf numFmtId="164" fontId="16" fillId="5" borderId="35" xfId="1" applyNumberFormat="1" applyFont="1" applyFill="1" applyBorder="1" applyAlignment="1">
      <alignment horizontal="center" vertical="center"/>
    </xf>
    <xf numFmtId="164" fontId="18" fillId="0" borderId="0" xfId="1" applyNumberFormat="1" applyFont="1" applyBorder="1" applyAlignment="1">
      <alignment vertical="center"/>
    </xf>
    <xf numFmtId="44" fontId="18" fillId="0" borderId="0" xfId="0" applyNumberFormat="1" applyFont="1" applyAlignment="1">
      <alignment horizontal="center" vertical="center"/>
    </xf>
    <xf numFmtId="44" fontId="18" fillId="0" borderId="28" xfId="0" applyNumberFormat="1" applyFont="1" applyBorder="1" applyAlignment="1">
      <alignment horizontal="center" vertical="center"/>
    </xf>
    <xf numFmtId="167" fontId="0" fillId="0" borderId="35" xfId="1" applyNumberFormat="1" applyFont="1" applyBorder="1" applyAlignment="1">
      <alignment vertical="center"/>
    </xf>
    <xf numFmtId="44" fontId="18" fillId="0" borderId="41" xfId="0" applyNumberFormat="1" applyFont="1" applyBorder="1" applyAlignment="1">
      <alignment horizontal="center" vertical="center"/>
    </xf>
    <xf numFmtId="44" fontId="0" fillId="0" borderId="24" xfId="1" applyFont="1" applyBorder="1" applyAlignment="1">
      <alignment vertical="center"/>
    </xf>
    <xf numFmtId="44" fontId="0" fillId="0" borderId="26" xfId="1" applyFont="1" applyBorder="1" applyAlignment="1">
      <alignment vertical="center"/>
    </xf>
    <xf numFmtId="0" fontId="3" fillId="0" borderId="0" xfId="3" applyFill="1" applyBorder="1" applyAlignment="1">
      <alignment vertical="center"/>
    </xf>
    <xf numFmtId="164" fontId="0" fillId="0" borderId="32" xfId="1" applyNumberFormat="1" applyFont="1" applyBorder="1" applyAlignment="1">
      <alignment vertical="center"/>
    </xf>
    <xf numFmtId="164" fontId="0" fillId="0" borderId="32" xfId="1" applyNumberFormat="1" applyFont="1" applyFill="1" applyBorder="1" applyAlignment="1">
      <alignment vertical="center"/>
    </xf>
    <xf numFmtId="166" fontId="3" fillId="6" borderId="25" xfId="1" applyNumberFormat="1" applyFont="1" applyFill="1" applyBorder="1" applyAlignment="1">
      <alignment horizontal="center" vertical="center"/>
    </xf>
    <xf numFmtId="1" fontId="3" fillId="6" borderId="25" xfId="3" applyNumberFormat="1" applyFill="1" applyBorder="1" applyAlignment="1">
      <alignment horizontal="center" vertical="center" wrapText="1"/>
    </xf>
    <xf numFmtId="166" fontId="9" fillId="6" borderId="24" xfId="1" applyNumberFormat="1" applyFont="1" applyFill="1" applyBorder="1" applyAlignment="1">
      <alignment horizontal="center" vertical="center"/>
    </xf>
    <xf numFmtId="0" fontId="33" fillId="0" borderId="0" xfId="0" applyFont="1" applyAlignment="1">
      <alignment wrapText="1"/>
    </xf>
    <xf numFmtId="164" fontId="0" fillId="0" borderId="20" xfId="1" applyNumberFormat="1" applyFont="1" applyBorder="1" applyAlignment="1">
      <alignment vertical="center"/>
    </xf>
    <xf numFmtId="164" fontId="0" fillId="0" borderId="20" xfId="1" applyNumberFormat="1" applyFont="1" applyFill="1" applyBorder="1" applyAlignment="1">
      <alignment vertical="center"/>
    </xf>
    <xf numFmtId="164" fontId="15" fillId="2" borderId="20" xfId="1" applyNumberFormat="1" applyFont="1" applyFill="1" applyBorder="1" applyAlignment="1">
      <alignment horizontal="center" vertical="center"/>
    </xf>
    <xf numFmtId="164" fontId="15" fillId="3" borderId="20" xfId="1" applyNumberFormat="1" applyFont="1" applyFill="1" applyBorder="1" applyAlignment="1">
      <alignment horizontal="center" vertical="center"/>
    </xf>
    <xf numFmtId="164" fontId="15" fillId="5" borderId="20" xfId="1" applyNumberFormat="1" applyFont="1" applyFill="1" applyBorder="1" applyAlignment="1">
      <alignment horizontal="center" vertical="center"/>
    </xf>
    <xf numFmtId="164" fontId="15" fillId="7" borderId="37" xfId="1" applyNumberFormat="1" applyFont="1" applyFill="1" applyBorder="1" applyAlignment="1">
      <alignment horizontal="center" vertical="center"/>
    </xf>
    <xf numFmtId="164" fontId="15" fillId="7" borderId="45" xfId="1" applyNumberFormat="1" applyFont="1" applyFill="1" applyBorder="1" applyAlignment="1">
      <alignment horizontal="center" vertical="center" wrapText="1"/>
    </xf>
    <xf numFmtId="164" fontId="15" fillId="7" borderId="46" xfId="1" applyNumberFormat="1" applyFont="1" applyFill="1" applyBorder="1" applyAlignment="1">
      <alignment horizontal="center" vertical="center"/>
    </xf>
    <xf numFmtId="164" fontId="16" fillId="7" borderId="37" xfId="1" applyNumberFormat="1" applyFont="1" applyFill="1" applyBorder="1" applyAlignment="1">
      <alignment horizontal="center" vertical="center"/>
    </xf>
    <xf numFmtId="164" fontId="16" fillId="7" borderId="47" xfId="1" applyNumberFormat="1" applyFont="1" applyFill="1" applyBorder="1" applyAlignment="1">
      <alignment horizontal="center" vertical="center"/>
    </xf>
    <xf numFmtId="0" fontId="0" fillId="0" borderId="20" xfId="0" applyBorder="1" applyAlignment="1">
      <alignment horizontal="left" vertical="center" wrapText="1"/>
    </xf>
    <xf numFmtId="0" fontId="0" fillId="0" borderId="20" xfId="0" applyBorder="1" applyAlignment="1">
      <alignment vertical="center" wrapText="1"/>
    </xf>
    <xf numFmtId="164" fontId="26" fillId="2" borderId="20" xfId="1" applyNumberFormat="1" applyFont="1" applyFill="1" applyBorder="1" applyAlignment="1">
      <alignment vertical="center"/>
    </xf>
    <xf numFmtId="164" fontId="15" fillId="3" borderId="20" xfId="1" applyNumberFormat="1" applyFont="1" applyFill="1" applyBorder="1" applyAlignment="1">
      <alignment vertical="top"/>
    </xf>
    <xf numFmtId="0" fontId="0" fillId="0" borderId="20" xfId="0" applyBorder="1"/>
    <xf numFmtId="164" fontId="15" fillId="5" borderId="20" xfId="1" applyNumberFormat="1" applyFont="1" applyFill="1" applyBorder="1" applyAlignment="1">
      <alignment vertical="center"/>
    </xf>
    <xf numFmtId="164" fontId="17" fillId="0" borderId="0" xfId="1" applyNumberFormat="1" applyFont="1" applyBorder="1" applyAlignment="1">
      <alignment vertical="center"/>
    </xf>
    <xf numFmtId="0" fontId="0" fillId="0" borderId="20" xfId="0" applyBorder="1" applyAlignment="1">
      <alignment vertical="center"/>
    </xf>
    <xf numFmtId="164" fontId="15" fillId="7" borderId="37" xfId="1" applyNumberFormat="1" applyFont="1" applyFill="1" applyBorder="1" applyAlignment="1">
      <alignment vertical="top"/>
    </xf>
    <xf numFmtId="164" fontId="15" fillId="7" borderId="45" xfId="1" applyNumberFormat="1" applyFont="1" applyFill="1" applyBorder="1" applyAlignment="1">
      <alignment horizontal="center" vertical="center"/>
    </xf>
    <xf numFmtId="164" fontId="16" fillId="7" borderId="48" xfId="1" applyNumberFormat="1" applyFont="1" applyFill="1" applyBorder="1" applyAlignment="1">
      <alignment horizontal="center" vertical="center"/>
    </xf>
    <xf numFmtId="164" fontId="18" fillId="0" borderId="25" xfId="1" applyNumberFormat="1" applyFont="1" applyBorder="1" applyAlignment="1">
      <alignment vertical="center"/>
    </xf>
    <xf numFmtId="164" fontId="15" fillId="2" borderId="2" xfId="1" applyNumberFormat="1" applyFont="1" applyFill="1" applyBorder="1" applyAlignment="1">
      <alignment horizontal="right" vertical="center" wrapText="1"/>
    </xf>
    <xf numFmtId="164" fontId="15" fillId="3" borderId="2" xfId="1" applyNumberFormat="1" applyFont="1" applyFill="1" applyBorder="1" applyAlignment="1">
      <alignment horizontal="right" vertical="center" wrapText="1"/>
    </xf>
    <xf numFmtId="164" fontId="15" fillId="5" borderId="2" xfId="1" applyNumberFormat="1" applyFont="1" applyFill="1" applyBorder="1" applyAlignment="1">
      <alignment horizontal="right" vertical="center" wrapText="1"/>
    </xf>
    <xf numFmtId="164" fontId="15" fillId="7" borderId="45" xfId="1" applyNumberFormat="1" applyFont="1" applyFill="1" applyBorder="1" applyAlignment="1">
      <alignment horizontal="right" vertical="center" wrapText="1"/>
    </xf>
    <xf numFmtId="9" fontId="0" fillId="0" borderId="0" xfId="9" applyFont="1" applyBorder="1" applyAlignment="1">
      <alignment vertical="center"/>
    </xf>
    <xf numFmtId="9" fontId="18" fillId="0" borderId="25" xfId="9" applyFont="1" applyBorder="1" applyAlignment="1">
      <alignment vertical="center"/>
    </xf>
    <xf numFmtId="44" fontId="0" fillId="0" borderId="49" xfId="1" applyFont="1" applyFill="1" applyBorder="1" applyAlignment="1">
      <alignment vertical="center"/>
    </xf>
    <xf numFmtId="0" fontId="0" fillId="0" borderId="4" xfId="0" applyBorder="1" applyAlignment="1">
      <alignment horizontal="center" vertical="center" wrapText="1"/>
    </xf>
    <xf numFmtId="44" fontId="18" fillId="0" borderId="50" xfId="1" applyFont="1" applyBorder="1" applyAlignment="1">
      <alignment vertical="center"/>
    </xf>
    <xf numFmtId="164" fontId="18" fillId="0" borderId="24" xfId="1" applyNumberFormat="1" applyFont="1" applyBorder="1" applyAlignment="1">
      <alignment vertical="center"/>
    </xf>
    <xf numFmtId="164" fontId="18" fillId="0" borderId="26" xfId="1" applyNumberFormat="1" applyFont="1" applyBorder="1" applyAlignment="1">
      <alignment vertical="center"/>
    </xf>
    <xf numFmtId="164" fontId="21" fillId="0" borderId="25" xfId="1" applyNumberFormat="1" applyFont="1" applyBorder="1" applyAlignment="1">
      <alignment vertical="center"/>
    </xf>
    <xf numFmtId="9" fontId="8" fillId="0" borderId="25" xfId="9" applyFont="1" applyBorder="1" applyAlignment="1">
      <alignment horizontal="right" vertical="center"/>
    </xf>
    <xf numFmtId="9" fontId="8" fillId="0" borderId="31" xfId="9" applyFont="1" applyBorder="1" applyAlignment="1">
      <alignment horizontal="right" vertical="center"/>
    </xf>
    <xf numFmtId="166" fontId="3" fillId="6" borderId="8" xfId="1" applyNumberFormat="1" applyFont="1" applyFill="1" applyBorder="1" applyAlignment="1">
      <alignment horizontal="center" vertical="center"/>
    </xf>
    <xf numFmtId="1" fontId="3" fillId="0" borderId="0" xfId="3" applyNumberFormat="1" applyFill="1" applyBorder="1" applyAlignment="1">
      <alignment horizontal="center" vertical="center"/>
    </xf>
    <xf numFmtId="167" fontId="0" fillId="0" borderId="52" xfId="8" applyNumberFormat="1" applyFont="1" applyBorder="1" applyAlignment="1">
      <alignment vertical="center"/>
    </xf>
    <xf numFmtId="164" fontId="18" fillId="0" borderId="53" xfId="1" applyNumberFormat="1" applyFont="1" applyBorder="1" applyAlignment="1">
      <alignment vertical="center"/>
    </xf>
    <xf numFmtId="167" fontId="8" fillId="0" borderId="31" xfId="8" applyNumberFormat="1" applyFont="1" applyBorder="1" applyAlignment="1">
      <alignment vertical="center"/>
    </xf>
    <xf numFmtId="0" fontId="5" fillId="0" borderId="11" xfId="0" applyFont="1" applyBorder="1" applyAlignment="1">
      <alignment vertical="center"/>
    </xf>
    <xf numFmtId="0" fontId="12" fillId="0" borderId="11" xfId="0" applyFont="1" applyBorder="1" applyAlignment="1">
      <alignment horizontal="center" vertical="center"/>
    </xf>
    <xf numFmtId="43" fontId="8" fillId="0" borderId="31" xfId="0" applyNumberFormat="1" applyFont="1" applyBorder="1" applyAlignment="1">
      <alignment vertical="center"/>
    </xf>
    <xf numFmtId="0" fontId="0" fillId="0" borderId="19" xfId="0" applyBorder="1" applyAlignment="1">
      <alignment horizontal="left" vertical="center" wrapText="1"/>
    </xf>
    <xf numFmtId="164" fontId="27" fillId="0" borderId="4" xfId="1" applyNumberFormat="1" applyFont="1" applyBorder="1" applyAlignment="1">
      <alignment horizontal="center" vertical="center"/>
    </xf>
    <xf numFmtId="164" fontId="0" fillId="0" borderId="54" xfId="1" applyNumberFormat="1" applyFont="1" applyBorder="1" applyAlignment="1">
      <alignment vertical="center"/>
    </xf>
    <xf numFmtId="164" fontId="0" fillId="0" borderId="19" xfId="1" applyNumberFormat="1" applyFont="1" applyBorder="1"/>
    <xf numFmtId="49" fontId="0" fillId="0" borderId="54" xfId="0" applyNumberFormat="1" applyBorder="1" applyAlignment="1">
      <alignment horizontal="center" vertical="center"/>
    </xf>
    <xf numFmtId="167" fontId="0" fillId="0" borderId="19" xfId="1" applyNumberFormat="1" applyFont="1" applyBorder="1" applyAlignment="1">
      <alignment vertical="center"/>
    </xf>
    <xf numFmtId="167" fontId="0" fillId="0" borderId="55" xfId="1" applyNumberFormat="1" applyFont="1" applyBorder="1" applyAlignment="1">
      <alignment vertical="center"/>
    </xf>
    <xf numFmtId="167" fontId="0" fillId="0" borderId="49" xfId="0" applyNumberFormat="1" applyBorder="1" applyAlignment="1">
      <alignment horizontal="center" vertical="center"/>
    </xf>
    <xf numFmtId="167" fontId="0" fillId="0" borderId="4" xfId="0" applyNumberFormat="1" applyBorder="1" applyAlignment="1">
      <alignment horizontal="center" vertical="center"/>
    </xf>
    <xf numFmtId="167" fontId="19" fillId="0" borderId="4" xfId="0" applyNumberFormat="1" applyFont="1" applyBorder="1" applyAlignment="1">
      <alignment horizontal="center" vertical="center"/>
    </xf>
    <xf numFmtId="167" fontId="0" fillId="0" borderId="56" xfId="0" applyNumberFormat="1" applyBorder="1" applyAlignment="1">
      <alignment horizontal="center" vertical="center"/>
    </xf>
    <xf numFmtId="1" fontId="3" fillId="6" borderId="31" xfId="3" applyNumberFormat="1" applyFill="1" applyBorder="1" applyAlignment="1">
      <alignment horizontal="center" vertical="center"/>
    </xf>
    <xf numFmtId="1" fontId="3" fillId="6" borderId="31" xfId="3" applyNumberFormat="1" applyFill="1" applyBorder="1" applyAlignment="1">
      <alignment horizontal="center" vertical="center" wrapText="1"/>
    </xf>
    <xf numFmtId="1" fontId="9" fillId="8" borderId="31" xfId="3" applyNumberFormat="1" applyFont="1" applyFill="1" applyBorder="1" applyAlignment="1">
      <alignment horizontal="center" vertical="center" wrapText="1"/>
    </xf>
    <xf numFmtId="0" fontId="11" fillId="9" borderId="31" xfId="0" applyFont="1" applyFill="1" applyBorder="1" applyAlignment="1">
      <alignment horizontal="center" wrapText="1"/>
    </xf>
    <xf numFmtId="0" fontId="3" fillId="0" borderId="31" xfId="3" applyFill="1" applyBorder="1" applyAlignment="1">
      <alignment vertical="center"/>
    </xf>
    <xf numFmtId="49" fontId="3" fillId="6" borderId="31" xfId="3" applyNumberFormat="1" applyFill="1" applyBorder="1" applyAlignment="1">
      <alignment horizontal="center" vertical="center"/>
    </xf>
    <xf numFmtId="1" fontId="3" fillId="0" borderId="31" xfId="3" applyNumberFormat="1" applyFill="1" applyBorder="1" applyAlignment="1">
      <alignment horizontal="center" vertical="center"/>
    </xf>
    <xf numFmtId="0" fontId="3" fillId="0" borderId="28" xfId="3" applyFill="1" applyBorder="1" applyAlignment="1">
      <alignment vertical="center"/>
    </xf>
    <xf numFmtId="167" fontId="19" fillId="0" borderId="2" xfId="8" applyNumberFormat="1" applyFont="1" applyBorder="1"/>
    <xf numFmtId="0" fontId="19" fillId="0" borderId="2" xfId="0" applyFont="1" applyBorder="1"/>
    <xf numFmtId="0" fontId="19" fillId="0" borderId="2" xfId="0" applyFont="1" applyBorder="1" applyAlignment="1">
      <alignment wrapText="1"/>
    </xf>
    <xf numFmtId="0" fontId="19" fillId="0" borderId="2" xfId="0" applyFont="1" applyBorder="1" applyAlignment="1">
      <alignment horizontal="left" vertical="top" wrapText="1"/>
    </xf>
    <xf numFmtId="0" fontId="19" fillId="0" borderId="2" xfId="0" applyFont="1" applyBorder="1" applyAlignment="1">
      <alignment vertical="top" wrapText="1"/>
    </xf>
    <xf numFmtId="44" fontId="19" fillId="0" borderId="2" xfId="1" applyFont="1" applyFill="1" applyBorder="1" applyAlignment="1">
      <alignment horizontal="left" vertical="top" wrapText="1"/>
    </xf>
    <xf numFmtId="0" fontId="34" fillId="0" borderId="2" xfId="0" applyFont="1" applyBorder="1" applyAlignment="1">
      <alignment horizontal="center"/>
    </xf>
    <xf numFmtId="0" fontId="34" fillId="0" borderId="2" xfId="0" applyFont="1" applyBorder="1"/>
    <xf numFmtId="49" fontId="19" fillId="0" borderId="2" xfId="0" applyNumberFormat="1" applyFont="1" applyBorder="1"/>
    <xf numFmtId="167" fontId="19" fillId="0" borderId="2" xfId="8" applyNumberFormat="1" applyFont="1" applyBorder="1" applyAlignment="1">
      <alignment vertical="center"/>
    </xf>
    <xf numFmtId="167" fontId="19" fillId="0" borderId="2" xfId="8" applyNumberFormat="1" applyFont="1" applyFill="1" applyBorder="1" applyAlignment="1">
      <alignment vertical="center"/>
    </xf>
    <xf numFmtId="167" fontId="19" fillId="0" borderId="2" xfId="8" applyNumberFormat="1" applyFont="1" applyBorder="1" applyAlignment="1">
      <alignment horizontal="center" vertical="center"/>
    </xf>
    <xf numFmtId="0" fontId="35" fillId="0" borderId="0" xfId="2" applyFont="1" applyFill="1" applyBorder="1" applyAlignment="1">
      <alignment horizontal="center" vertical="center"/>
    </xf>
    <xf numFmtId="164" fontId="35" fillId="0" borderId="0" xfId="2" applyNumberFormat="1" applyFont="1" applyFill="1" applyBorder="1" applyAlignment="1">
      <alignment horizontal="center" vertical="center"/>
    </xf>
    <xf numFmtId="44" fontId="36" fillId="0" borderId="5" xfId="1" applyFont="1" applyBorder="1" applyAlignment="1">
      <alignment horizontal="center" vertical="center"/>
    </xf>
    <xf numFmtId="164" fontId="36" fillId="0" borderId="5" xfId="1" applyNumberFormat="1" applyFont="1" applyBorder="1" applyAlignment="1">
      <alignment horizontal="center" vertical="center"/>
    </xf>
    <xf numFmtId="164" fontId="36" fillId="14" borderId="5" xfId="1" applyNumberFormat="1" applyFont="1" applyFill="1" applyBorder="1" applyAlignment="1">
      <alignment horizontal="center" vertical="center"/>
    </xf>
    <xf numFmtId="164" fontId="37" fillId="0" borderId="5" xfId="1" applyNumberFormat="1" applyFont="1" applyBorder="1" applyAlignment="1">
      <alignment horizontal="center" vertical="center"/>
    </xf>
    <xf numFmtId="0" fontId="38" fillId="0" borderId="0" xfId="0" applyFont="1" applyAlignment="1">
      <alignment vertical="center"/>
    </xf>
    <xf numFmtId="0" fontId="35" fillId="0" borderId="0" xfId="2" applyFont="1" applyFill="1" applyBorder="1" applyAlignment="1">
      <alignment horizontal="center" vertical="center" wrapText="1"/>
    </xf>
    <xf numFmtId="44" fontId="36" fillId="0" borderId="0" xfId="1" applyFont="1" applyBorder="1" applyAlignment="1">
      <alignment horizontal="center" vertical="center"/>
    </xf>
    <xf numFmtId="44" fontId="36" fillId="0" borderId="0" xfId="1" applyFont="1" applyFill="1" applyBorder="1" applyAlignment="1">
      <alignment horizontal="center" vertical="center"/>
    </xf>
    <xf numFmtId="44" fontId="37" fillId="0" borderId="0" xfId="1" applyFont="1" applyBorder="1" applyAlignment="1">
      <alignment horizontal="center" vertical="center"/>
    </xf>
    <xf numFmtId="164" fontId="40" fillId="0" borderId="43" xfId="0" applyNumberFormat="1" applyFont="1" applyBorder="1" applyAlignment="1">
      <alignment vertical="center"/>
    </xf>
    <xf numFmtId="164" fontId="41" fillId="0" borderId="44" xfId="3" applyNumberFormat="1" applyFont="1" applyBorder="1" applyAlignment="1">
      <alignment vertical="center" wrapText="1"/>
    </xf>
    <xf numFmtId="1" fontId="41" fillId="8" borderId="11" xfId="3" applyNumberFormat="1" applyFont="1" applyFill="1" applyBorder="1" applyAlignment="1">
      <alignment horizontal="center" vertical="center" wrapText="1"/>
    </xf>
    <xf numFmtId="0" fontId="43" fillId="9" borderId="11" xfId="0" applyFont="1" applyFill="1" applyBorder="1" applyAlignment="1">
      <alignment horizontal="center" wrapText="1"/>
    </xf>
    <xf numFmtId="1" fontId="39" fillId="6" borderId="0" xfId="3" applyNumberFormat="1" applyFont="1" applyFill="1" applyBorder="1" applyAlignment="1">
      <alignment horizontal="center" vertical="center"/>
    </xf>
    <xf numFmtId="1" fontId="39" fillId="6" borderId="28" xfId="3" applyNumberFormat="1" applyFont="1" applyFill="1" applyBorder="1" applyAlignment="1">
      <alignment horizontal="center" vertical="center"/>
    </xf>
    <xf numFmtId="1" fontId="41" fillId="8" borderId="1" xfId="3" applyNumberFormat="1" applyFont="1" applyFill="1" applyAlignment="1">
      <alignment horizontal="center" vertical="center" wrapText="1"/>
    </xf>
    <xf numFmtId="0" fontId="43" fillId="9" borderId="3" xfId="0" applyFont="1" applyFill="1" applyBorder="1" applyAlignment="1">
      <alignment horizontal="center" wrapText="1"/>
    </xf>
    <xf numFmtId="1" fontId="39" fillId="6" borderId="41" xfId="3" applyNumberFormat="1" applyFont="1" applyFill="1" applyBorder="1" applyAlignment="1">
      <alignment horizontal="center" vertical="center"/>
    </xf>
    <xf numFmtId="1" fontId="39" fillId="6" borderId="0" xfId="3" applyNumberFormat="1" applyFont="1" applyFill="1" applyBorder="1" applyAlignment="1">
      <alignment horizontal="center" vertical="center" wrapText="1"/>
    </xf>
    <xf numFmtId="49" fontId="39" fillId="6" borderId="0" xfId="3" applyNumberFormat="1" applyFont="1" applyFill="1" applyBorder="1" applyAlignment="1">
      <alignment horizontal="center" vertical="center"/>
    </xf>
    <xf numFmtId="49" fontId="39" fillId="6" borderId="28" xfId="3" applyNumberFormat="1" applyFont="1" applyFill="1" applyBorder="1" applyAlignment="1">
      <alignment horizontal="center" vertical="center"/>
    </xf>
    <xf numFmtId="0" fontId="45" fillId="0" borderId="2" xfId="0" applyFont="1" applyBorder="1" applyAlignment="1">
      <alignment horizontal="center" vertical="center"/>
    </xf>
    <xf numFmtId="0" fontId="36" fillId="0" borderId="2" xfId="0" applyFont="1" applyBorder="1" applyAlignment="1">
      <alignment horizontal="left" vertical="center" wrapText="1"/>
    </xf>
    <xf numFmtId="0" fontId="36" fillId="0" borderId="2" xfId="0" applyFont="1" applyBorder="1" applyAlignment="1">
      <alignment horizontal="left" vertical="top" wrapText="1"/>
    </xf>
    <xf numFmtId="164" fontId="46" fillId="0" borderId="2" xfId="1" applyNumberFormat="1" applyFont="1" applyBorder="1" applyAlignment="1">
      <alignment horizontal="center" vertical="center"/>
    </xf>
    <xf numFmtId="164" fontId="36" fillId="0" borderId="2" xfId="1" applyNumberFormat="1" applyFont="1" applyFill="1" applyBorder="1" applyAlignment="1">
      <alignment vertical="center"/>
    </xf>
    <xf numFmtId="164" fontId="47" fillId="0" borderId="2" xfId="0" applyNumberFormat="1" applyFont="1" applyBorder="1"/>
    <xf numFmtId="164" fontId="48" fillId="0" borderId="2" xfId="1" applyNumberFormat="1" applyFont="1" applyFill="1" applyBorder="1" applyAlignment="1">
      <alignment vertical="center"/>
    </xf>
    <xf numFmtId="164" fontId="36" fillId="0" borderId="2" xfId="1" applyNumberFormat="1" applyFont="1" applyBorder="1" applyAlignment="1">
      <alignment vertical="center"/>
    </xf>
    <xf numFmtId="164" fontId="36" fillId="0" borderId="32" xfId="1" applyNumberFormat="1" applyFont="1" applyBorder="1" applyAlignment="1">
      <alignment vertical="center"/>
    </xf>
    <xf numFmtId="164" fontId="36" fillId="0" borderId="20" xfId="1" applyNumberFormat="1" applyFont="1" applyBorder="1"/>
    <xf numFmtId="0" fontId="36" fillId="0" borderId="2" xfId="0" applyFont="1" applyBorder="1" applyAlignment="1">
      <alignment horizontal="center" vertical="center" wrapText="1"/>
    </xf>
    <xf numFmtId="49" fontId="36" fillId="0" borderId="32" xfId="0" applyNumberFormat="1" applyFont="1" applyBorder="1" applyAlignment="1">
      <alignment horizontal="center" vertical="center" wrapText="1"/>
    </xf>
    <xf numFmtId="167" fontId="48" fillId="0" borderId="20" xfId="1" applyNumberFormat="1" applyFont="1" applyBorder="1" applyAlignment="1">
      <alignment vertical="center"/>
    </xf>
    <xf numFmtId="167" fontId="36" fillId="0" borderId="35" xfId="1" applyNumberFormat="1" applyFont="1" applyBorder="1" applyAlignment="1">
      <alignment vertical="center"/>
    </xf>
    <xf numFmtId="167" fontId="36" fillId="0" borderId="9" xfId="0" applyNumberFormat="1" applyFont="1" applyBorder="1" applyAlignment="1">
      <alignment horizontal="center" vertical="center"/>
    </xf>
    <xf numFmtId="167" fontId="36" fillId="0" borderId="2" xfId="0" applyNumberFormat="1" applyFont="1" applyBorder="1" applyAlignment="1">
      <alignment horizontal="center" vertical="center"/>
    </xf>
    <xf numFmtId="167" fontId="48" fillId="0" borderId="2" xfId="0" applyNumberFormat="1" applyFont="1" applyBorder="1" applyAlignment="1">
      <alignment horizontal="center" vertical="center"/>
    </xf>
    <xf numFmtId="167" fontId="36" fillId="0" borderId="17" xfId="0" applyNumberFormat="1" applyFont="1" applyBorder="1" applyAlignment="1">
      <alignment horizontal="center" vertical="center"/>
    </xf>
    <xf numFmtId="37" fontId="36" fillId="0" borderId="0" xfId="0" applyNumberFormat="1" applyFont="1" applyAlignment="1">
      <alignment vertical="center"/>
    </xf>
    <xf numFmtId="164" fontId="36" fillId="0" borderId="0" xfId="0" applyNumberFormat="1" applyFont="1" applyAlignment="1">
      <alignment vertical="center"/>
    </xf>
    <xf numFmtId="0" fontId="36" fillId="0" borderId="2" xfId="0" applyFont="1" applyBorder="1" applyAlignment="1">
      <alignment vertical="center" wrapText="1"/>
    </xf>
    <xf numFmtId="0" fontId="36" fillId="0" borderId="2" xfId="0" applyFont="1" applyBorder="1" applyAlignment="1">
      <alignment vertical="top" wrapText="1"/>
    </xf>
    <xf numFmtId="164" fontId="49" fillId="0" borderId="2" xfId="1" applyNumberFormat="1" applyFont="1" applyFill="1" applyBorder="1" applyAlignment="1">
      <alignment horizontal="center" vertical="center"/>
    </xf>
    <xf numFmtId="164" fontId="36" fillId="0" borderId="2" xfId="1" applyNumberFormat="1" applyFont="1" applyFill="1" applyBorder="1" applyAlignment="1">
      <alignment horizontal="center" vertical="center"/>
    </xf>
    <xf numFmtId="164" fontId="36" fillId="0" borderId="4" xfId="1" applyNumberFormat="1" applyFont="1" applyFill="1" applyBorder="1" applyAlignment="1">
      <alignment vertical="center"/>
    </xf>
    <xf numFmtId="164" fontId="50" fillId="0" borderId="4" xfId="0" applyNumberFormat="1" applyFont="1" applyBorder="1"/>
    <xf numFmtId="164" fontId="50" fillId="0" borderId="2" xfId="1" applyNumberFormat="1" applyFont="1" applyFill="1" applyBorder="1" applyAlignment="1">
      <alignment vertical="center"/>
    </xf>
    <xf numFmtId="164" fontId="36" fillId="0" borderId="20" xfId="1" applyNumberFormat="1" applyFont="1" applyBorder="1" applyAlignment="1">
      <alignment vertical="center"/>
    </xf>
    <xf numFmtId="0" fontId="36" fillId="0" borderId="32" xfId="0" applyFont="1" applyBorder="1" applyAlignment="1">
      <alignment horizontal="center" vertical="center" wrapText="1"/>
    </xf>
    <xf numFmtId="167" fontId="36" fillId="0" borderId="20" xfId="1" applyNumberFormat="1" applyFont="1" applyBorder="1" applyAlignment="1">
      <alignment vertical="center"/>
    </xf>
    <xf numFmtId="167" fontId="48" fillId="0" borderId="17" xfId="0" applyNumberFormat="1" applyFont="1" applyBorder="1" applyAlignment="1">
      <alignment horizontal="center" vertical="center"/>
    </xf>
    <xf numFmtId="164" fontId="51" fillId="0" borderId="2" xfId="1" applyNumberFormat="1" applyFont="1" applyBorder="1" applyAlignment="1">
      <alignment horizontal="center" vertical="center"/>
    </xf>
    <xf numFmtId="164" fontId="49" fillId="0" borderId="2" xfId="1" applyNumberFormat="1" applyFont="1" applyFill="1" applyBorder="1" applyAlignment="1">
      <alignment vertical="center"/>
    </xf>
    <xf numFmtId="14" fontId="36" fillId="0" borderId="32" xfId="0" applyNumberFormat="1" applyFont="1" applyBorder="1" applyAlignment="1">
      <alignment horizontal="center" vertical="center" wrapText="1"/>
    </xf>
    <xf numFmtId="167" fontId="37" fillId="0" borderId="2" xfId="0" applyNumberFormat="1" applyFont="1" applyBorder="1" applyAlignment="1">
      <alignment horizontal="center" vertical="center"/>
    </xf>
    <xf numFmtId="164" fontId="50" fillId="0" borderId="2" xfId="1" applyNumberFormat="1" applyFont="1" applyBorder="1" applyAlignment="1">
      <alignment horizontal="center" vertical="center"/>
    </xf>
    <xf numFmtId="0" fontId="36" fillId="0" borderId="2" xfId="0" applyFont="1" applyBorder="1" applyAlignment="1">
      <alignment vertical="center"/>
    </xf>
    <xf numFmtId="164" fontId="36" fillId="0" borderId="2" xfId="1" applyNumberFormat="1" applyFont="1" applyBorder="1" applyAlignment="1">
      <alignment horizontal="center" vertical="center"/>
    </xf>
    <xf numFmtId="164" fontId="47" fillId="0" borderId="4" xfId="0" applyNumberFormat="1" applyFont="1" applyBorder="1"/>
    <xf numFmtId="164" fontId="36" fillId="0" borderId="20" xfId="1" applyNumberFormat="1" applyFont="1" applyFill="1" applyBorder="1" applyAlignment="1">
      <alignment vertical="center"/>
    </xf>
    <xf numFmtId="0" fontId="36" fillId="0" borderId="0" xfId="0" applyFont="1" applyAlignment="1">
      <alignment horizontal="center" vertical="center"/>
    </xf>
    <xf numFmtId="0" fontId="52" fillId="0" borderId="2" xfId="0" applyFont="1" applyBorder="1" applyAlignment="1">
      <alignment horizontal="center" vertical="center"/>
    </xf>
    <xf numFmtId="0" fontId="50" fillId="0" borderId="2" xfId="0" applyFont="1" applyBorder="1" applyAlignment="1">
      <alignment vertical="center" wrapText="1"/>
    </xf>
    <xf numFmtId="164" fontId="52" fillId="2" borderId="2" xfId="1" applyNumberFormat="1" applyFont="1" applyFill="1" applyBorder="1" applyAlignment="1">
      <alignment horizontal="center" vertical="center"/>
    </xf>
    <xf numFmtId="164" fontId="53" fillId="2" borderId="2" xfId="1" applyNumberFormat="1" applyFont="1" applyFill="1" applyBorder="1" applyAlignment="1">
      <alignment vertical="center"/>
    </xf>
    <xf numFmtId="164" fontId="53" fillId="2" borderId="2" xfId="1" applyNumberFormat="1" applyFont="1" applyFill="1" applyBorder="1" applyAlignment="1">
      <alignment horizontal="center" vertical="center"/>
    </xf>
    <xf numFmtId="164" fontId="53" fillId="2" borderId="32" xfId="1" applyNumberFormat="1" applyFont="1" applyFill="1" applyBorder="1" applyAlignment="1">
      <alignment horizontal="center" vertical="center"/>
    </xf>
    <xf numFmtId="164" fontId="53" fillId="2" borderId="20" xfId="1" applyNumberFormat="1" applyFont="1" applyFill="1" applyBorder="1" applyAlignment="1">
      <alignment horizontal="center" vertical="center"/>
    </xf>
    <xf numFmtId="164" fontId="53" fillId="2" borderId="2" xfId="1" applyNumberFormat="1" applyFont="1" applyFill="1" applyBorder="1" applyAlignment="1">
      <alignment horizontal="center" vertical="center" wrapText="1"/>
    </xf>
    <xf numFmtId="164" fontId="53" fillId="2" borderId="32" xfId="1" applyNumberFormat="1" applyFont="1" applyFill="1" applyBorder="1" applyAlignment="1">
      <alignment horizontal="center" vertical="center" wrapText="1"/>
    </xf>
    <xf numFmtId="164" fontId="54" fillId="2" borderId="20" xfId="1" applyNumberFormat="1" applyFont="1" applyFill="1" applyBorder="1" applyAlignment="1">
      <alignment horizontal="center" vertical="center"/>
    </xf>
    <xf numFmtId="164" fontId="54" fillId="2" borderId="17" xfId="1" applyNumberFormat="1" applyFont="1" applyFill="1" applyBorder="1" applyAlignment="1">
      <alignment horizontal="center" vertical="center"/>
    </xf>
    <xf numFmtId="164" fontId="54" fillId="2" borderId="9" xfId="1" applyNumberFormat="1" applyFont="1" applyFill="1" applyBorder="1" applyAlignment="1">
      <alignment horizontal="center" vertical="center"/>
    </xf>
    <xf numFmtId="164" fontId="54" fillId="2" borderId="2" xfId="1" applyNumberFormat="1" applyFont="1" applyFill="1" applyBorder="1" applyAlignment="1">
      <alignment horizontal="center" vertical="center"/>
    </xf>
    <xf numFmtId="0" fontId="55" fillId="0" borderId="20" xfId="0" applyFont="1" applyBorder="1" applyAlignment="1">
      <alignment vertical="center" textRotation="90"/>
    </xf>
    <xf numFmtId="167" fontId="50" fillId="0" borderId="2" xfId="0" applyNumberFormat="1" applyFont="1" applyBorder="1" applyAlignment="1">
      <alignment horizontal="center" vertical="center"/>
    </xf>
    <xf numFmtId="0" fontId="36" fillId="0" borderId="0" xfId="0" applyFont="1" applyAlignment="1">
      <alignment vertical="center"/>
    </xf>
    <xf numFmtId="164" fontId="36" fillId="0" borderId="32" xfId="1" applyNumberFormat="1" applyFont="1" applyFill="1" applyBorder="1" applyAlignment="1">
      <alignment vertical="center"/>
    </xf>
    <xf numFmtId="0" fontId="45" fillId="0" borderId="0" xfId="0" applyFont="1" applyAlignment="1">
      <alignment wrapText="1"/>
    </xf>
    <xf numFmtId="164" fontId="49" fillId="0" borderId="2" xfId="1" applyNumberFormat="1" applyFont="1" applyBorder="1" applyAlignment="1">
      <alignment vertical="center"/>
    </xf>
    <xf numFmtId="164" fontId="36" fillId="0" borderId="4" xfId="1" applyNumberFormat="1" applyFont="1" applyBorder="1" applyAlignment="1">
      <alignment vertical="center"/>
    </xf>
    <xf numFmtId="164" fontId="36" fillId="0" borderId="4" xfId="1" applyNumberFormat="1" applyFont="1" applyFill="1" applyBorder="1" applyAlignment="1">
      <alignment horizontal="center" vertical="center"/>
    </xf>
    <xf numFmtId="167" fontId="36" fillId="0" borderId="20" xfId="1" applyNumberFormat="1" applyFont="1" applyFill="1" applyBorder="1" applyAlignment="1">
      <alignment vertical="center"/>
    </xf>
    <xf numFmtId="167" fontId="36" fillId="0" borderId="35" xfId="1" applyNumberFormat="1" applyFont="1" applyFill="1" applyBorder="1" applyAlignment="1">
      <alignment vertical="center"/>
    </xf>
    <xf numFmtId="164" fontId="56" fillId="3" borderId="2" xfId="1" applyNumberFormat="1" applyFont="1" applyFill="1" applyBorder="1" applyAlignment="1">
      <alignment vertical="top"/>
    </xf>
    <xf numFmtId="164" fontId="53" fillId="3" borderId="2" xfId="1" applyNumberFormat="1" applyFont="1" applyFill="1" applyBorder="1" applyAlignment="1">
      <alignment vertical="top"/>
    </xf>
    <xf numFmtId="164" fontId="53" fillId="3" borderId="2" xfId="1" applyNumberFormat="1" applyFont="1" applyFill="1" applyBorder="1" applyAlignment="1">
      <alignment horizontal="center" vertical="center"/>
    </xf>
    <xf numFmtId="164" fontId="53" fillId="3" borderId="32" xfId="1" applyNumberFormat="1" applyFont="1" applyFill="1" applyBorder="1" applyAlignment="1">
      <alignment horizontal="center" vertical="center"/>
    </xf>
    <xf numFmtId="164" fontId="53" fillId="3" borderId="20" xfId="1" applyNumberFormat="1" applyFont="1" applyFill="1" applyBorder="1" applyAlignment="1">
      <alignment horizontal="center" vertical="center"/>
    </xf>
    <xf numFmtId="164" fontId="53" fillId="3" borderId="2" xfId="1" applyNumberFormat="1" applyFont="1" applyFill="1" applyBorder="1" applyAlignment="1">
      <alignment horizontal="center" vertical="center" wrapText="1"/>
    </xf>
    <xf numFmtId="164" fontId="53" fillId="3" borderId="32" xfId="1" applyNumberFormat="1" applyFont="1" applyFill="1" applyBorder="1" applyAlignment="1">
      <alignment horizontal="center" vertical="center" wrapText="1"/>
    </xf>
    <xf numFmtId="0" fontId="36" fillId="0" borderId="2" xfId="0" applyFont="1" applyBorder="1"/>
    <xf numFmtId="164" fontId="50" fillId="0" borderId="4" xfId="1" applyNumberFormat="1" applyFont="1" applyFill="1" applyBorder="1" applyAlignment="1">
      <alignment vertical="center"/>
    </xf>
    <xf numFmtId="164" fontId="48" fillId="0" borderId="2" xfId="1" applyNumberFormat="1" applyFont="1" applyBorder="1" applyAlignment="1">
      <alignment vertical="center"/>
    </xf>
    <xf numFmtId="164" fontId="56" fillId="5" borderId="2" xfId="1" applyNumberFormat="1" applyFont="1" applyFill="1" applyBorder="1" applyAlignment="1">
      <alignment vertical="center"/>
    </xf>
    <xf numFmtId="164" fontId="53" fillId="5" borderId="2" xfId="1" applyNumberFormat="1" applyFont="1" applyFill="1" applyBorder="1" applyAlignment="1">
      <alignment vertical="center"/>
    </xf>
    <xf numFmtId="164" fontId="53" fillId="5" borderId="2" xfId="1" applyNumberFormat="1" applyFont="1" applyFill="1" applyBorder="1" applyAlignment="1">
      <alignment horizontal="center" vertical="center"/>
    </xf>
    <xf numFmtId="164" fontId="53" fillId="5" borderId="4" xfId="1" applyNumberFormat="1" applyFont="1" applyFill="1" applyBorder="1" applyAlignment="1">
      <alignment horizontal="center" vertical="center"/>
    </xf>
    <xf numFmtId="164" fontId="57" fillId="12" borderId="4" xfId="1" applyNumberFormat="1" applyFont="1" applyFill="1" applyBorder="1"/>
    <xf numFmtId="164" fontId="53" fillId="5" borderId="32" xfId="1" applyNumberFormat="1" applyFont="1" applyFill="1" applyBorder="1" applyAlignment="1">
      <alignment horizontal="center" vertical="center"/>
    </xf>
    <xf numFmtId="164" fontId="53" fillId="5" borderId="20" xfId="1" applyNumberFormat="1" applyFont="1" applyFill="1" applyBorder="1" applyAlignment="1">
      <alignment horizontal="center" vertical="center"/>
    </xf>
    <xf numFmtId="164" fontId="53" fillId="5" borderId="2" xfId="1" applyNumberFormat="1" applyFont="1" applyFill="1" applyBorder="1" applyAlignment="1">
      <alignment horizontal="center" vertical="center" wrapText="1"/>
    </xf>
    <xf numFmtId="164" fontId="53" fillId="5" borderId="32" xfId="1" applyNumberFormat="1" applyFont="1" applyFill="1" applyBorder="1" applyAlignment="1">
      <alignment horizontal="center" vertical="center" wrapText="1"/>
    </xf>
    <xf numFmtId="164" fontId="54" fillId="5" borderId="20" xfId="1" applyNumberFormat="1" applyFont="1" applyFill="1" applyBorder="1" applyAlignment="1">
      <alignment horizontal="center" vertical="center"/>
    </xf>
    <xf numFmtId="164" fontId="54" fillId="5" borderId="35" xfId="1" applyNumberFormat="1" applyFont="1" applyFill="1" applyBorder="1" applyAlignment="1">
      <alignment horizontal="center" vertical="center"/>
    </xf>
    <xf numFmtId="164" fontId="54" fillId="5" borderId="9" xfId="1" applyNumberFormat="1" applyFont="1" applyFill="1" applyBorder="1" applyAlignment="1">
      <alignment horizontal="center" vertical="center"/>
    </xf>
    <xf numFmtId="44" fontId="36" fillId="0" borderId="2" xfId="1" applyFont="1" applyFill="1" applyBorder="1" applyAlignment="1">
      <alignment horizontal="left" vertical="top" wrapText="1"/>
    </xf>
    <xf numFmtId="164" fontId="49" fillId="0" borderId="2" xfId="1" applyNumberFormat="1" applyFont="1" applyBorder="1" applyAlignment="1">
      <alignment horizontal="center" vertical="center"/>
    </xf>
    <xf numFmtId="167" fontId="48" fillId="0" borderId="35" xfId="1" applyNumberFormat="1" applyFont="1" applyBorder="1" applyAlignment="1">
      <alignment vertical="center"/>
    </xf>
    <xf numFmtId="0" fontId="52" fillId="0" borderId="5" xfId="0" applyFont="1" applyBorder="1" applyAlignment="1">
      <alignment horizontal="center" vertical="center"/>
    </xf>
    <xf numFmtId="0" fontId="50" fillId="0" borderId="5" xfId="0" applyFont="1" applyBorder="1" applyAlignment="1">
      <alignment vertical="center"/>
    </xf>
    <xf numFmtId="49" fontId="36" fillId="0" borderId="5" xfId="1" applyNumberFormat="1" applyFont="1" applyFill="1" applyBorder="1" applyAlignment="1">
      <alignment horizontal="left" vertical="top" wrapText="1"/>
    </xf>
    <xf numFmtId="164" fontId="36" fillId="0" borderId="5" xfId="1" applyNumberFormat="1" applyFont="1" applyFill="1" applyBorder="1" applyAlignment="1">
      <alignment vertical="center"/>
    </xf>
    <xf numFmtId="164" fontId="36" fillId="0" borderId="30" xfId="1" applyNumberFormat="1" applyFont="1" applyFill="1" applyBorder="1" applyAlignment="1">
      <alignment vertical="center"/>
    </xf>
    <xf numFmtId="164" fontId="47" fillId="0" borderId="30" xfId="0" applyNumberFormat="1" applyFont="1" applyBorder="1"/>
    <xf numFmtId="164" fontId="36" fillId="0" borderId="21" xfId="1" applyNumberFormat="1" applyFont="1" applyFill="1" applyBorder="1" applyAlignment="1">
      <alignment vertical="center"/>
    </xf>
    <xf numFmtId="0" fontId="36" fillId="0" borderId="5" xfId="0" applyFont="1" applyBorder="1" applyAlignment="1">
      <alignment horizontal="center" vertical="center" wrapText="1"/>
    </xf>
    <xf numFmtId="0" fontId="36" fillId="0" borderId="33" xfId="0" applyFont="1" applyBorder="1" applyAlignment="1">
      <alignment horizontal="center" vertical="center" wrapText="1"/>
    </xf>
    <xf numFmtId="164" fontId="56" fillId="7" borderId="5" xfId="1" applyNumberFormat="1" applyFont="1" applyFill="1" applyBorder="1" applyAlignment="1">
      <alignment vertical="top"/>
    </xf>
    <xf numFmtId="164" fontId="53" fillId="7" borderId="5" xfId="1" applyNumberFormat="1" applyFont="1" applyFill="1" applyBorder="1" applyAlignment="1">
      <alignment vertical="top"/>
    </xf>
    <xf numFmtId="164" fontId="53" fillId="7" borderId="5" xfId="1" applyNumberFormat="1" applyFont="1" applyFill="1" applyBorder="1" applyAlignment="1">
      <alignment horizontal="center" vertical="center"/>
    </xf>
    <xf numFmtId="164" fontId="53" fillId="7" borderId="33" xfId="1" applyNumberFormat="1" applyFont="1" applyFill="1" applyBorder="1" applyAlignment="1">
      <alignment horizontal="center" vertical="center"/>
    </xf>
    <xf numFmtId="164" fontId="53" fillId="7" borderId="37" xfId="1" applyNumberFormat="1" applyFont="1" applyFill="1" applyBorder="1" applyAlignment="1">
      <alignment horizontal="center" vertical="center"/>
    </xf>
    <xf numFmtId="164" fontId="53" fillId="7" borderId="45" xfId="1" applyNumberFormat="1" applyFont="1" applyFill="1" applyBorder="1" applyAlignment="1">
      <alignment horizontal="center" vertical="center" wrapText="1"/>
    </xf>
    <xf numFmtId="164" fontId="53" fillId="7" borderId="46" xfId="1" applyNumberFormat="1" applyFont="1" applyFill="1" applyBorder="1" applyAlignment="1">
      <alignment horizontal="center" vertical="center" wrapText="1"/>
    </xf>
    <xf numFmtId="164" fontId="54" fillId="7" borderId="21" xfId="1" applyNumberFormat="1" applyFont="1" applyFill="1" applyBorder="1" applyAlignment="1">
      <alignment horizontal="center" vertical="center"/>
    </xf>
    <xf numFmtId="164" fontId="54" fillId="7" borderId="36" xfId="1" applyNumberFormat="1" applyFont="1" applyFill="1" applyBorder="1" applyAlignment="1">
      <alignment horizontal="center" vertical="center"/>
    </xf>
    <xf numFmtId="164" fontId="54" fillId="7" borderId="29" xfId="1" applyNumberFormat="1" applyFont="1" applyFill="1" applyBorder="1" applyAlignment="1">
      <alignment horizontal="center" vertical="center"/>
    </xf>
    <xf numFmtId="164" fontId="40" fillId="0" borderId="0" xfId="1" applyNumberFormat="1" applyFont="1" applyAlignment="1">
      <alignment vertical="center"/>
    </xf>
    <xf numFmtId="1" fontId="39" fillId="6" borderId="6" xfId="3" applyNumberFormat="1" applyFont="1" applyFill="1" applyBorder="1" applyAlignment="1">
      <alignment horizontal="center" vertical="center"/>
    </xf>
    <xf numFmtId="1" fontId="39" fillId="6" borderId="7" xfId="3" applyNumberFormat="1" applyFont="1" applyFill="1" applyBorder="1" applyAlignment="1">
      <alignment horizontal="center" vertical="center"/>
    </xf>
    <xf numFmtId="166" fontId="39" fillId="6" borderId="7" xfId="1" applyNumberFormat="1" applyFont="1" applyFill="1" applyBorder="1" applyAlignment="1">
      <alignment horizontal="center" vertical="center"/>
    </xf>
    <xf numFmtId="166" fontId="39" fillId="6" borderId="25" xfId="1" applyNumberFormat="1" applyFont="1" applyFill="1" applyBorder="1" applyAlignment="1">
      <alignment horizontal="center" vertical="center"/>
    </xf>
    <xf numFmtId="1" fontId="39" fillId="6" borderId="25" xfId="3" applyNumberFormat="1" applyFont="1" applyFill="1" applyBorder="1" applyAlignment="1">
      <alignment horizontal="center" vertical="center" wrapText="1"/>
    </xf>
    <xf numFmtId="166" fontId="41" fillId="6" borderId="41" xfId="1" applyNumberFormat="1" applyFont="1" applyFill="1" applyBorder="1" applyAlignment="1">
      <alignment horizontal="center" vertical="center" wrapText="1"/>
    </xf>
    <xf numFmtId="164" fontId="40" fillId="0" borderId="0" xfId="1" applyNumberFormat="1" applyFont="1" applyBorder="1" applyAlignment="1">
      <alignment vertical="center"/>
    </xf>
    <xf numFmtId="164" fontId="40" fillId="0" borderId="28" xfId="1" applyNumberFormat="1" applyFont="1" applyBorder="1" applyAlignment="1">
      <alignment vertical="center"/>
    </xf>
    <xf numFmtId="164" fontId="58" fillId="0" borderId="0" xfId="1" applyNumberFormat="1" applyFont="1" applyAlignment="1">
      <alignment vertical="center"/>
    </xf>
    <xf numFmtId="0" fontId="55" fillId="0" borderId="11" xfId="0" applyFont="1" applyBorder="1" applyAlignment="1">
      <alignment vertical="center"/>
    </xf>
    <xf numFmtId="0" fontId="45" fillId="0" borderId="11" xfId="0" applyFont="1" applyBorder="1" applyAlignment="1">
      <alignment horizontal="center" vertical="center"/>
    </xf>
    <xf numFmtId="0" fontId="36" fillId="0" borderId="11" xfId="0" applyFont="1" applyBorder="1" applyAlignment="1">
      <alignment vertical="center"/>
    </xf>
    <xf numFmtId="0" fontId="36" fillId="0" borderId="11" xfId="0" applyFont="1" applyBorder="1" applyAlignment="1">
      <alignment horizontal="left" vertical="top" wrapText="1"/>
    </xf>
    <xf numFmtId="44" fontId="36" fillId="0" borderId="11" xfId="1" applyFont="1" applyBorder="1" applyAlignment="1">
      <alignment horizontal="center" vertical="center"/>
    </xf>
    <xf numFmtId="44" fontId="36" fillId="0" borderId="11" xfId="1" applyFont="1" applyFill="1" applyBorder="1" applyAlignment="1">
      <alignment vertical="center"/>
    </xf>
    <xf numFmtId="44" fontId="36" fillId="0" borderId="11" xfId="1" applyFont="1" applyBorder="1" applyAlignment="1">
      <alignment vertical="center"/>
    </xf>
    <xf numFmtId="0" fontId="36" fillId="0" borderId="11" xfId="0" applyFont="1" applyBorder="1" applyAlignment="1">
      <alignment horizontal="center" vertical="center" wrapText="1"/>
    </xf>
    <xf numFmtId="44" fontId="40" fillId="0" borderId="0" xfId="1" applyFont="1" applyBorder="1" applyAlignment="1">
      <alignment vertical="center" wrapText="1"/>
    </xf>
    <xf numFmtId="44" fontId="40" fillId="0" borderId="0" xfId="0" applyNumberFormat="1" applyFont="1" applyAlignment="1">
      <alignment horizontal="center" vertical="center"/>
    </xf>
    <xf numFmtId="44" fontId="40" fillId="0" borderId="28" xfId="0" applyNumberFormat="1" applyFont="1" applyBorder="1" applyAlignment="1">
      <alignment horizontal="center" vertical="center"/>
    </xf>
    <xf numFmtId="0" fontId="55" fillId="0" borderId="0" xfId="0" applyFont="1" applyAlignment="1">
      <alignment vertical="center"/>
    </xf>
    <xf numFmtId="0" fontId="45" fillId="0" borderId="0" xfId="0" applyFont="1" applyAlignment="1">
      <alignment horizontal="center" vertical="center"/>
    </xf>
    <xf numFmtId="0" fontId="36" fillId="0" borderId="0" xfId="0" applyFont="1" applyAlignment="1">
      <alignment horizontal="left" vertical="top" wrapText="1"/>
    </xf>
    <xf numFmtId="44" fontId="36" fillId="0" borderId="0" xfId="1" applyFont="1" applyFill="1" applyBorder="1" applyAlignment="1">
      <alignment vertical="center"/>
    </xf>
    <xf numFmtId="44" fontId="36" fillId="0" borderId="0" xfId="1" applyFont="1" applyBorder="1" applyAlignment="1">
      <alignment vertical="center"/>
    </xf>
    <xf numFmtId="0" fontId="36" fillId="0" borderId="0" xfId="0" applyFont="1" applyAlignment="1">
      <alignment horizontal="center" vertical="center" wrapText="1"/>
    </xf>
    <xf numFmtId="44" fontId="40" fillId="0" borderId="25" xfId="0" applyNumberFormat="1" applyFont="1" applyBorder="1" applyAlignment="1">
      <alignment horizontal="center" vertical="center"/>
    </xf>
    <xf numFmtId="44" fontId="40" fillId="0" borderId="26" xfId="0" applyNumberFormat="1" applyFont="1" applyBorder="1" applyAlignment="1">
      <alignment horizontal="center" vertical="center"/>
    </xf>
    <xf numFmtId="0" fontId="55" fillId="0" borderId="2" xfId="0" applyFont="1" applyBorder="1" applyAlignment="1">
      <alignment vertical="center"/>
    </xf>
    <xf numFmtId="44" fontId="36" fillId="0" borderId="2" xfId="1" applyFont="1" applyBorder="1" applyAlignment="1">
      <alignment horizontal="center" vertical="center"/>
    </xf>
    <xf numFmtId="44" fontId="36" fillId="0" borderId="2" xfId="1" applyFont="1" applyFill="1" applyBorder="1" applyAlignment="1">
      <alignment vertical="center"/>
    </xf>
    <xf numFmtId="44" fontId="36" fillId="0" borderId="2" xfId="1" applyFont="1" applyBorder="1" applyAlignment="1">
      <alignment vertical="center"/>
    </xf>
    <xf numFmtId="164" fontId="53" fillId="2" borderId="2" xfId="1" applyNumberFormat="1" applyFont="1" applyFill="1" applyBorder="1" applyAlignment="1">
      <alignment horizontal="right" vertical="center" wrapText="1"/>
    </xf>
    <xf numFmtId="164" fontId="53" fillId="3" borderId="2" xfId="1" applyNumberFormat="1" applyFont="1" applyFill="1" applyBorder="1" applyAlignment="1">
      <alignment horizontal="right" vertical="center" wrapText="1"/>
    </xf>
    <xf numFmtId="164" fontId="53" fillId="5" borderId="2" xfId="1" applyNumberFormat="1" applyFont="1" applyFill="1" applyBorder="1" applyAlignment="1">
      <alignment horizontal="right" vertical="center" wrapText="1"/>
    </xf>
    <xf numFmtId="164" fontId="53" fillId="7" borderId="5" xfId="1" applyNumberFormat="1" applyFont="1" applyFill="1" applyBorder="1" applyAlignment="1">
      <alignment horizontal="right" vertical="center" wrapText="1"/>
    </xf>
    <xf numFmtId="1" fontId="39" fillId="6" borderId="7" xfId="3" applyNumberFormat="1" applyFont="1" applyFill="1" applyBorder="1" applyAlignment="1">
      <alignment horizontal="right" vertical="center" wrapText="1"/>
    </xf>
    <xf numFmtId="0" fontId="3" fillId="0" borderId="0" xfId="3" applyFill="1" applyBorder="1" applyAlignment="1">
      <alignment horizontal="center" vertical="center"/>
    </xf>
    <xf numFmtId="0" fontId="39" fillId="0" borderId="0" xfId="3" applyFont="1" applyFill="1" applyBorder="1" applyAlignment="1">
      <alignment horizontal="center" vertical="center"/>
    </xf>
    <xf numFmtId="0" fontId="39" fillId="0" borderId="0" xfId="3" applyFont="1" applyFill="1" applyBorder="1" applyAlignment="1">
      <alignment horizontal="center" vertical="center" wrapText="1"/>
    </xf>
    <xf numFmtId="0" fontId="41" fillId="6" borderId="41" xfId="3" applyFont="1" applyFill="1" applyBorder="1" applyAlignment="1">
      <alignment horizontal="center" vertical="center"/>
    </xf>
    <xf numFmtId="1" fontId="42" fillId="6" borderId="0" xfId="3" applyNumberFormat="1" applyFont="1" applyFill="1" applyBorder="1" applyAlignment="1">
      <alignment horizontal="center" vertical="center" wrapText="1"/>
    </xf>
    <xf numFmtId="1" fontId="41" fillId="7" borderId="0" xfId="3" applyNumberFormat="1" applyFont="1" applyFill="1" applyBorder="1" applyAlignment="1">
      <alignment horizontal="center" vertical="center"/>
    </xf>
    <xf numFmtId="1" fontId="41" fillId="7" borderId="0" xfId="3" applyNumberFormat="1" applyFont="1" applyFill="1" applyBorder="1" applyAlignment="1">
      <alignment horizontal="center" vertical="center" wrapText="1"/>
    </xf>
    <xf numFmtId="1" fontId="41" fillId="6" borderId="0" xfId="3" applyNumberFormat="1" applyFont="1" applyFill="1" applyBorder="1" applyAlignment="1">
      <alignment horizontal="center" vertical="center" wrapText="1"/>
    </xf>
    <xf numFmtId="0" fontId="43" fillId="9" borderId="0" xfId="0" applyFont="1" applyFill="1" applyAlignment="1">
      <alignment horizontal="center" wrapText="1"/>
    </xf>
    <xf numFmtId="1" fontId="41" fillId="6" borderId="41" xfId="3" applyNumberFormat="1" applyFont="1" applyFill="1" applyBorder="1" applyAlignment="1">
      <alignment horizontal="center" vertical="center" wrapText="1"/>
    </xf>
    <xf numFmtId="1" fontId="41" fillId="6" borderId="28" xfId="3" applyNumberFormat="1" applyFont="1" applyFill="1" applyBorder="1" applyAlignment="1">
      <alignment horizontal="center" vertical="center" wrapText="1"/>
    </xf>
    <xf numFmtId="0" fontId="7" fillId="0" borderId="0" xfId="2" applyFont="1" applyFill="1" applyBorder="1" applyAlignment="1">
      <alignment horizontal="center" vertical="center"/>
    </xf>
    <xf numFmtId="0" fontId="3" fillId="0" borderId="0" xfId="3" applyFill="1" applyBorder="1" applyAlignment="1">
      <alignment horizontal="center" vertical="center"/>
    </xf>
    <xf numFmtId="0" fontId="3" fillId="0" borderId="1" xfId="3" applyFill="1" applyAlignment="1">
      <alignment horizontal="center" vertical="center" wrapText="1"/>
    </xf>
    <xf numFmtId="0" fontId="9" fillId="6" borderId="10" xfId="3" applyFont="1" applyFill="1" applyBorder="1" applyAlignment="1">
      <alignment horizontal="center" vertical="center"/>
    </xf>
    <xf numFmtId="0" fontId="9" fillId="6" borderId="14" xfId="3" applyFont="1" applyFill="1" applyBorder="1" applyAlignment="1">
      <alignment horizontal="center" vertical="center"/>
    </xf>
    <xf numFmtId="1" fontId="10" fillId="6" borderId="11" xfId="3" applyNumberFormat="1" applyFont="1" applyFill="1" applyBorder="1" applyAlignment="1">
      <alignment horizontal="center" vertical="center" wrapText="1"/>
    </xf>
    <xf numFmtId="1" fontId="10" fillId="6" borderId="1" xfId="3" applyNumberFormat="1" applyFont="1" applyFill="1" applyAlignment="1">
      <alignment horizontal="center" vertical="center" wrapText="1"/>
    </xf>
    <xf numFmtId="1" fontId="3" fillId="6" borderId="11" xfId="3" applyNumberFormat="1" applyFill="1" applyBorder="1" applyAlignment="1">
      <alignment horizontal="center" vertical="center"/>
    </xf>
    <xf numFmtId="1" fontId="3" fillId="6" borderId="1" xfId="3" applyNumberFormat="1" applyFill="1" applyAlignment="1">
      <alignment horizontal="center" vertical="center"/>
    </xf>
    <xf numFmtId="1" fontId="3" fillId="6" borderId="11" xfId="3" applyNumberFormat="1" applyFill="1" applyBorder="1" applyAlignment="1">
      <alignment horizontal="center" vertical="center" wrapText="1"/>
    </xf>
    <xf numFmtId="1" fontId="3" fillId="6" borderId="1" xfId="3" applyNumberFormat="1" applyFill="1" applyAlignment="1">
      <alignment horizontal="center" vertical="center" wrapText="1"/>
    </xf>
    <xf numFmtId="1" fontId="9" fillId="7" borderId="12" xfId="3" applyNumberFormat="1" applyFont="1" applyFill="1" applyBorder="1" applyAlignment="1">
      <alignment horizontal="center" vertical="center"/>
    </xf>
    <xf numFmtId="1" fontId="9" fillId="7" borderId="1" xfId="3" applyNumberFormat="1" applyFont="1" applyFill="1" applyAlignment="1">
      <alignment horizontal="center" vertical="center"/>
    </xf>
    <xf numFmtId="1" fontId="9" fillId="7" borderId="11" xfId="3" applyNumberFormat="1" applyFont="1" applyFill="1" applyBorder="1" applyAlignment="1">
      <alignment horizontal="center" vertical="center"/>
    </xf>
    <xf numFmtId="0" fontId="4" fillId="4" borderId="21" xfId="6" applyFont="1" applyBorder="1" applyAlignment="1">
      <alignment horizontal="center" vertical="center" textRotation="90"/>
    </xf>
    <xf numFmtId="0" fontId="4" fillId="4" borderId="18" xfId="6" applyFont="1" applyBorder="1" applyAlignment="1">
      <alignment horizontal="center" vertical="center" textRotation="90"/>
    </xf>
    <xf numFmtId="0" fontId="4" fillId="4" borderId="22" xfId="6" applyFont="1" applyBorder="1" applyAlignment="1">
      <alignment horizontal="center" vertical="center" textRotation="90"/>
    </xf>
    <xf numFmtId="1" fontId="3" fillId="6" borderId="12" xfId="3" applyNumberFormat="1" applyFill="1" applyBorder="1" applyAlignment="1">
      <alignment horizontal="center" vertical="center"/>
    </xf>
    <xf numFmtId="0" fontId="3" fillId="6" borderId="12" xfId="3" applyFill="1" applyBorder="1" applyAlignment="1">
      <alignment horizontal="center" vertical="center"/>
    </xf>
    <xf numFmtId="0" fontId="3" fillId="6" borderId="13" xfId="3" applyFill="1" applyBorder="1" applyAlignment="1">
      <alignment horizontal="center" vertical="center"/>
    </xf>
    <xf numFmtId="0" fontId="4" fillId="2" borderId="16" xfId="4" applyFont="1" applyBorder="1" applyAlignment="1">
      <alignment horizontal="center" vertical="center" textRotation="90"/>
    </xf>
    <xf numFmtId="0" fontId="4" fillId="2" borderId="18" xfId="4" applyFont="1" applyBorder="1" applyAlignment="1">
      <alignment horizontal="center" vertical="center" textRotation="90"/>
    </xf>
    <xf numFmtId="0" fontId="4" fillId="2" borderId="19" xfId="4" applyFont="1" applyBorder="1" applyAlignment="1">
      <alignment horizontal="center" vertical="center" textRotation="90"/>
    </xf>
    <xf numFmtId="0" fontId="4" fillId="3" borderId="21" xfId="5" applyFont="1" applyBorder="1" applyAlignment="1">
      <alignment horizontal="center" vertical="center" textRotation="90"/>
    </xf>
    <xf numFmtId="0" fontId="4" fillId="3" borderId="18" xfId="5" applyFont="1" applyBorder="1" applyAlignment="1">
      <alignment horizontal="center" vertical="center" textRotation="90"/>
    </xf>
    <xf numFmtId="0" fontId="4" fillId="3" borderId="19" xfId="5" applyFont="1" applyBorder="1" applyAlignment="1">
      <alignment horizontal="center" vertical="center" textRotation="90"/>
    </xf>
    <xf numFmtId="0" fontId="4" fillId="5" borderId="21" xfId="7" applyFont="1" applyBorder="1" applyAlignment="1">
      <alignment horizontal="center" vertical="center" textRotation="90" wrapText="1"/>
    </xf>
    <xf numFmtId="0" fontId="4" fillId="5" borderId="18" xfId="7" applyFont="1" applyBorder="1" applyAlignment="1">
      <alignment horizontal="center" vertical="center" textRotation="90" wrapText="1"/>
    </xf>
    <xf numFmtId="0" fontId="4" fillId="5" borderId="19" xfId="7" applyFont="1" applyBorder="1" applyAlignment="1">
      <alignment horizontal="center" vertical="center" textRotation="90" wrapText="1"/>
    </xf>
    <xf numFmtId="1" fontId="9" fillId="8" borderId="11" xfId="3" applyNumberFormat="1" applyFont="1" applyFill="1" applyBorder="1" applyAlignment="1">
      <alignment horizontal="center" vertical="center" wrapText="1"/>
    </xf>
    <xf numFmtId="1" fontId="9" fillId="8" borderId="1" xfId="3" applyNumberFormat="1" applyFont="1" applyFill="1" applyAlignment="1">
      <alignment horizontal="center" vertical="center" wrapText="1"/>
    </xf>
    <xf numFmtId="164" fontId="40" fillId="0" borderId="2" xfId="1" applyNumberFormat="1" applyFont="1" applyBorder="1" applyAlignment="1">
      <alignment horizontal="right" vertical="center"/>
    </xf>
    <xf numFmtId="44" fontId="40" fillId="0" borderId="2" xfId="0" applyNumberFormat="1" applyFont="1" applyBorder="1" applyAlignment="1">
      <alignment horizontal="right" vertical="center"/>
    </xf>
    <xf numFmtId="0" fontId="39" fillId="0" borderId="25" xfId="3" applyFont="1" applyFill="1" applyBorder="1" applyAlignment="1">
      <alignment horizontal="center" vertical="center"/>
    </xf>
    <xf numFmtId="0" fontId="39" fillId="0" borderId="38" xfId="3" applyFont="1" applyFill="1" applyBorder="1" applyAlignment="1">
      <alignment horizontal="right" vertical="center"/>
    </xf>
    <xf numFmtId="0" fontId="39" fillId="0" borderId="39" xfId="3" applyFont="1" applyFill="1" applyBorder="1" applyAlignment="1">
      <alignment horizontal="right" vertical="center"/>
    </xf>
    <xf numFmtId="0" fontId="39" fillId="0" borderId="42" xfId="3" applyFont="1" applyFill="1" applyBorder="1" applyAlignment="1">
      <alignment horizontal="right" vertical="center"/>
    </xf>
    <xf numFmtId="0" fontId="44" fillId="7" borderId="18" xfId="6" applyFont="1" applyFill="1" applyBorder="1" applyAlignment="1">
      <alignment horizontal="center" vertical="center" textRotation="90"/>
    </xf>
    <xf numFmtId="0" fontId="44" fillId="7" borderId="22" xfId="6" applyFont="1" applyFill="1" applyBorder="1" applyAlignment="1">
      <alignment horizontal="center" vertical="center" textRotation="90"/>
    </xf>
    <xf numFmtId="1" fontId="39" fillId="6" borderId="11" xfId="3" applyNumberFormat="1" applyFont="1" applyFill="1" applyBorder="1" applyAlignment="1">
      <alignment horizontal="center" vertical="center"/>
    </xf>
    <xf numFmtId="1" fontId="39" fillId="6" borderId="12" xfId="3" applyNumberFormat="1" applyFont="1" applyFill="1" applyBorder="1" applyAlignment="1">
      <alignment horizontal="center" vertical="center"/>
    </xf>
    <xf numFmtId="0" fontId="44" fillId="2" borderId="16" xfId="4" applyFont="1" applyBorder="1" applyAlignment="1">
      <alignment horizontal="center" vertical="center" textRotation="90"/>
    </xf>
    <xf numFmtId="0" fontId="44" fillId="3" borderId="21" xfId="5" applyFont="1" applyBorder="1" applyAlignment="1">
      <alignment horizontal="center" vertical="center" textRotation="90"/>
    </xf>
    <xf numFmtId="0" fontId="44" fillId="5" borderId="18" xfId="7" applyFont="1" applyBorder="1" applyAlignment="1">
      <alignment horizontal="center" vertical="center" textRotation="90" wrapText="1"/>
    </xf>
    <xf numFmtId="0" fontId="44" fillId="5" borderId="19" xfId="7" applyFont="1" applyBorder="1" applyAlignment="1">
      <alignment horizontal="center" vertical="center" textRotation="90" wrapText="1"/>
    </xf>
    <xf numFmtId="1" fontId="41" fillId="7" borderId="11" xfId="3" applyNumberFormat="1" applyFont="1" applyFill="1" applyBorder="1" applyAlignment="1">
      <alignment horizontal="center" vertical="center"/>
    </xf>
    <xf numFmtId="1" fontId="41" fillId="6" borderId="11" xfId="3" applyNumberFormat="1" applyFont="1" applyFill="1" applyBorder="1" applyAlignment="1">
      <alignment horizontal="center" vertical="center" wrapText="1"/>
    </xf>
    <xf numFmtId="0" fontId="35" fillId="0" borderId="0" xfId="2" applyFont="1" applyFill="1" applyBorder="1" applyAlignment="1">
      <alignment horizontal="center" vertical="center"/>
    </xf>
    <xf numFmtId="0" fontId="39" fillId="0" borderId="38" xfId="3" applyFont="1" applyBorder="1" applyAlignment="1">
      <alignment horizontal="center" vertical="center" wrapText="1"/>
    </xf>
    <xf numFmtId="0" fontId="39" fillId="0" borderId="39" xfId="3" applyFont="1" applyBorder="1" applyAlignment="1">
      <alignment horizontal="center" vertical="center" wrapText="1"/>
    </xf>
    <xf numFmtId="0" fontId="39" fillId="0" borderId="40" xfId="3" applyFont="1" applyBorder="1" applyAlignment="1">
      <alignment horizontal="center" vertical="center" wrapText="1"/>
    </xf>
    <xf numFmtId="0" fontId="41" fillId="6" borderId="10" xfId="3" applyFont="1" applyFill="1" applyBorder="1" applyAlignment="1">
      <alignment horizontal="center" vertical="center"/>
    </xf>
    <xf numFmtId="1" fontId="42" fillId="6" borderId="11" xfId="3" applyNumberFormat="1" applyFont="1" applyFill="1" applyBorder="1" applyAlignment="1">
      <alignment horizontal="center" vertical="center" wrapText="1"/>
    </xf>
    <xf numFmtId="1" fontId="39" fillId="6" borderId="11" xfId="3" applyNumberFormat="1" applyFont="1" applyFill="1" applyBorder="1" applyAlignment="1">
      <alignment horizontal="center" vertical="center" wrapText="1"/>
    </xf>
    <xf numFmtId="1" fontId="41" fillId="7" borderId="12" xfId="3" applyNumberFormat="1" applyFont="1" applyFill="1" applyBorder="1" applyAlignment="1">
      <alignment horizontal="center" vertical="center"/>
    </xf>
    <xf numFmtId="1" fontId="41" fillId="7" borderId="11" xfId="3" applyNumberFormat="1" applyFont="1" applyFill="1" applyBorder="1" applyAlignment="1">
      <alignment horizontal="center" vertical="center" wrapText="1"/>
    </xf>
    <xf numFmtId="0" fontId="39" fillId="6" borderId="14" xfId="3" applyFont="1" applyFill="1" applyBorder="1" applyAlignment="1">
      <alignment horizontal="center" vertical="center"/>
    </xf>
    <xf numFmtId="0" fontId="39" fillId="6" borderId="1" xfId="3" applyFont="1" applyFill="1" applyAlignment="1">
      <alignment horizontal="center" vertical="center"/>
    </xf>
    <xf numFmtId="0" fontId="39" fillId="0" borderId="0" xfId="3" applyFont="1" applyFill="1" applyBorder="1" applyAlignment="1">
      <alignment horizontal="center" vertical="center"/>
    </xf>
    <xf numFmtId="0" fontId="39" fillId="0" borderId="0" xfId="3" applyFont="1" applyFill="1" applyBorder="1" applyAlignment="1">
      <alignment horizontal="center" vertical="center" wrapText="1"/>
    </xf>
    <xf numFmtId="1" fontId="41" fillId="6" borderId="14" xfId="3" applyNumberFormat="1" applyFont="1" applyFill="1" applyBorder="1" applyAlignment="1">
      <alignment horizontal="center" vertical="center" wrapText="1"/>
    </xf>
    <xf numFmtId="1" fontId="41" fillId="6" borderId="34" xfId="3" applyNumberFormat="1" applyFont="1" applyFill="1" applyBorder="1" applyAlignment="1">
      <alignment horizontal="center" vertical="center" wrapText="1"/>
    </xf>
    <xf numFmtId="1" fontId="41" fillId="6" borderId="15" xfId="3" applyNumberFormat="1" applyFont="1" applyFill="1" applyBorder="1" applyAlignment="1">
      <alignment horizontal="center" vertical="center" wrapText="1"/>
    </xf>
    <xf numFmtId="1" fontId="41" fillId="6" borderId="13" xfId="3" applyNumberFormat="1" applyFont="1" applyFill="1" applyBorder="1" applyAlignment="1">
      <alignment horizontal="center" vertical="center" wrapText="1"/>
    </xf>
    <xf numFmtId="0" fontId="3" fillId="0" borderId="51" xfId="3" applyFill="1" applyBorder="1" applyAlignment="1">
      <alignment horizontal="center" vertical="center" wrapText="1"/>
    </xf>
    <xf numFmtId="0" fontId="3" fillId="0" borderId="53" xfId="3" applyFill="1" applyBorder="1" applyAlignment="1">
      <alignment horizontal="center" vertical="center" wrapText="1"/>
    </xf>
    <xf numFmtId="0" fontId="3" fillId="0" borderId="25" xfId="3" applyFill="1" applyBorder="1" applyAlignment="1">
      <alignment horizontal="center" vertical="center"/>
    </xf>
    <xf numFmtId="0" fontId="3" fillId="0" borderId="52" xfId="3" applyFill="1" applyBorder="1" applyAlignment="1">
      <alignment horizontal="center" vertical="center" wrapText="1"/>
    </xf>
    <xf numFmtId="1" fontId="9" fillId="6" borderId="31" xfId="3" applyNumberFormat="1" applyFont="1" applyFill="1" applyBorder="1" applyAlignment="1">
      <alignment horizontal="center" vertical="center" wrapText="1"/>
    </xf>
    <xf numFmtId="0" fontId="3" fillId="0" borderId="31" xfId="3" applyFill="1" applyBorder="1" applyAlignment="1">
      <alignment horizontal="center" vertical="center"/>
    </xf>
    <xf numFmtId="0" fontId="3" fillId="0" borderId="31" xfId="3" applyFill="1" applyBorder="1" applyAlignment="1">
      <alignment horizontal="center" vertical="center" wrapText="1"/>
    </xf>
    <xf numFmtId="9" fontId="3" fillId="0" borderId="31" xfId="9" applyFont="1" applyFill="1" applyBorder="1" applyAlignment="1">
      <alignment horizontal="center" vertical="center"/>
    </xf>
    <xf numFmtId="1" fontId="3" fillId="6" borderId="31" xfId="3" applyNumberFormat="1" applyFill="1" applyBorder="1" applyAlignment="1">
      <alignment horizontal="center" vertical="center"/>
    </xf>
    <xf numFmtId="0" fontId="9" fillId="6" borderId="31" xfId="3" applyFont="1" applyFill="1" applyBorder="1" applyAlignment="1">
      <alignment horizontal="center" vertical="center"/>
    </xf>
    <xf numFmtId="1" fontId="10" fillId="6" borderId="31" xfId="3" applyNumberFormat="1" applyFont="1" applyFill="1" applyBorder="1" applyAlignment="1">
      <alignment horizontal="center" vertical="center" wrapText="1"/>
    </xf>
    <xf numFmtId="1" fontId="3" fillId="6" borderId="31" xfId="3" applyNumberFormat="1" applyFill="1" applyBorder="1" applyAlignment="1">
      <alignment horizontal="center" vertical="center" wrapText="1"/>
    </xf>
    <xf numFmtId="1" fontId="9" fillId="7" borderId="31" xfId="3" applyNumberFormat="1" applyFont="1" applyFill="1" applyBorder="1" applyAlignment="1">
      <alignment horizontal="center" vertical="center" wrapText="1"/>
    </xf>
    <xf numFmtId="1" fontId="9" fillId="7" borderId="31" xfId="3" applyNumberFormat="1" applyFont="1" applyFill="1" applyBorder="1" applyAlignment="1">
      <alignment horizontal="center" vertical="center"/>
    </xf>
    <xf numFmtId="0" fontId="3" fillId="6" borderId="31" xfId="3" applyFill="1" applyBorder="1" applyAlignment="1">
      <alignment horizontal="center" vertical="center"/>
    </xf>
    <xf numFmtId="0" fontId="4" fillId="7" borderId="18" xfId="6" applyFont="1" applyFill="1" applyBorder="1" applyAlignment="1">
      <alignment horizontal="center" vertical="center" textRotation="90"/>
    </xf>
    <xf numFmtId="0" fontId="4" fillId="7" borderId="22" xfId="6" applyFont="1" applyFill="1" applyBorder="1" applyAlignment="1">
      <alignment horizontal="center" vertical="center" textRotation="90"/>
    </xf>
    <xf numFmtId="1" fontId="3" fillId="6" borderId="6" xfId="3" applyNumberFormat="1" applyFill="1" applyBorder="1" applyAlignment="1">
      <alignment horizontal="right" vertical="center" wrapText="1"/>
    </xf>
    <xf numFmtId="1" fontId="3" fillId="6" borderId="7" xfId="3" applyNumberFormat="1" applyFill="1" applyBorder="1" applyAlignment="1">
      <alignment horizontal="right" vertical="center" wrapText="1"/>
    </xf>
    <xf numFmtId="0" fontId="34" fillId="0" borderId="2" xfId="0" applyFont="1" applyBorder="1" applyAlignment="1">
      <alignment horizontal="center"/>
    </xf>
    <xf numFmtId="44" fontId="60" fillId="0" borderId="0" xfId="1" applyFont="1"/>
  </cellXfs>
  <cellStyles count="10">
    <cellStyle name="Accent1" xfId="4" builtinId="29"/>
    <cellStyle name="Accent2" xfId="5" builtinId="33"/>
    <cellStyle name="Accent5" xfId="6" builtinId="45"/>
    <cellStyle name="Accent6" xfId="7" builtinId="49"/>
    <cellStyle name="Comma" xfId="8" builtinId="3"/>
    <cellStyle name="Currency" xfId="1" builtinId="4"/>
    <cellStyle name="Heading 1" xfId="3" builtinId="16"/>
    <cellStyle name="Normal" xfId="0" builtinId="0"/>
    <cellStyle name="Percent" xfId="9" builtinId="5"/>
    <cellStyle name="Title" xfId="2" builtinId="1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 Id="rId14" Type="http://schemas.openxmlformats.org/officeDocument/2006/relationships/customXml" Target="../customXml/item4.xml"/></Relationships>
</file>

<file path=xl/persons/person.xml><?xml version="1.0" encoding="utf-8"?>
<personList xmlns="http://schemas.microsoft.com/office/spreadsheetml/2018/threadedcomments" xmlns:x="http://schemas.openxmlformats.org/spreadsheetml/2006/main">
  <person displayName="Erik Mangold" id="{7FB936F2-1C17-496F-BFDC-BC6C8CAA9125}" userId="emangold@lakestevenswa.gov" providerId="PeoplePicker"/>
  <person displayName="Aaron Halverson" id="{45E8DFB1-630F-437D-A224-9868F3F25114}" userId="ahalverson@lakestevenswa.gov" providerId="PeoplePicker"/>
  <person displayName="Barbara Stevens" id="{D60AF47E-B3B8-4BC8-8FF3-BBE414054B33}" userId="S::bstevens@lakestevenswa.gov::c1b4d74f-22ca-4844-9269-7e74ed862d74" providerId="AD"/>
  <person displayName="Sarah Garceau" id="{097BB870-4C33-450F-BF60-FA59B1DB3400}" userId="S::sgarceau@lakestevenswa.gov::2edc4e9f-4612-460a-843b-255db8417ba3" providerId="AD"/>
  <person displayName="Kim Klinkers" id="{7E698FBE-B3D1-44F4-AB0E-62D94AB0461F}" userId="S::kklinkers@lakestevenswa.gov::491bf83e-2fc1-44c8-80ca-1750ca2035f2"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G3" dT="2023-09-06T15:28:31.07" personId="{7E698FBE-B3D1-44F4-AB0E-62D94AB0461F}" id="{15DCF8A5-7FA8-4B5E-895F-960E30E7D124}">
    <text>Sidewalk</text>
  </threadedComment>
  <threadedComment ref="AH3" dT="2023-09-06T15:29:00.41" personId="{7E698FBE-B3D1-44F4-AB0E-62D94AB0461F}" id="{22AADA24-5DA6-411A-9447-C901A8DDC9E6}">
    <text>Stormwater Capital</text>
  </threadedComment>
  <threadedComment ref="AI3" dT="2023-09-06T15:29:00.41" personId="{7E698FBE-B3D1-44F4-AB0E-62D94AB0461F}" id="{62F0CE45-5CF5-45F5-974D-376ADA240D03}">
    <text>Other Capital</text>
  </threadedComment>
  <threadedComment ref="K67" dT="2024-10-02T21:32:43.29" personId="{D60AF47E-B3B8-4BC8-8FF3-BBE414054B33}" id="{F6BADB24-3003-4189-B4A4-861F739AB043}" done="1">
    <text>Kim was this feasibility, design &amp; engineering only?</text>
  </threadedComment>
  <threadedComment ref="K67" dT="2024-10-02T22:13:27.53" personId="{7E698FBE-B3D1-44F4-AB0E-62D94AB0461F}" id="{AB0DB6E5-1E68-4195-BFFE-3131150AE1E8}" parentId="{F6BADB24-3003-4189-B4A4-861F739AB043}">
    <text xml:space="preserve">It should be design and construction. I guessed at the construction cost for now. It will need to be refined once we are in the design phase. </text>
  </threadedComment>
  <threadedComment ref="K67" dT="2024-10-02T22:23:45.10" personId="{D60AF47E-B3B8-4BC8-8FF3-BBE414054B33}" id="{C62FD11D-CD5C-4F52-A301-D55461E9885B}" parentId="{F6BADB24-3003-4189-B4A4-861F739AB043}">
    <text>Okay</text>
  </threadedComment>
</ThreadedComments>
</file>

<file path=xl/threadedComments/threadedComment2.xml><?xml version="1.0" encoding="utf-8"?>
<ThreadedComments xmlns="http://schemas.microsoft.com/office/spreadsheetml/2018/threadedcomments" xmlns:x="http://schemas.openxmlformats.org/spreadsheetml/2006/main">
  <threadedComment ref="AK1" dT="2025-09-30T19:16:33.98" personId="{D60AF47E-B3B8-4BC8-8FF3-BBE414054B33}" id="{F970AEB6-0DDD-44D1-BF52-AA18AB8F0E31}">
    <text>@Aaron Halverson this $3M is already claimed by the Civic Campus and Museum.</text>
    <mentions>
      <mention mentionpersonId="{45E8DFB1-630F-437D-A224-9868F3F25114}" mentionId="{15A13560-2081-4F0B-A8CE-118A1DC7C335}" startIndex="0" length="16"/>
    </mentions>
  </threadedComment>
  <threadedComment ref="AM4" dT="2023-09-06T15:28:31.07" personId="{7E698FBE-B3D1-44F4-AB0E-62D94AB0461F}" id="{79775D1F-AF5F-4698-9F7A-CA3F5DBA735A}">
    <text>Sidewalk</text>
  </threadedComment>
  <threadedComment ref="AN4" dT="2023-09-06T15:29:00.41" personId="{7E698FBE-B3D1-44F4-AB0E-62D94AB0461F}" id="{81BFA9DA-7692-4660-8D46-DDCCDD5BEA06}">
    <text>Stormwater Capital</text>
  </threadedComment>
  <threadedComment ref="AO4" dT="2023-09-06T15:29:00.41" personId="{7E698FBE-B3D1-44F4-AB0E-62D94AB0461F}" id="{96EEE375-A76A-4A70-8A6F-458124925D19}">
    <text>Other Capital</text>
  </threadedComment>
  <threadedComment ref="F8" dT="2025-09-26T17:33:58.41" personId="{D60AF47E-B3B8-4BC8-8FF3-BBE414054B33}" id="{D53C7AE6-8937-4B56-918A-E0DF37328846}">
    <text xml:space="preserve">@Erik Mangold this was not the 2025 Budget amount. It was only $1,777,000. The extra $700,000 was an estimate that Kim thought we would get the Sewer District to pay. That is the “Other” capital column and why it is coded green. </text>
    <mentions>
      <mention mentionpersonId="{7FB936F2-1C17-496F-BFDC-BC6C8CAA9125}" mentionId="{0AFC69B0-7C2B-40E0-A85F-53CD3CE60E2F}" startIndex="0" length="13"/>
    </mentions>
  </threadedComment>
  <threadedComment ref="F9" dT="2025-09-26T17:35:44.59" personId="{D60AF47E-B3B8-4BC8-8FF3-BBE414054B33}" id="{7663900E-FA70-4D16-A3E7-375A5EFADD83}">
    <text>The 2025 budget was $374,825</text>
  </threadedComment>
  <threadedComment ref="F11" dT="2025-09-26T17:39:09.17" personId="{D60AF47E-B3B8-4BC8-8FF3-BBE414054B33}" id="{EE2F4EE0-B2D5-4AAB-8090-55EDE44E3845}">
    <text>No budget in 2025. $0</text>
  </threadedComment>
  <threadedComment ref="F11" dT="2025-09-26T19:21:03.13" personId="{D60AF47E-B3B8-4BC8-8FF3-BBE414054B33}" id="{A6E4AB3E-9013-4A30-B714-58E4076A00A1}" parentId="{EE2F4EE0-B2D5-4AAB-8090-55EDE44E3845}">
    <text>Budget amended to include grant</text>
  </threadedComment>
  <threadedComment ref="N11" dT="2025-11-03T20:23:15.47" personId="{D60AF47E-B3B8-4BC8-8FF3-BBE414054B33}" id="{E3A91D3F-01DE-4CCA-96B0-0B6EAEE55069}">
    <text>@Erik Mangold @Aaron Halverson I accidentally edited this cell to “a” on Friday, but the $800K SRTS grant rev, and exp of $1,950,000 (including the grant funds) is in the budget. That does not include the unsecured TIB grant. That will get added once secured.  I’ve taken a copy so it doesn’t happen again.</text>
  </threadedComment>
  <threadedComment ref="N11" dT="2025-11-03T20:24:57.15" personId="{D60AF47E-B3B8-4BC8-8FF3-BBE414054B33}" id="{6CB2FC37-C8FD-4DFB-AAEF-137A4A9F0C86}" parentId="{E3A91D3F-01DE-4CCA-96B0-0B6EAEE55069}">
    <text xml:space="preserve">Or maybe it wasn’t me as the “show changes” says it was Aaron on 10/14, but in my copy it says it was me…??? </text>
  </threadedComment>
  <threadedComment ref="J27" dT="2025-09-30T23:29:01.48" personId="{097BB870-4C33-450F-BF60-FA59B1DB3400}" id="{343EA1A7-5068-41A5-9529-6755DC65F32B}">
    <text>$1,243,505 is cost for current construction contract. This does not include the pending modified landscape plan, or additional amenities such as soccer/lacrosse goals for the field, signage, trash cans, seating, etc.</text>
  </threadedComment>
  <threadedComment ref="J27" dT="2025-09-30T23:30:12.80" personId="{097BB870-4C33-450F-BF60-FA59B1DB3400}" id="{26D9750E-2238-4167-A3AF-A1FF52E4A356}" parentId="{343EA1A7-5068-41A5-9529-6755DC65F32B}">
    <text>Add $40k as placeholder - Sarah needs to calculate final amounts</text>
  </threadedComment>
  <threadedComment ref="F28" dT="2025-09-26T17:43:36.40" personId="{D60AF47E-B3B8-4BC8-8FF3-BBE414054B33}" id="{E3D71AE6-B5F7-4846-A6E2-0F64BE0F5B62}">
    <text>2025 Budget was $332,387.</text>
  </threadedComment>
  <threadedComment ref="E29" dT="2025-09-30T23:33:39.21" personId="{097BB870-4C33-450F-BF60-FA59B1DB3400}" id="{D6014D8B-BBB8-43F7-A1FA-BEC9D8C485D1}">
    <text>Reduce for scope change (was indoor recreation center - now open outdoor park)</text>
  </threadedComment>
  <threadedComment ref="F29" dT="2025-09-26T17:47:41.19" personId="{D60AF47E-B3B8-4BC8-8FF3-BBE414054B33}" id="{F8322128-3F6F-46FE-8C41-444A4831C4A9}">
    <text>@Erik Mangold Sarah asked for the entire budget to be rolled forward last year, so it was. The 2025 budget is $2,955,089</text>
    <mentions>
      <mention mentionpersonId="{7FB936F2-1C17-496F-BFDC-BC6C8CAA9125}" mentionId="{BDACCD31-184A-4ED4-B60D-4E257F49B698}" startIndex="0" length="13"/>
    </mentions>
  </threadedComment>
  <threadedComment ref="J29" dT="2025-09-30T23:33:12.12" personId="{097BB870-4C33-450F-BF60-FA59B1DB3400}" id="{343279DD-FC8F-4032-9ABE-1B3D90AA2716}">
    <text>Sarah modified. Design/Engineering 2026 and build 2027</text>
  </threadedComment>
  <threadedComment ref="AI31" dT="2025-09-30T23:52:41.79" personId="{097BB870-4C33-450F-BF60-FA59B1DB3400}" id="{A8168B30-28B9-41E2-870B-9EBAB3E34375}">
    <text>I don’t think PM-302 can be used for resurfacing a dock?</text>
  </threadedComment>
  <threadedComment ref="AK31" dT="2025-09-30T23:52:41.79" personId="{097BB870-4C33-450F-BF60-FA59B1DB3400}" id="{D9F96302-AAAB-4900-B6EC-FFC0689EC563}">
    <text>Moved from PM-302 - Park Mitigation must be used for new parks or new amenities, not replacements?</text>
  </threadedComment>
  <threadedComment ref="F49" dT="2025-09-26T18:45:06.89" personId="{D60AF47E-B3B8-4BC8-8FF3-BBE414054B33}" id="{346E2929-B595-45CC-854C-F0CEA8063FA3}">
    <text>2025 Budget $5,910,210. Included $99,910 grant</text>
  </threadedComment>
  <threadedComment ref="J49" dT="2025-11-18T19:42:43.83" personId="{D60AF47E-B3B8-4BC8-8FF3-BBE414054B33}" id="{F05A0833-3EF2-4B02-B80E-198B196D779B}">
    <text>@Erik Mangold this number should be $7,949,910</text>
    <mentions>
      <mention mentionpersonId="{7FB936F2-1C17-496F-BFDC-BC6C8CAA9125}" mentionId="{A18B26B2-8535-451B-9E5F-C1BBDB57434C}" startIndex="0" length="13"/>
    </mentions>
  </threadedComment>
  <threadedComment ref="AA49" dT="2025-11-18T19:44:25.78" personId="{D60AF47E-B3B8-4BC8-8FF3-BBE414054B33}" id="{6CC7D173-5A9B-4BDF-A94C-B9AAE3BAC63A}">
    <text>@Erik Mangold this is $1,850,000</text>
    <mentions>
      <mention mentionpersonId="{7FB936F2-1C17-496F-BFDC-BC6C8CAA9125}" mentionId="{D5CA6922-7C98-49CC-A8D6-EE5900B49602}" startIndex="0" length="13"/>
    </mentions>
  </threadedComment>
  <threadedComment ref="AL49" dT="2025-11-18T19:50:50.68" personId="{D60AF47E-B3B8-4BC8-8FF3-BBE414054B33}" id="{CDC57DB2-5F16-429C-AF8B-9D9BAA87424C}">
    <text>@Erik Mangold the rest of the budget is in 306 and will need to rolled forward in the 2026 budget.</text>
    <mentions>
      <mention mentionpersonId="{7FB936F2-1C17-496F-BFDC-BC6C8CAA9125}" mentionId="{98BABB61-0701-4FFD-BB09-6D21FA50EA04}" startIndex="0" length="13"/>
    </mentions>
  </threadedComment>
  <threadedComment ref="AO49" dT="2025-10-09T20:55:37.34" personId="{D60AF47E-B3B8-4BC8-8FF3-BBE414054B33}" id="{8113CE93-A7F3-4AF1-A645-32D2583B1933}">
    <text>Sale of Chapel Hill property</text>
  </threadedComment>
  <threadedComment ref="F50" dT="2025-09-26T18:46:45.09" personId="{D60AF47E-B3B8-4BC8-8FF3-BBE414054B33}" id="{13B4C442-DB47-4BA8-AA37-244AEC04E90C}">
    <text>2025 Budget $3,163,096</text>
  </threadedComment>
  <threadedComment ref="J50" dT="2025-11-18T19:43:08.50" personId="{D60AF47E-B3B8-4BC8-8FF3-BBE414054B33}" id="{CF70700B-0D0D-4D45-8A35-74F710CF1342}">
    <text>@Erik Mangold this number should be $4,282,621</text>
    <mentions>
      <mention mentionpersonId="{7FB936F2-1C17-496F-BFDC-BC6C8CAA9125}" mentionId="{424C397C-68D7-46AF-A448-2BC440EA6D95}" startIndex="0" length="13"/>
    </mentions>
  </threadedComment>
  <threadedComment ref="AA50" dT="2025-11-18T19:44:10.91" personId="{D60AF47E-B3B8-4BC8-8FF3-BBE414054B33}" id="{4F05B886-69CB-408B-8A5A-380BE5F1C542}">
    <text>@Erik Mangold this is $$800,000</text>
    <mentions>
      <mention mentionpersonId="{7FB936F2-1C17-496F-BFDC-BC6C8CAA9125}" mentionId="{D7DD7B08-22DF-4F87-B631-8016576D3647}" startIndex="0" length="13"/>
    </mentions>
  </threadedComment>
  <threadedComment ref="F54" dT="2025-09-26T19:43:17.09" personId="{D60AF47E-B3B8-4BC8-8FF3-BBE414054B33}" id="{7B120EAD-9179-4F61-B0DB-2C6A1BB7A64A}">
    <text>@Erik Mangold Budget was amended to $1,794,121. Increased by $222K and added the remaining funds from the downtown regional SWM facility that were not longer needed. Per Shannon.</text>
    <mentions>
      <mention mentionpersonId="{7FB936F2-1C17-496F-BFDC-BC6C8CAA9125}" mentionId="{1B2E986D-DC58-4EC7-99C3-FF7364108B38}" startIndex="0" length="13"/>
    </mentions>
  </threadedComment>
  <threadedComment ref="F54" dT="2025-09-26T23:23:51.21" personId="{D60AF47E-B3B8-4BC8-8FF3-BBE414054B33}" id="{4DFE36B7-0D9D-4821-AEF9-13C31AF190D4}" parentId="{7B120EAD-9179-4F61-B0DB-2C6A1BB7A64A}">
    <text xml:space="preserve">@Erik Mangold I clarified with Shannon and I was wrong about the SWM Facility $ going to this project. The extra is not needed in 2025 so I am not going to move them into that project. </text>
    <mentions>
      <mention mentionpersonId="{7FB936F2-1C17-496F-BFDC-BC6C8CAA9125}" mentionId="{6C4D8038-6874-4B40-A1F4-1E5FA55AC2D6}" startIndex="0" length="13"/>
    </mentions>
  </threadedComment>
  <threadedComment ref="F55" dT="2025-09-26T20:19:26.89" personId="{D60AF47E-B3B8-4BC8-8FF3-BBE414054B33}" id="{1D2E4D25-CA50-4008-802B-8530D6BB4EF5}">
    <text xml:space="preserve">@Erik Mangold Shannon asked me to combine SW111 and SW106 in the budget.  So the $780,000 is the total 2025 budget for both. The budget was $280,000 for this one but was combined with the $500,000 for SW106 which is why there is $0 budget showing there now. </text>
    <mentions>
      <mention mentionpersonId="{7FB936F2-1C17-496F-BFDC-BC6C8CAA9125}" mentionId="{A191B023-F0A1-47BA-AB7D-04207A38323B}" startIndex="0" length="13"/>
    </mentions>
  </threadedComment>
  <threadedComment ref="J55" dT="2025-09-30T17:55:33.70" personId="{D60AF47E-B3B8-4BC8-8FF3-BBE414054B33}" id="{0DA88342-00A0-4376-A628-FB9F7C07BDD7}">
    <text>@Erik Mangold are these the only 2 SWM projects for 2026 or are we supposed to take into consideration those in the 2026 column M?</text>
    <mentions>
      <mention mentionpersonId="{7FB936F2-1C17-496F-BFDC-BC6C8CAA9125}" mentionId="{3400FB15-B06A-4B22-98B7-358168B2F9D0}" startIndex="0" length="13"/>
    </mentions>
  </threadedComment>
  <threadedComment ref="AN58" dT="2025-10-09T20:44:40.69" personId="{D60AF47E-B3B8-4BC8-8FF3-BBE414054B33}" id="{4D9BE693-5B0F-4D4D-AFD6-796FB4B05614}">
    <text>@Aaron Halverson this is in the operating fund and “approved” through the “item request” budget. I don’t think it needs to be in the CIP. Thanks</text>
    <mentions>
      <mention mentionpersonId="{45E8DFB1-630F-437D-A224-9868F3F25114}" mentionId="{D7878F05-6618-4756-A297-835EAB097546}" startIndex="0" length="16"/>
    </mentions>
  </threadedComment>
</ThreadedComments>
</file>

<file path=xl/threadedComments/threadedComment3.xml><?xml version="1.0" encoding="utf-8"?>
<ThreadedComments xmlns="http://schemas.microsoft.com/office/spreadsheetml/2018/threadedcomments" xmlns:x="http://schemas.openxmlformats.org/spreadsheetml/2006/main">
  <threadedComment ref="AN3" dT="2023-09-06T15:28:31.07" personId="{7E698FBE-B3D1-44F4-AB0E-62D94AB0461F}" id="{5118A97C-29FA-477F-8B74-FDC40FE6D7A1}">
    <text>Sidewalk</text>
  </threadedComment>
  <threadedComment ref="AO3" dT="2023-09-06T15:29:00.41" personId="{7E698FBE-B3D1-44F4-AB0E-62D94AB0461F}" id="{F1D21D8D-E966-4396-8F47-9E70FE39AC84}">
    <text>Stormwater Capital</text>
  </threadedComment>
  <threadedComment ref="AP3" dT="2023-09-06T15:29:00.41" personId="{7E698FBE-B3D1-44F4-AB0E-62D94AB0461F}" id="{F7A4D6CC-E6F5-4949-B2F8-EFA4B835A68D}">
    <text>Other Capital</text>
  </threadedComment>
  <threadedComment ref="G6" dT="2025-09-26T17:33:58.41" personId="{D60AF47E-B3B8-4BC8-8FF3-BBE414054B33}" id="{8A74808C-EC1D-4F06-868A-85B40B0938EC}">
    <text xml:space="preserve">@Erik Mangold this was not the 2025 Budget amount. It was only $1,777,000. The extra $700,000 was an estimate that Kim thought we would get the Sewer District to pay. That is the “Other” capital column and why it is coded green. </text>
    <mentions>
      <mention mentionpersonId="{7FB936F2-1C17-496F-BFDC-BC6C8CAA9125}" mentionId="{F288B239-0490-4252-B40E-06FFCFF426DE}" startIndex="0" length="13"/>
    </mentions>
  </threadedComment>
  <threadedComment ref="G7" dT="2025-09-26T17:35:44.59" personId="{D60AF47E-B3B8-4BC8-8FF3-BBE414054B33}" id="{D59AEAA7-DBA5-4597-A2B0-F8F78DD2930A}">
    <text>The 2025 budget was $374,825</text>
  </threadedComment>
  <threadedComment ref="G9" dT="2025-09-26T17:39:09.17" personId="{D60AF47E-B3B8-4BC8-8FF3-BBE414054B33}" id="{A8F88F9E-FA64-409B-8FEC-4929E4D4EAAF}">
    <text>No budget in 2025. $0</text>
  </threadedComment>
  <threadedComment ref="G9" dT="2025-09-26T19:21:03.13" personId="{D60AF47E-B3B8-4BC8-8FF3-BBE414054B33}" id="{F2078C34-6388-4020-9FCA-90FC6290B26D}" parentId="{A8F88F9E-FA64-409B-8FEC-4929E4D4EAAF}">
    <text>Budget amended to include grant</text>
  </threadedComment>
  <threadedComment ref="K16" dT="2025-09-30T23:29:01.48" personId="{097BB870-4C33-450F-BF60-FA59B1DB3400}" id="{F8722026-6D01-4A3C-B040-02E17AEAB59B}">
    <text>$1,243,505 is cost for current construction contract. This does not include the pending modified landscape plan, or additional amenities such as soccer/lacrosse goals for the field, signage, trash cans, seating, etc.</text>
  </threadedComment>
  <threadedComment ref="K16" dT="2025-09-30T23:30:12.80" personId="{097BB870-4C33-450F-BF60-FA59B1DB3400}" id="{47438113-1008-432A-8EF5-9CAD28DD077E}" parentId="{F8722026-6D01-4A3C-B040-02E17AEAB59B}">
    <text>Add $40k as placeholder - Sarah needs to calculate final amounts</text>
  </threadedComment>
  <threadedComment ref="G17" dT="2025-09-26T17:43:36.40" personId="{D60AF47E-B3B8-4BC8-8FF3-BBE414054B33}" id="{2BB8E93C-A0CE-498F-8594-E65856AA8F57}">
    <text>2025 Budget was $332,387.</text>
  </threadedComment>
  <threadedComment ref="F18" dT="2025-09-30T23:33:39.21" personId="{097BB870-4C33-450F-BF60-FA59B1DB3400}" id="{1325A978-35C9-4AE9-A6C8-9E3361421E20}">
    <text>Reduce for scope change (was indoor recreation center - now open outdoor park)</text>
  </threadedComment>
  <threadedComment ref="G18" dT="2025-09-26T17:47:41.19" personId="{D60AF47E-B3B8-4BC8-8FF3-BBE414054B33}" id="{785D3072-6FEA-4CE1-9443-CBD2A3F1D01F}">
    <text>@Erik Mangold Sarah asked for the entire budget to be rolled forward last year, so it was. The 2025 budget is $2,955,089</text>
    <mentions>
      <mention mentionpersonId="{7FB936F2-1C17-496F-BFDC-BC6C8CAA9125}" mentionId="{6FF34941-3380-4A6D-BA0A-258757EFC6C2}" startIndex="0" length="13"/>
    </mentions>
  </threadedComment>
  <threadedComment ref="K18" dT="2025-09-30T23:33:12.12" personId="{097BB870-4C33-450F-BF60-FA59B1DB3400}" id="{4AC95E3E-EEA9-47FA-9315-9C68E4248761}">
    <text>Sarah modified. Design/Engineering 2026 and build 2027</text>
  </threadedComment>
  <threadedComment ref="AJ20" dT="2025-09-30T23:52:41.79" personId="{097BB870-4C33-450F-BF60-FA59B1DB3400}" id="{CA6827F1-45C3-4EAA-A8C0-F44AFF4A39F9}">
    <text>I don’t think PM-302 can be used for resurfacing a dock?</text>
  </threadedComment>
  <threadedComment ref="AL20" dT="2025-09-30T23:52:41.79" personId="{097BB870-4C33-450F-BF60-FA59B1DB3400}" id="{FAC89AA9-5E5D-4A07-BCDC-E0DAF7AA79A8}">
    <text>Moved from PM-302 - Park Mitigation must be used for new parks or new amenities, not replacements?</text>
  </threadedComment>
  <threadedComment ref="G27" dT="2025-09-26T19:43:17.09" personId="{D60AF47E-B3B8-4BC8-8FF3-BBE414054B33}" id="{F764DC2E-D60E-4EEE-BD58-CC4ACE1F69BC}">
    <text>@Erik Mangold Budget was amended to $1,794,121. Increased by $222K and added the remaining funds from the downtown regional SWM facility that were not longer needed. Per Shannon.</text>
    <mentions>
      <mention mentionpersonId="{7FB936F2-1C17-496F-BFDC-BC6C8CAA9125}" mentionId="{E4AE7A35-3A46-4DB6-96DF-9D83F49A0704}" startIndex="0" length="13"/>
    </mentions>
  </threadedComment>
  <threadedComment ref="G27" dT="2025-09-26T23:23:51.21" personId="{D60AF47E-B3B8-4BC8-8FF3-BBE414054B33}" id="{670DD243-30D6-4EC4-BD3C-1839C8F79BC8}" parentId="{F764DC2E-D60E-4EEE-BD58-CC4ACE1F69BC}">
    <text xml:space="preserve">@Erik Mangold I clarified with Shannon and I was wrong about the SWM Facility $ going to this project. The extra is not needed in 2025 so I am not going to move them into that project. </text>
    <mentions>
      <mention mentionpersonId="{7FB936F2-1C17-496F-BFDC-BC6C8CAA9125}" mentionId="{CFF88C70-DCB0-4D5C-BF5B-43472C114948}" startIndex="0" length="13"/>
    </mentions>
  </threadedComment>
  <threadedComment ref="G28" dT="2025-09-26T20:19:26.89" personId="{D60AF47E-B3B8-4BC8-8FF3-BBE414054B33}" id="{135D8D89-1F64-4A15-B045-18502AFB97CF}">
    <text xml:space="preserve">@Erik Mangold Shannon asked me to combine SW111 and SW106 in the budget.  So the $780,000 is the total 2025 budget for both. The budget was $280,000 for this one but was combined with the $500,000 for SW106 which is why there is $0 budget showing there now. </text>
    <mentions>
      <mention mentionpersonId="{7FB936F2-1C17-496F-BFDC-BC6C8CAA9125}" mentionId="{104DB97A-0852-4AC8-B059-43CAA77595EB}" startIndex="0" length="13"/>
    </mentions>
  </threadedComment>
  <threadedComment ref="K28" dT="2025-09-30T17:55:33.70" personId="{D60AF47E-B3B8-4BC8-8FF3-BBE414054B33}" id="{9B5C162A-C635-4617-9B11-319D2E29C941}">
    <text>@Erik Mangold are these the only 2 SWM projects for 2026 or are we supposed to take into consideration those in the 2026 column M?</text>
    <mentions>
      <mention mentionpersonId="{7FB936F2-1C17-496F-BFDC-BC6C8CAA9125}" mentionId="{C53B7ABF-C197-486B-A103-8213C2B4A044}" startIndex="0" length="13"/>
    </mentions>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printerSettings" Target="../printerSettings/printerSettings4.bin"/><Relationship Id="rId1" Type="http://schemas.openxmlformats.org/officeDocument/2006/relationships/printerSettings" Target="../printerSettings/printerSettings3.bin"/><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2BB7FF-EEDB-4A32-8358-BCB9E3E47471}">
  <sheetPr>
    <tabColor theme="5" tint="0.79998168889431442"/>
    <pageSetUpPr fitToPage="1"/>
  </sheetPr>
  <dimension ref="A1:AO88"/>
  <sheetViews>
    <sheetView topLeftCell="A16" zoomScale="69" zoomScaleNormal="69" workbookViewId="0">
      <selection activeCell="B28" sqref="A28:XFD28"/>
    </sheetView>
  </sheetViews>
  <sheetFormatPr defaultColWidth="9" defaultRowHeight="14.4" x14ac:dyDescent="0.3"/>
  <cols>
    <col min="1" max="1" width="5.33203125" style="45" customWidth="1"/>
    <col min="2" max="2" width="6.88671875" style="8" customWidth="1"/>
    <col min="3" max="3" width="49.44140625" style="28" customWidth="1"/>
    <col min="4" max="4" width="41.109375" style="10" customWidth="1"/>
    <col min="5" max="5" width="20.5546875" style="11" customWidth="1"/>
    <col min="6" max="8" width="16.5546875" style="12" hidden="1" customWidth="1"/>
    <col min="9" max="9" width="20.5546875" style="13" hidden="1" customWidth="1"/>
    <col min="10" max="11" width="16.5546875" style="13" hidden="1" customWidth="1"/>
    <col min="12" max="16" width="20.5546875" style="13" customWidth="1"/>
    <col min="17" max="17" width="19.44140625" style="13" bestFit="1" customWidth="1"/>
    <col min="18" max="18" width="21" style="14" bestFit="1" customWidth="1"/>
    <col min="19" max="19" width="27.109375" style="14" bestFit="1" customWidth="1"/>
    <col min="20" max="20" width="7.33203125" style="50" bestFit="1" customWidth="1"/>
    <col min="21" max="21" width="8.33203125" style="50" bestFit="1" customWidth="1"/>
    <col min="22" max="22" width="8.88671875" style="50" bestFit="1" customWidth="1"/>
    <col min="23" max="23" width="8.44140625" style="50" bestFit="1" customWidth="1"/>
    <col min="24" max="25" width="8.33203125" style="50" bestFit="1" customWidth="1"/>
    <col min="26" max="26" width="9.88671875" style="50" bestFit="1" customWidth="1"/>
    <col min="27" max="27" width="8.33203125" style="50" bestFit="1" customWidth="1"/>
    <col min="28" max="28" width="7.33203125" style="50" bestFit="1" customWidth="1"/>
    <col min="29" max="29" width="12" style="50" customWidth="1"/>
    <col min="30" max="30" width="5.5546875" style="50" bestFit="1" customWidth="1"/>
    <col min="31" max="32" width="9.88671875" style="50" bestFit="1" customWidth="1"/>
    <col min="33" max="33" width="8.33203125" style="50" bestFit="1" customWidth="1"/>
    <col min="34" max="34" width="9.88671875" style="50" bestFit="1" customWidth="1"/>
    <col min="35" max="35" width="11.44140625" style="50" bestFit="1" customWidth="1"/>
    <col min="36" max="36" width="10.44140625" style="16" bestFit="1" customWidth="1"/>
    <col min="37" max="37" width="13.109375" style="16" customWidth="1"/>
    <col min="38" max="40" width="9" style="16"/>
    <col min="41" max="41" width="11.44140625" style="16" customWidth="1"/>
    <col min="42" max="16384" width="9" style="16"/>
  </cols>
  <sheetData>
    <row r="1" spans="1:38" s="2" customFormat="1" ht="25.8" x14ac:dyDescent="0.3">
      <c r="A1" s="421" t="s">
        <v>0</v>
      </c>
      <c r="B1" s="421"/>
      <c r="C1" s="421"/>
      <c r="D1" s="421"/>
      <c r="E1" s="421"/>
      <c r="F1" s="421"/>
      <c r="G1" s="421"/>
      <c r="H1" s="421"/>
      <c r="I1" s="421"/>
      <c r="J1" s="421"/>
      <c r="K1" s="421"/>
      <c r="L1" s="421"/>
      <c r="M1" s="421"/>
      <c r="N1" s="421"/>
      <c r="O1" s="421"/>
      <c r="P1" s="421"/>
      <c r="Q1" s="421"/>
      <c r="R1" s="421"/>
      <c r="S1" s="421"/>
      <c r="T1" s="1"/>
      <c r="U1" s="1"/>
      <c r="V1" s="1"/>
      <c r="W1" s="1"/>
      <c r="X1" s="1">
        <v>601785</v>
      </c>
      <c r="Y1" s="1">
        <v>326963</v>
      </c>
      <c r="Z1" s="1">
        <v>2045440</v>
      </c>
      <c r="AA1" s="1"/>
      <c r="AB1" s="1">
        <v>50158</v>
      </c>
      <c r="AC1" s="1">
        <f>2186930+Q25</f>
        <v>3391282</v>
      </c>
      <c r="AD1" s="1"/>
      <c r="AE1" s="1"/>
      <c r="AF1" s="1"/>
      <c r="AG1" s="1">
        <v>280000</v>
      </c>
      <c r="AH1" s="1"/>
      <c r="AI1" s="1"/>
    </row>
    <row r="2" spans="1:38" s="2" customFormat="1" ht="21.6" thickBot="1" x14ac:dyDescent="0.35">
      <c r="A2" s="422" t="s">
        <v>1</v>
      </c>
      <c r="B2" s="422"/>
      <c r="C2" s="422"/>
      <c r="D2" s="422"/>
      <c r="E2" s="422"/>
      <c r="F2" s="422"/>
      <c r="G2" s="422"/>
      <c r="H2" s="422"/>
      <c r="I2" s="422"/>
      <c r="J2" s="422"/>
      <c r="K2" s="422"/>
      <c r="L2" s="422"/>
      <c r="M2" s="422"/>
      <c r="N2" s="422"/>
      <c r="O2" s="422"/>
      <c r="P2" s="422"/>
      <c r="Q2" s="422"/>
      <c r="R2" s="422"/>
      <c r="S2" s="422"/>
      <c r="T2" s="423" t="s">
        <v>2</v>
      </c>
      <c r="U2" s="423"/>
      <c r="V2" s="423"/>
      <c r="W2" s="423"/>
      <c r="X2" s="423"/>
      <c r="Y2" s="423"/>
      <c r="Z2" s="423"/>
      <c r="AA2" s="423"/>
      <c r="AB2" s="423"/>
      <c r="AC2" s="423"/>
      <c r="AD2" s="423"/>
      <c r="AE2" s="423"/>
      <c r="AF2" s="423"/>
      <c r="AG2" s="423"/>
      <c r="AH2" s="423"/>
      <c r="AI2" s="423"/>
    </row>
    <row r="3" spans="1:38" s="4" customFormat="1" ht="21" thickTop="1" thickBot="1" x14ac:dyDescent="0.35">
      <c r="A3" s="424" t="s">
        <v>3</v>
      </c>
      <c r="B3" s="426" t="s">
        <v>4</v>
      </c>
      <c r="C3" s="428" t="s">
        <v>5</v>
      </c>
      <c r="D3" s="430" t="s">
        <v>6</v>
      </c>
      <c r="E3" s="430" t="s">
        <v>7</v>
      </c>
      <c r="F3" s="432" t="s">
        <v>8</v>
      </c>
      <c r="G3" s="434" t="s">
        <v>9</v>
      </c>
      <c r="H3" s="434" t="s">
        <v>10</v>
      </c>
      <c r="I3" s="438">
        <v>2025</v>
      </c>
      <c r="J3" s="450" t="s">
        <v>11</v>
      </c>
      <c r="K3" s="88" t="s">
        <v>12</v>
      </c>
      <c r="L3" s="438">
        <v>2026</v>
      </c>
      <c r="M3" s="438">
        <v>2027</v>
      </c>
      <c r="N3" s="438">
        <v>2028</v>
      </c>
      <c r="O3" s="438">
        <v>2029</v>
      </c>
      <c r="P3" s="438">
        <v>2030</v>
      </c>
      <c r="Q3" s="439" t="s">
        <v>13</v>
      </c>
      <c r="R3" s="439"/>
      <c r="S3" s="440"/>
      <c r="T3" s="3" t="s">
        <v>14</v>
      </c>
      <c r="U3" s="3" t="s">
        <v>15</v>
      </c>
      <c r="V3" s="3" t="s">
        <v>16</v>
      </c>
      <c r="W3" s="3" t="s">
        <v>17</v>
      </c>
      <c r="X3" s="3" t="s">
        <v>18</v>
      </c>
      <c r="Y3" s="3" t="s">
        <v>19</v>
      </c>
      <c r="Z3" s="3" t="s">
        <v>20</v>
      </c>
      <c r="AA3" s="3" t="s">
        <v>21</v>
      </c>
      <c r="AB3" s="3" t="s">
        <v>22</v>
      </c>
      <c r="AC3" s="3" t="s">
        <v>23</v>
      </c>
      <c r="AD3" s="3" t="s">
        <v>24</v>
      </c>
      <c r="AE3" s="3" t="s">
        <v>25</v>
      </c>
      <c r="AF3" s="3" t="s">
        <v>26</v>
      </c>
      <c r="AG3" s="3" t="s">
        <v>27</v>
      </c>
      <c r="AH3" s="3" t="s">
        <v>28</v>
      </c>
      <c r="AI3" s="3" t="s">
        <v>29</v>
      </c>
    </row>
    <row r="4" spans="1:38" s="7" customFormat="1" ht="32.4" thickTop="1" thickBot="1" x14ac:dyDescent="0.35">
      <c r="A4" s="425"/>
      <c r="B4" s="427"/>
      <c r="C4" s="429"/>
      <c r="D4" s="431"/>
      <c r="E4" s="431"/>
      <c r="F4" s="433"/>
      <c r="G4" s="433"/>
      <c r="H4" s="433"/>
      <c r="I4" s="429"/>
      <c r="J4" s="451"/>
      <c r="K4" s="5" t="s">
        <v>30</v>
      </c>
      <c r="L4" s="429"/>
      <c r="M4" s="429"/>
      <c r="N4" s="429"/>
      <c r="O4" s="429"/>
      <c r="P4" s="429"/>
      <c r="Q4" s="102" t="s">
        <v>31</v>
      </c>
      <c r="R4" s="102" t="s">
        <v>32</v>
      </c>
      <c r="S4" s="89" t="s">
        <v>33</v>
      </c>
      <c r="T4" s="6" t="s">
        <v>34</v>
      </c>
      <c r="U4" s="6" t="s">
        <v>35</v>
      </c>
      <c r="V4" s="6" t="s">
        <v>36</v>
      </c>
      <c r="W4" s="6" t="s">
        <v>37</v>
      </c>
      <c r="X4" s="6" t="s">
        <v>38</v>
      </c>
      <c r="Y4" s="6" t="s">
        <v>38</v>
      </c>
      <c r="Z4" s="6" t="s">
        <v>38</v>
      </c>
      <c r="AA4" s="6" t="s">
        <v>39</v>
      </c>
      <c r="AB4" s="6" t="s">
        <v>38</v>
      </c>
      <c r="AC4" s="6" t="s">
        <v>40</v>
      </c>
      <c r="AD4" s="6" t="s">
        <v>41</v>
      </c>
      <c r="AE4" s="6" t="s">
        <v>42</v>
      </c>
      <c r="AF4" s="6" t="s">
        <v>43</v>
      </c>
      <c r="AG4" s="6" t="s">
        <v>44</v>
      </c>
      <c r="AH4" s="6" t="s">
        <v>45</v>
      </c>
      <c r="AI4" s="6" t="s">
        <v>46</v>
      </c>
    </row>
    <row r="5" spans="1:38" ht="14.7" customHeight="1" thickTop="1" x14ac:dyDescent="0.3">
      <c r="A5" s="441" t="s">
        <v>47</v>
      </c>
      <c r="B5" s="8" t="s">
        <v>48</v>
      </c>
      <c r="C5" s="9" t="s">
        <v>49</v>
      </c>
      <c r="D5" s="10" t="s">
        <v>50</v>
      </c>
      <c r="E5" s="53">
        <f>I5+L5+M5+N5+O5+P5</f>
        <v>3820000</v>
      </c>
      <c r="F5" s="54">
        <v>4100000</v>
      </c>
      <c r="G5" s="54">
        <v>220000</v>
      </c>
      <c r="H5" s="54">
        <f>F5-G5</f>
        <v>3880000</v>
      </c>
      <c r="I5" s="54">
        <v>3820000</v>
      </c>
      <c r="J5" s="54">
        <f>I5-H5</f>
        <v>-60000</v>
      </c>
      <c r="K5" s="55" t="s">
        <v>51</v>
      </c>
      <c r="L5" s="54"/>
      <c r="M5" s="54"/>
      <c r="N5" s="56"/>
      <c r="O5" s="56"/>
      <c r="P5" s="56"/>
      <c r="Q5" s="90">
        <v>3304000</v>
      </c>
      <c r="R5" s="14" t="s">
        <v>52</v>
      </c>
      <c r="S5" s="91" t="s">
        <v>53</v>
      </c>
      <c r="T5" s="73"/>
      <c r="U5" s="1"/>
      <c r="V5" s="1"/>
      <c r="W5" s="1"/>
      <c r="X5" s="1">
        <v>335000</v>
      </c>
      <c r="Y5" s="1"/>
      <c r="Z5" s="1"/>
      <c r="AA5" s="1" t="s">
        <v>54</v>
      </c>
      <c r="AB5" s="1"/>
      <c r="AC5" s="1"/>
      <c r="AD5" s="1"/>
      <c r="AE5" s="1">
        <v>3485000</v>
      </c>
      <c r="AF5" s="1"/>
      <c r="AG5" s="1"/>
      <c r="AH5" s="1"/>
      <c r="AI5" s="1"/>
      <c r="AJ5" s="15">
        <f>SUM(T5:AI5)</f>
        <v>3820000</v>
      </c>
      <c r="AK5" s="16">
        <f t="shared" ref="AK5:AK22" si="0">I5-AJ5</f>
        <v>0</v>
      </c>
      <c r="AL5" s="16" t="s">
        <v>55</v>
      </c>
    </row>
    <row r="6" spans="1:38" ht="14.7" customHeight="1" x14ac:dyDescent="0.3">
      <c r="A6" s="442"/>
      <c r="B6" s="8" t="s">
        <v>56</v>
      </c>
      <c r="C6" s="18" t="s">
        <v>57</v>
      </c>
      <c r="D6" s="17" t="s">
        <v>58</v>
      </c>
      <c r="E6" s="53">
        <f>I6+L6+M6+N6+O6+P6</f>
        <v>2500000</v>
      </c>
      <c r="F6" s="54">
        <v>2047412</v>
      </c>
      <c r="G6" s="54">
        <v>300000</v>
      </c>
      <c r="H6" s="54">
        <f>F6-G6</f>
        <v>1747412</v>
      </c>
      <c r="I6" s="58">
        <v>2500000</v>
      </c>
      <c r="J6" s="54">
        <f>I6-H6</f>
        <v>752588</v>
      </c>
      <c r="K6" s="57" t="s">
        <v>59</v>
      </c>
      <c r="L6" s="54"/>
      <c r="M6" s="54"/>
      <c r="N6" s="54"/>
      <c r="O6" s="56"/>
      <c r="P6" s="56"/>
      <c r="Q6" s="56">
        <v>700000</v>
      </c>
      <c r="R6" s="14" t="s">
        <v>60</v>
      </c>
      <c r="S6" s="92" t="s">
        <v>61</v>
      </c>
      <c r="T6" s="73"/>
      <c r="U6" s="1"/>
      <c r="V6" s="1"/>
      <c r="W6" s="1" t="s">
        <v>54</v>
      </c>
      <c r="X6" s="1">
        <v>54000</v>
      </c>
      <c r="Y6" s="1"/>
      <c r="Z6" s="1" t="s">
        <v>62</v>
      </c>
      <c r="AA6" s="1"/>
      <c r="AB6" s="1">
        <v>46000</v>
      </c>
      <c r="AC6" s="1"/>
      <c r="AD6" s="1"/>
      <c r="AE6" s="1">
        <v>1520000</v>
      </c>
      <c r="AF6" s="1"/>
      <c r="AG6" s="1"/>
      <c r="AH6" s="1">
        <v>180000</v>
      </c>
      <c r="AI6" s="20">
        <v>700000</v>
      </c>
      <c r="AJ6" s="15">
        <f>SUM(T6:AI6)</f>
        <v>2500000</v>
      </c>
      <c r="AK6" s="16">
        <f>I6-AJ6</f>
        <v>0</v>
      </c>
    </row>
    <row r="7" spans="1:38" ht="14.7" customHeight="1" x14ac:dyDescent="0.3">
      <c r="A7" s="442"/>
      <c r="B7" s="8" t="s">
        <v>63</v>
      </c>
      <c r="C7" s="9" t="s">
        <v>64</v>
      </c>
      <c r="D7" s="17" t="s">
        <v>65</v>
      </c>
      <c r="E7" s="53">
        <f t="shared" ref="E7:E22" si="1">I7+L7+M7+N7+O7+P7</f>
        <v>2500000</v>
      </c>
      <c r="F7" s="54">
        <v>200000</v>
      </c>
      <c r="G7" s="54">
        <v>200000</v>
      </c>
      <c r="H7" s="54">
        <f t="shared" ref="H7:H63" si="2">F7-G7</f>
        <v>0</v>
      </c>
      <c r="I7" s="54">
        <v>500000</v>
      </c>
      <c r="J7" s="54">
        <f t="shared" ref="J7:J20" si="3">I7-H7</f>
        <v>500000</v>
      </c>
      <c r="K7" s="57" t="s">
        <v>66</v>
      </c>
      <c r="L7" s="54">
        <v>2000000</v>
      </c>
      <c r="M7" s="54"/>
      <c r="N7" s="56"/>
      <c r="O7" s="56"/>
      <c r="P7" s="56"/>
      <c r="Q7" s="56">
        <v>2500000</v>
      </c>
      <c r="R7" s="14" t="s">
        <v>67</v>
      </c>
      <c r="S7" s="93" t="s">
        <v>68</v>
      </c>
      <c r="T7" s="73"/>
      <c r="U7" s="1"/>
      <c r="V7" s="1"/>
      <c r="W7" s="1"/>
      <c r="X7" s="1" t="s">
        <v>54</v>
      </c>
      <c r="Y7" s="1"/>
      <c r="Z7" s="1"/>
      <c r="AA7" s="1" t="s">
        <v>54</v>
      </c>
      <c r="AB7" s="1"/>
      <c r="AC7" s="1"/>
      <c r="AD7" s="1"/>
      <c r="AE7" s="1">
        <v>500000</v>
      </c>
      <c r="AF7" s="1"/>
      <c r="AG7" s="1"/>
      <c r="AH7" s="1"/>
      <c r="AI7" s="1"/>
      <c r="AJ7" s="15">
        <f t="shared" ref="AJ7:AJ47" si="4">SUM(T7:AI7)</f>
        <v>500000</v>
      </c>
      <c r="AK7" s="16">
        <f t="shared" si="0"/>
        <v>0</v>
      </c>
      <c r="AL7" s="16" t="s">
        <v>55</v>
      </c>
    </row>
    <row r="8" spans="1:38" ht="14.7" customHeight="1" x14ac:dyDescent="0.3">
      <c r="A8" s="442"/>
      <c r="B8" s="8" t="s">
        <v>69</v>
      </c>
      <c r="C8" s="18" t="s">
        <v>70</v>
      </c>
      <c r="D8" s="10" t="s">
        <v>71</v>
      </c>
      <c r="E8" s="53">
        <f t="shared" si="1"/>
        <v>1500000</v>
      </c>
      <c r="F8" s="54">
        <v>308000</v>
      </c>
      <c r="G8" s="54">
        <v>308000</v>
      </c>
      <c r="H8" s="54">
        <f t="shared" si="2"/>
        <v>0</v>
      </c>
      <c r="I8" s="54">
        <v>300000</v>
      </c>
      <c r="J8" s="54">
        <f t="shared" si="3"/>
        <v>300000</v>
      </c>
      <c r="K8" s="57" t="s">
        <v>72</v>
      </c>
      <c r="L8" s="54">
        <v>1200000</v>
      </c>
      <c r="M8" s="54"/>
      <c r="N8" s="54"/>
      <c r="O8" s="56"/>
      <c r="P8" s="56"/>
      <c r="Q8" s="56"/>
      <c r="S8" s="92"/>
      <c r="T8" s="73"/>
      <c r="U8" s="1"/>
      <c r="V8" s="1"/>
      <c r="W8" s="1"/>
      <c r="X8" s="1">
        <v>0</v>
      </c>
      <c r="Y8" s="1"/>
      <c r="Z8" s="1"/>
      <c r="AA8" s="1">
        <v>300000</v>
      </c>
      <c r="AB8" s="1" t="s">
        <v>54</v>
      </c>
      <c r="AC8" s="1"/>
      <c r="AD8" s="1"/>
      <c r="AE8" s="1" t="s">
        <v>54</v>
      </c>
      <c r="AF8" s="1"/>
      <c r="AG8" s="1" t="s">
        <v>54</v>
      </c>
      <c r="AH8" s="1" t="s">
        <v>54</v>
      </c>
      <c r="AI8" s="1"/>
      <c r="AJ8" s="15">
        <f t="shared" si="4"/>
        <v>300000</v>
      </c>
      <c r="AK8" s="16">
        <f t="shared" si="0"/>
        <v>0</v>
      </c>
    </row>
    <row r="9" spans="1:38" ht="14.7" customHeight="1" x14ac:dyDescent="0.3">
      <c r="A9" s="442"/>
      <c r="B9" s="8" t="s">
        <v>73</v>
      </c>
      <c r="C9" s="18" t="s">
        <v>74</v>
      </c>
      <c r="D9" s="10" t="s">
        <v>75</v>
      </c>
      <c r="E9" s="53">
        <f t="shared" si="1"/>
        <v>2600000</v>
      </c>
      <c r="F9" s="54">
        <v>0</v>
      </c>
      <c r="G9" s="54">
        <v>0</v>
      </c>
      <c r="H9" s="54">
        <f>F9-G9</f>
        <v>0</v>
      </c>
      <c r="I9" s="54">
        <v>300000</v>
      </c>
      <c r="J9" s="59">
        <f>I9-H9</f>
        <v>300000</v>
      </c>
      <c r="K9" s="60" t="s">
        <v>76</v>
      </c>
      <c r="L9" s="54">
        <v>300000</v>
      </c>
      <c r="M9" s="54">
        <v>2000000</v>
      </c>
      <c r="N9" s="54"/>
      <c r="O9" s="56"/>
      <c r="P9" s="56"/>
      <c r="Q9" s="56">
        <v>800000</v>
      </c>
      <c r="R9" s="14" t="s">
        <v>77</v>
      </c>
      <c r="S9" s="92" t="s">
        <v>78</v>
      </c>
      <c r="T9" s="74"/>
      <c r="U9" s="20"/>
      <c r="V9" s="20"/>
      <c r="W9" s="20"/>
      <c r="X9" s="20"/>
      <c r="Y9" s="20"/>
      <c r="Z9" s="20" t="s">
        <v>54</v>
      </c>
      <c r="AA9" s="20" t="s">
        <v>54</v>
      </c>
      <c r="AB9" s="20" t="s">
        <v>54</v>
      </c>
      <c r="AC9" s="20"/>
      <c r="AD9" s="20"/>
      <c r="AE9" s="20" t="s">
        <v>54</v>
      </c>
      <c r="AF9" s="20"/>
      <c r="AG9" s="20" t="s">
        <v>54</v>
      </c>
      <c r="AH9" s="20" t="s">
        <v>54</v>
      </c>
      <c r="AI9" s="20"/>
      <c r="AJ9" s="15">
        <f t="shared" si="4"/>
        <v>0</v>
      </c>
      <c r="AK9" s="16">
        <f t="shared" si="0"/>
        <v>300000</v>
      </c>
    </row>
    <row r="10" spans="1:38" ht="14.7" customHeight="1" x14ac:dyDescent="0.3">
      <c r="A10" s="442"/>
      <c r="B10" s="8" t="s">
        <v>79</v>
      </c>
      <c r="C10" s="18" t="s">
        <v>80</v>
      </c>
      <c r="D10" s="10" t="s">
        <v>81</v>
      </c>
      <c r="E10" s="53">
        <f t="shared" si="1"/>
        <v>3700000</v>
      </c>
      <c r="F10" s="54">
        <v>0</v>
      </c>
      <c r="G10" s="54">
        <v>0</v>
      </c>
      <c r="H10" s="54">
        <f t="shared" si="2"/>
        <v>0</v>
      </c>
      <c r="I10" s="54">
        <v>400000</v>
      </c>
      <c r="J10" s="54">
        <f t="shared" si="3"/>
        <v>400000</v>
      </c>
      <c r="K10" s="57" t="s">
        <v>82</v>
      </c>
      <c r="L10" s="54">
        <v>300000</v>
      </c>
      <c r="M10" s="54">
        <v>3000000</v>
      </c>
      <c r="N10" s="54"/>
      <c r="O10" s="56"/>
      <c r="P10" s="56"/>
      <c r="Q10" s="56"/>
      <c r="S10" s="92"/>
      <c r="T10" s="73"/>
      <c r="U10" s="1"/>
      <c r="V10" s="1"/>
      <c r="W10" s="1"/>
      <c r="X10" s="1"/>
      <c r="Y10" s="1" t="s">
        <v>54</v>
      </c>
      <c r="Z10" s="1"/>
      <c r="AA10" s="1">
        <v>400000</v>
      </c>
      <c r="AB10" s="1" t="s">
        <v>54</v>
      </c>
      <c r="AC10" s="1"/>
      <c r="AD10" s="1"/>
      <c r="AE10" s="1" t="s">
        <v>54</v>
      </c>
      <c r="AF10" s="1"/>
      <c r="AG10" s="1" t="s">
        <v>54</v>
      </c>
      <c r="AH10" s="1" t="s">
        <v>54</v>
      </c>
      <c r="AI10" s="1"/>
      <c r="AJ10" s="15">
        <f t="shared" si="4"/>
        <v>400000</v>
      </c>
      <c r="AK10" s="16">
        <f t="shared" si="0"/>
        <v>0</v>
      </c>
    </row>
    <row r="11" spans="1:38" ht="14.7" customHeight="1" x14ac:dyDescent="0.3">
      <c r="A11" s="442"/>
      <c r="C11" s="18" t="s">
        <v>83</v>
      </c>
      <c r="E11" s="53">
        <f t="shared" si="1"/>
        <v>14200000</v>
      </c>
      <c r="F11" s="54">
        <v>0</v>
      </c>
      <c r="G11" s="54">
        <v>0</v>
      </c>
      <c r="H11" s="54">
        <f t="shared" si="2"/>
        <v>0</v>
      </c>
      <c r="I11" s="54">
        <v>200000</v>
      </c>
      <c r="J11" s="59">
        <f t="shared" si="3"/>
        <v>200000</v>
      </c>
      <c r="K11" s="60" t="s">
        <v>84</v>
      </c>
      <c r="L11" s="54">
        <v>1500000</v>
      </c>
      <c r="M11" s="54">
        <v>1500000</v>
      </c>
      <c r="N11" s="54">
        <v>11000000</v>
      </c>
      <c r="O11" s="56"/>
      <c r="P11" s="56"/>
      <c r="Q11" s="56">
        <v>2432000</v>
      </c>
      <c r="R11" s="14" t="s">
        <v>85</v>
      </c>
      <c r="S11" s="92" t="s">
        <v>78</v>
      </c>
      <c r="T11" s="74"/>
      <c r="U11" s="20"/>
      <c r="V11" s="20"/>
      <c r="W11" s="20"/>
      <c r="X11" s="20"/>
      <c r="Y11" s="20"/>
      <c r="Z11" s="20"/>
      <c r="AA11" s="20"/>
      <c r="AB11" s="20"/>
      <c r="AC11" s="20"/>
      <c r="AD11" s="20"/>
      <c r="AE11" s="20"/>
      <c r="AF11" s="20"/>
      <c r="AG11" s="20"/>
      <c r="AH11" s="20"/>
      <c r="AI11" s="20"/>
      <c r="AJ11" s="15">
        <f t="shared" si="4"/>
        <v>0</v>
      </c>
      <c r="AK11" s="16">
        <f t="shared" si="0"/>
        <v>200000</v>
      </c>
    </row>
    <row r="12" spans="1:38" ht="14.7" customHeight="1" x14ac:dyDescent="0.3">
      <c r="A12" s="442"/>
      <c r="B12" s="8" t="s">
        <v>86</v>
      </c>
      <c r="C12" s="18" t="s">
        <v>87</v>
      </c>
      <c r="D12" s="10" t="s">
        <v>88</v>
      </c>
      <c r="E12" s="53">
        <f>I12+L12+M12+N12+O12+P12</f>
        <v>3180000</v>
      </c>
      <c r="F12" s="54">
        <v>0</v>
      </c>
      <c r="G12" s="54">
        <v>0</v>
      </c>
      <c r="H12" s="54">
        <f>F12-G12</f>
        <v>0</v>
      </c>
      <c r="I12" s="54"/>
      <c r="J12" s="54">
        <f>I12-H12</f>
        <v>0</v>
      </c>
      <c r="K12" s="57" t="s">
        <v>12</v>
      </c>
      <c r="L12" s="54">
        <v>400000</v>
      </c>
      <c r="M12" s="54">
        <v>2780000</v>
      </c>
      <c r="N12" s="54"/>
      <c r="O12" s="54"/>
      <c r="P12" s="56"/>
      <c r="Q12" s="56"/>
      <c r="S12" s="92"/>
      <c r="T12" s="73"/>
      <c r="U12" s="1"/>
      <c r="V12" s="1"/>
      <c r="W12" s="1"/>
      <c r="X12" s="1"/>
      <c r="Y12" s="1"/>
      <c r="Z12" s="1" t="s">
        <v>54</v>
      </c>
      <c r="AA12" s="1" t="s">
        <v>54</v>
      </c>
      <c r="AB12" s="1"/>
      <c r="AC12" s="1"/>
      <c r="AD12" s="1"/>
      <c r="AE12" s="1" t="s">
        <v>54</v>
      </c>
      <c r="AF12" s="1"/>
      <c r="AG12" s="1"/>
      <c r="AH12" s="1" t="s">
        <v>54</v>
      </c>
      <c r="AI12" s="1"/>
      <c r="AJ12" s="15">
        <f>SUM(T12:AI12)</f>
        <v>0</v>
      </c>
      <c r="AK12" s="16">
        <f>I12-AJ12</f>
        <v>0</v>
      </c>
    </row>
    <row r="13" spans="1:38" ht="14.7" customHeight="1" x14ac:dyDescent="0.3">
      <c r="A13" s="442"/>
      <c r="B13" s="8" t="s">
        <v>89</v>
      </c>
      <c r="C13" s="18" t="s">
        <v>90</v>
      </c>
      <c r="D13" s="10" t="s">
        <v>91</v>
      </c>
      <c r="E13" s="53">
        <f>I13+L13+M13+N13+O13+P13</f>
        <v>225000</v>
      </c>
      <c r="F13" s="54">
        <v>0</v>
      </c>
      <c r="G13" s="54">
        <v>0</v>
      </c>
      <c r="H13" s="54">
        <f>F13-G13</f>
        <v>0</v>
      </c>
      <c r="I13" s="54"/>
      <c r="J13" s="54">
        <f>I13-H13</f>
        <v>0</v>
      </c>
      <c r="K13" s="57" t="s">
        <v>12</v>
      </c>
      <c r="L13" s="54"/>
      <c r="M13" s="54">
        <v>100000</v>
      </c>
      <c r="N13" s="54">
        <v>125000</v>
      </c>
      <c r="O13" s="56"/>
      <c r="P13" s="56"/>
      <c r="Q13" s="56"/>
      <c r="S13" s="92"/>
      <c r="T13" s="73"/>
      <c r="U13" s="1"/>
      <c r="V13" s="1"/>
      <c r="W13" s="1"/>
      <c r="X13" s="1" t="s">
        <v>54</v>
      </c>
      <c r="Y13" s="1"/>
      <c r="Z13" s="1"/>
      <c r="AA13" s="1" t="s">
        <v>54</v>
      </c>
      <c r="AB13" s="1" t="s">
        <v>54</v>
      </c>
      <c r="AC13" s="1"/>
      <c r="AD13" s="1"/>
      <c r="AE13" s="1" t="s">
        <v>54</v>
      </c>
      <c r="AF13" s="1"/>
      <c r="AG13" s="1" t="s">
        <v>54</v>
      </c>
      <c r="AH13" s="1" t="s">
        <v>54</v>
      </c>
      <c r="AI13" s="1"/>
      <c r="AJ13" s="15">
        <f>SUM(T13:AI13)</f>
        <v>0</v>
      </c>
      <c r="AK13" s="16">
        <f>I13-AJ13</f>
        <v>0</v>
      </c>
    </row>
    <row r="14" spans="1:38" ht="14.7" customHeight="1" x14ac:dyDescent="0.3">
      <c r="A14" s="442"/>
      <c r="B14" s="8" t="s">
        <v>92</v>
      </c>
      <c r="C14" s="18" t="s">
        <v>93</v>
      </c>
      <c r="D14" s="10" t="s">
        <v>94</v>
      </c>
      <c r="E14" s="53">
        <f>I14+L14+M14+N14+O14+P14</f>
        <v>3150000</v>
      </c>
      <c r="F14" s="61">
        <v>0</v>
      </c>
      <c r="G14" s="61">
        <v>0</v>
      </c>
      <c r="H14" s="54">
        <f>F14-G14</f>
        <v>0</v>
      </c>
      <c r="I14" s="54"/>
      <c r="J14" s="54">
        <f>I14-H14</f>
        <v>0</v>
      </c>
      <c r="K14" s="57" t="s">
        <v>12</v>
      </c>
      <c r="L14" s="54"/>
      <c r="M14" s="54">
        <v>350000</v>
      </c>
      <c r="N14" s="54">
        <v>300000</v>
      </c>
      <c r="O14" s="54">
        <v>2500000</v>
      </c>
      <c r="P14" s="56"/>
      <c r="Q14" s="56">
        <v>2500000</v>
      </c>
      <c r="R14" s="14" t="s">
        <v>95</v>
      </c>
      <c r="S14" s="92" t="s">
        <v>96</v>
      </c>
      <c r="T14" s="73"/>
      <c r="U14" s="1"/>
      <c r="V14" s="1"/>
      <c r="W14" s="1"/>
      <c r="X14" s="1" t="s">
        <v>54</v>
      </c>
      <c r="Y14" s="1"/>
      <c r="Z14" s="1"/>
      <c r="AA14" s="1" t="s">
        <v>54</v>
      </c>
      <c r="AB14" s="1" t="s">
        <v>54</v>
      </c>
      <c r="AC14" s="1"/>
      <c r="AD14" s="1"/>
      <c r="AE14" s="1" t="s">
        <v>54</v>
      </c>
      <c r="AF14" s="1"/>
      <c r="AG14" s="1" t="s">
        <v>54</v>
      </c>
      <c r="AH14" s="1" t="s">
        <v>54</v>
      </c>
      <c r="AI14" s="1"/>
      <c r="AJ14" s="15">
        <f>SUM(T14:AI14)</f>
        <v>0</v>
      </c>
      <c r="AK14" s="16">
        <f>I14-AJ14</f>
        <v>0</v>
      </c>
    </row>
    <row r="15" spans="1:38" ht="14.7" customHeight="1" x14ac:dyDescent="0.3">
      <c r="A15" s="442"/>
      <c r="B15" s="8" t="s">
        <v>97</v>
      </c>
      <c r="C15" s="18" t="s">
        <v>98</v>
      </c>
      <c r="D15" s="17" t="s">
        <v>99</v>
      </c>
      <c r="E15" s="53">
        <f t="shared" si="1"/>
        <v>3850000</v>
      </c>
      <c r="F15" s="54">
        <v>0</v>
      </c>
      <c r="G15" s="54">
        <v>0</v>
      </c>
      <c r="H15" s="54">
        <f t="shared" si="2"/>
        <v>0</v>
      </c>
      <c r="I15" s="54"/>
      <c r="J15" s="54">
        <f t="shared" si="3"/>
        <v>0</v>
      </c>
      <c r="K15" s="57" t="s">
        <v>12</v>
      </c>
      <c r="L15" s="54"/>
      <c r="M15" s="54"/>
      <c r="N15" s="54">
        <v>350000</v>
      </c>
      <c r="O15" s="54">
        <v>3500000</v>
      </c>
      <c r="P15" s="56"/>
      <c r="Q15" s="56"/>
      <c r="S15" s="92"/>
      <c r="T15" s="73"/>
      <c r="U15" s="1"/>
      <c r="V15" s="1"/>
      <c r="W15" s="1" t="s">
        <v>54</v>
      </c>
      <c r="X15" s="1"/>
      <c r="Y15" s="1" t="s">
        <v>54</v>
      </c>
      <c r="Z15" s="1"/>
      <c r="AA15" s="1" t="s">
        <v>54</v>
      </c>
      <c r="AB15" s="1"/>
      <c r="AC15" s="1"/>
      <c r="AD15" s="1"/>
      <c r="AE15" s="1" t="s">
        <v>54</v>
      </c>
      <c r="AF15" s="1"/>
      <c r="AG15" s="1"/>
      <c r="AH15" s="1"/>
      <c r="AI15" s="1"/>
      <c r="AJ15" s="15">
        <f t="shared" si="4"/>
        <v>0</v>
      </c>
      <c r="AK15" s="16">
        <f t="shared" si="0"/>
        <v>0</v>
      </c>
    </row>
    <row r="16" spans="1:38" ht="14.7" customHeight="1" x14ac:dyDescent="0.3">
      <c r="A16" s="442"/>
      <c r="B16" s="8" t="s">
        <v>100</v>
      </c>
      <c r="C16" s="18" t="s">
        <v>101</v>
      </c>
      <c r="D16" s="17" t="s">
        <v>102</v>
      </c>
      <c r="E16" s="53">
        <f t="shared" si="1"/>
        <v>1100000</v>
      </c>
      <c r="F16" s="54">
        <v>0</v>
      </c>
      <c r="G16" s="54">
        <v>0</v>
      </c>
      <c r="H16" s="54">
        <f t="shared" si="2"/>
        <v>0</v>
      </c>
      <c r="I16" s="54"/>
      <c r="J16" s="54">
        <f t="shared" si="3"/>
        <v>0</v>
      </c>
      <c r="K16" s="57" t="s">
        <v>12</v>
      </c>
      <c r="L16" s="54"/>
      <c r="M16" s="54">
        <v>100000</v>
      </c>
      <c r="N16" s="54">
        <v>1000000</v>
      </c>
      <c r="O16" s="54"/>
      <c r="P16" s="56"/>
      <c r="Q16" s="56"/>
      <c r="S16" s="92"/>
      <c r="T16" s="73"/>
      <c r="U16" s="1"/>
      <c r="V16" s="1"/>
      <c r="W16" s="1" t="s">
        <v>54</v>
      </c>
      <c r="X16" s="1"/>
      <c r="Y16" s="1" t="s">
        <v>54</v>
      </c>
      <c r="Z16" s="1"/>
      <c r="AA16" s="1"/>
      <c r="AB16" s="1"/>
      <c r="AC16" s="1"/>
      <c r="AD16" s="1"/>
      <c r="AE16" s="1" t="s">
        <v>54</v>
      </c>
      <c r="AF16" s="1"/>
      <c r="AG16" s="1"/>
      <c r="AH16" s="1"/>
      <c r="AI16" s="1"/>
      <c r="AJ16" s="15">
        <f t="shared" si="4"/>
        <v>0</v>
      </c>
      <c r="AK16" s="16">
        <f t="shared" si="0"/>
        <v>0</v>
      </c>
    </row>
    <row r="17" spans="1:38" ht="14.7" customHeight="1" x14ac:dyDescent="0.3">
      <c r="A17" s="442"/>
      <c r="B17" s="8" t="s">
        <v>103</v>
      </c>
      <c r="C17" s="18" t="s">
        <v>104</v>
      </c>
      <c r="D17" s="10" t="s">
        <v>105</v>
      </c>
      <c r="E17" s="53">
        <f t="shared" si="1"/>
        <v>3650000</v>
      </c>
      <c r="F17" s="61">
        <v>0</v>
      </c>
      <c r="G17" s="61">
        <v>0</v>
      </c>
      <c r="H17" s="54">
        <f t="shared" si="2"/>
        <v>0</v>
      </c>
      <c r="I17" s="54"/>
      <c r="J17" s="54">
        <f t="shared" si="3"/>
        <v>0</v>
      </c>
      <c r="K17" s="57" t="s">
        <v>12</v>
      </c>
      <c r="L17" s="54"/>
      <c r="M17" s="54">
        <v>400000</v>
      </c>
      <c r="N17" s="54">
        <v>250000</v>
      </c>
      <c r="O17" s="54">
        <v>3000000</v>
      </c>
      <c r="P17" s="56"/>
      <c r="Q17" s="54">
        <v>3000000</v>
      </c>
      <c r="R17" s="14" t="s">
        <v>95</v>
      </c>
      <c r="S17" s="92" t="s">
        <v>96</v>
      </c>
      <c r="T17" s="73"/>
      <c r="U17" s="1"/>
      <c r="V17" s="1"/>
      <c r="W17" s="1"/>
      <c r="X17" s="1"/>
      <c r="Y17" s="1"/>
      <c r="Z17" s="1" t="s">
        <v>54</v>
      </c>
      <c r="AA17" s="1"/>
      <c r="AB17" s="1"/>
      <c r="AC17" s="1"/>
      <c r="AD17" s="1"/>
      <c r="AE17" s="1" t="s">
        <v>54</v>
      </c>
      <c r="AF17" s="1"/>
      <c r="AG17" s="1" t="s">
        <v>54</v>
      </c>
      <c r="AH17" s="1" t="s">
        <v>54</v>
      </c>
      <c r="AI17" s="1"/>
      <c r="AJ17" s="15">
        <f t="shared" si="4"/>
        <v>0</v>
      </c>
      <c r="AK17" s="16">
        <f t="shared" si="0"/>
        <v>0</v>
      </c>
    </row>
    <row r="18" spans="1:38" ht="14.7" customHeight="1" x14ac:dyDescent="0.3">
      <c r="A18" s="442"/>
      <c r="B18" s="8" t="s">
        <v>106</v>
      </c>
      <c r="C18" s="18" t="s">
        <v>107</v>
      </c>
      <c r="D18" s="10" t="s">
        <v>105</v>
      </c>
      <c r="E18" s="53">
        <f t="shared" si="1"/>
        <v>3500000</v>
      </c>
      <c r="F18" s="61">
        <v>0</v>
      </c>
      <c r="G18" s="61">
        <v>0</v>
      </c>
      <c r="H18" s="54">
        <f t="shared" si="2"/>
        <v>0</v>
      </c>
      <c r="I18" s="54"/>
      <c r="J18" s="54">
        <f t="shared" si="3"/>
        <v>0</v>
      </c>
      <c r="K18" s="57" t="s">
        <v>12</v>
      </c>
      <c r="L18" s="54"/>
      <c r="M18" s="54"/>
      <c r="N18" s="54"/>
      <c r="O18" s="54">
        <v>500000</v>
      </c>
      <c r="P18" s="54">
        <v>3000000</v>
      </c>
      <c r="Q18" s="54"/>
      <c r="S18" s="92"/>
      <c r="T18" s="73"/>
      <c r="U18" s="1"/>
      <c r="V18" s="1"/>
      <c r="W18" s="1"/>
      <c r="X18" s="1"/>
      <c r="Y18" s="1"/>
      <c r="Z18" s="1" t="s">
        <v>54</v>
      </c>
      <c r="AA18" s="1" t="s">
        <v>54</v>
      </c>
      <c r="AB18" s="1" t="s">
        <v>54</v>
      </c>
      <c r="AC18" s="1"/>
      <c r="AD18" s="1"/>
      <c r="AE18" s="1" t="s">
        <v>54</v>
      </c>
      <c r="AF18" s="1"/>
      <c r="AG18" s="1" t="s">
        <v>54</v>
      </c>
      <c r="AH18" s="1" t="s">
        <v>54</v>
      </c>
      <c r="AI18" s="1"/>
      <c r="AJ18" s="15">
        <f t="shared" si="4"/>
        <v>0</v>
      </c>
      <c r="AK18" s="16">
        <f t="shared" si="0"/>
        <v>0</v>
      </c>
    </row>
    <row r="19" spans="1:38" ht="14.7" customHeight="1" x14ac:dyDescent="0.3">
      <c r="A19" s="442"/>
      <c r="C19" s="18" t="s">
        <v>108</v>
      </c>
      <c r="E19" s="53">
        <f t="shared" si="1"/>
        <v>600000</v>
      </c>
      <c r="F19" s="54">
        <v>100000</v>
      </c>
      <c r="G19" s="54">
        <v>155000</v>
      </c>
      <c r="H19" s="54">
        <f t="shared" si="2"/>
        <v>-55000</v>
      </c>
      <c r="I19" s="54">
        <v>100000</v>
      </c>
      <c r="J19" s="54">
        <f>I19</f>
        <v>100000</v>
      </c>
      <c r="K19" s="57" t="s">
        <v>109</v>
      </c>
      <c r="L19" s="54">
        <v>100000</v>
      </c>
      <c r="M19" s="54">
        <v>100000</v>
      </c>
      <c r="N19" s="54">
        <v>100000</v>
      </c>
      <c r="O19" s="54">
        <v>100000</v>
      </c>
      <c r="P19" s="56">
        <v>100000</v>
      </c>
      <c r="Q19" s="56"/>
      <c r="S19" s="92"/>
      <c r="T19" s="73"/>
      <c r="U19" s="1"/>
      <c r="V19" s="1"/>
      <c r="W19" s="1">
        <v>100000</v>
      </c>
      <c r="X19" s="1"/>
      <c r="Y19" s="1"/>
      <c r="Z19" s="1"/>
      <c r="AA19" s="1"/>
      <c r="AB19" s="1"/>
      <c r="AC19" s="1"/>
      <c r="AD19" s="1"/>
      <c r="AE19" s="1"/>
      <c r="AF19" s="1"/>
      <c r="AG19" s="1"/>
      <c r="AH19" s="1"/>
      <c r="AI19" s="1"/>
      <c r="AJ19" s="15">
        <f t="shared" si="4"/>
        <v>100000</v>
      </c>
      <c r="AK19" s="16">
        <f t="shared" si="0"/>
        <v>0</v>
      </c>
    </row>
    <row r="20" spans="1:38" ht="14.7" customHeight="1" x14ac:dyDescent="0.3">
      <c r="A20" s="442"/>
      <c r="B20" s="8" t="s">
        <v>110</v>
      </c>
      <c r="C20" s="18" t="s">
        <v>111</v>
      </c>
      <c r="D20" s="10" t="s">
        <v>112</v>
      </c>
      <c r="E20" s="53">
        <f t="shared" si="1"/>
        <v>600000</v>
      </c>
      <c r="F20" s="54">
        <v>150000</v>
      </c>
      <c r="G20" s="54">
        <v>150000</v>
      </c>
      <c r="H20" s="54">
        <f t="shared" si="2"/>
        <v>0</v>
      </c>
      <c r="I20" s="54">
        <v>100000</v>
      </c>
      <c r="J20" s="54">
        <f t="shared" si="3"/>
        <v>100000</v>
      </c>
      <c r="K20" s="57" t="s">
        <v>113</v>
      </c>
      <c r="L20" s="54">
        <v>100000</v>
      </c>
      <c r="M20" s="54">
        <v>100000</v>
      </c>
      <c r="N20" s="54">
        <v>100000</v>
      </c>
      <c r="O20" s="54">
        <v>100000</v>
      </c>
      <c r="P20" s="56">
        <v>100000</v>
      </c>
      <c r="Q20" s="56"/>
      <c r="S20" s="92"/>
      <c r="T20" s="73"/>
      <c r="U20" s="1"/>
      <c r="V20" s="1"/>
      <c r="W20" s="1"/>
      <c r="X20" s="1"/>
      <c r="Y20" s="1"/>
      <c r="Z20" s="1"/>
      <c r="AA20" s="1"/>
      <c r="AB20" s="1"/>
      <c r="AC20" s="1"/>
      <c r="AD20" s="1"/>
      <c r="AE20" s="1" t="s">
        <v>54</v>
      </c>
      <c r="AF20" s="1"/>
      <c r="AG20" s="1">
        <v>100000</v>
      </c>
      <c r="AH20" s="1"/>
      <c r="AI20" s="1"/>
      <c r="AJ20" s="15">
        <f t="shared" si="4"/>
        <v>100000</v>
      </c>
      <c r="AK20" s="16">
        <f t="shared" si="0"/>
        <v>0</v>
      </c>
    </row>
    <row r="21" spans="1:38" ht="14.7" customHeight="1" x14ac:dyDescent="0.3">
      <c r="A21" s="442"/>
      <c r="B21" s="8" t="s">
        <v>114</v>
      </c>
      <c r="C21" s="18" t="s">
        <v>115</v>
      </c>
      <c r="D21" s="10" t="s">
        <v>116</v>
      </c>
      <c r="E21" s="53">
        <f t="shared" si="1"/>
        <v>5400000</v>
      </c>
      <c r="F21" s="54">
        <v>1000000</v>
      </c>
      <c r="G21" s="54">
        <v>1060000</v>
      </c>
      <c r="H21" s="54">
        <f t="shared" si="2"/>
        <v>-60000</v>
      </c>
      <c r="I21" s="54">
        <v>900000</v>
      </c>
      <c r="J21" s="54">
        <f>I21</f>
        <v>900000</v>
      </c>
      <c r="K21" s="57" t="s">
        <v>117</v>
      </c>
      <c r="L21" s="54">
        <v>900000</v>
      </c>
      <c r="M21" s="54">
        <v>900000</v>
      </c>
      <c r="N21" s="54">
        <v>900000</v>
      </c>
      <c r="O21" s="54">
        <v>900000</v>
      </c>
      <c r="P21" s="56">
        <v>900000</v>
      </c>
      <c r="Q21" s="56"/>
      <c r="S21" s="92"/>
      <c r="T21" s="73"/>
      <c r="U21" s="1"/>
      <c r="V21" s="1"/>
      <c r="W21" s="1">
        <v>200000</v>
      </c>
      <c r="X21" s="1"/>
      <c r="Y21" s="1"/>
      <c r="Z21" s="1"/>
      <c r="AA21" s="1">
        <v>500000</v>
      </c>
      <c r="AB21" s="1"/>
      <c r="AC21" s="1"/>
      <c r="AD21" s="1"/>
      <c r="AE21" s="1">
        <v>200000</v>
      </c>
      <c r="AF21" s="1"/>
      <c r="AG21" s="1"/>
      <c r="AH21" s="1"/>
      <c r="AI21" s="1"/>
      <c r="AJ21" s="15">
        <f t="shared" si="4"/>
        <v>900000</v>
      </c>
      <c r="AK21" s="16">
        <f t="shared" si="0"/>
        <v>0</v>
      </c>
    </row>
    <row r="22" spans="1:38" ht="14.7" customHeight="1" x14ac:dyDescent="0.3">
      <c r="A22" s="442"/>
      <c r="B22" s="8" t="s">
        <v>118</v>
      </c>
      <c r="C22" s="18" t="s">
        <v>119</v>
      </c>
      <c r="D22" s="18" t="s">
        <v>120</v>
      </c>
      <c r="E22" s="53">
        <f t="shared" si="1"/>
        <v>600000</v>
      </c>
      <c r="F22" s="58">
        <v>100000</v>
      </c>
      <c r="G22" s="58">
        <v>50000</v>
      </c>
      <c r="H22" s="54">
        <f t="shared" si="2"/>
        <v>50000</v>
      </c>
      <c r="I22" s="58">
        <v>100000</v>
      </c>
      <c r="J22" s="54">
        <f>I22-H22</f>
        <v>50000</v>
      </c>
      <c r="K22" s="57" t="s">
        <v>121</v>
      </c>
      <c r="L22" s="54">
        <v>100000</v>
      </c>
      <c r="M22" s="54">
        <v>100000</v>
      </c>
      <c r="N22" s="54">
        <v>100000</v>
      </c>
      <c r="O22" s="54">
        <v>100000</v>
      </c>
      <c r="P22" s="56">
        <v>100000</v>
      </c>
      <c r="Q22" s="56"/>
      <c r="S22" s="92"/>
      <c r="T22" s="73"/>
      <c r="U22" s="1"/>
      <c r="V22" s="1"/>
      <c r="W22" s="1">
        <v>100000</v>
      </c>
      <c r="X22" s="1"/>
      <c r="Y22" s="1"/>
      <c r="Z22" s="1"/>
      <c r="AA22" s="1"/>
      <c r="AB22" s="1"/>
      <c r="AC22" s="1"/>
      <c r="AD22" s="1"/>
      <c r="AE22" s="1"/>
      <c r="AF22" s="1"/>
      <c r="AG22" s="1"/>
      <c r="AH22" s="1"/>
      <c r="AI22" s="1"/>
      <c r="AJ22" s="15">
        <f t="shared" si="4"/>
        <v>100000</v>
      </c>
      <c r="AK22" s="16">
        <f t="shared" si="0"/>
        <v>0</v>
      </c>
    </row>
    <row r="23" spans="1:38" s="27" customFormat="1" ht="14.7" customHeight="1" x14ac:dyDescent="0.3">
      <c r="A23" s="443"/>
      <c r="B23" s="21"/>
      <c r="C23" s="22"/>
      <c r="D23" s="23" t="s">
        <v>122</v>
      </c>
      <c r="E23" s="24">
        <f t="shared" ref="E23:J23" si="5">SUM(E5:E22)</f>
        <v>56675000</v>
      </c>
      <c r="F23" s="24">
        <f t="shared" si="5"/>
        <v>8005412</v>
      </c>
      <c r="G23" s="24">
        <f t="shared" si="5"/>
        <v>2443000</v>
      </c>
      <c r="H23" s="24">
        <f t="shared" si="5"/>
        <v>5562412</v>
      </c>
      <c r="I23" s="24">
        <f t="shared" si="5"/>
        <v>9220000</v>
      </c>
      <c r="J23" s="24">
        <f t="shared" si="5"/>
        <v>3542588</v>
      </c>
      <c r="K23" s="24"/>
      <c r="L23" s="24">
        <f t="shared" ref="L23:Q23" si="6">SUM(L5:L22)</f>
        <v>6900000</v>
      </c>
      <c r="M23" s="24">
        <f t="shared" si="6"/>
        <v>11430000</v>
      </c>
      <c r="N23" s="24">
        <f t="shared" si="6"/>
        <v>14225000</v>
      </c>
      <c r="O23" s="24">
        <f t="shared" si="6"/>
        <v>10700000</v>
      </c>
      <c r="P23" s="24">
        <f t="shared" si="6"/>
        <v>4200000</v>
      </c>
      <c r="Q23" s="24">
        <f t="shared" si="6"/>
        <v>15236000</v>
      </c>
      <c r="R23" s="24"/>
      <c r="S23" s="94"/>
      <c r="T23" s="75"/>
      <c r="U23" s="25"/>
      <c r="V23" s="25"/>
      <c r="W23" s="25"/>
      <c r="X23" s="25"/>
      <c r="Y23" s="25"/>
      <c r="Z23" s="25"/>
      <c r="AA23" s="25"/>
      <c r="AB23" s="25"/>
      <c r="AC23" s="25"/>
      <c r="AD23" s="25"/>
      <c r="AE23" s="25"/>
      <c r="AF23" s="25"/>
      <c r="AG23" s="25"/>
      <c r="AH23" s="25"/>
      <c r="AI23" s="25"/>
      <c r="AJ23" s="26">
        <f t="shared" si="4"/>
        <v>0</v>
      </c>
      <c r="AK23" s="26"/>
    </row>
    <row r="24" spans="1:38" ht="14.7" customHeight="1" x14ac:dyDescent="0.3">
      <c r="A24" s="95"/>
      <c r="E24" s="53"/>
      <c r="F24" s="54"/>
      <c r="G24" s="54"/>
      <c r="H24" s="54"/>
      <c r="I24" s="56"/>
      <c r="J24" s="56"/>
      <c r="K24" s="56"/>
      <c r="L24" s="56"/>
      <c r="M24" s="56"/>
      <c r="N24" s="56"/>
      <c r="O24" s="56"/>
      <c r="P24" s="56"/>
      <c r="Q24" s="56"/>
      <c r="S24" s="92"/>
      <c r="T24" s="73"/>
      <c r="U24" s="1"/>
      <c r="V24" s="1"/>
      <c r="W24" s="1"/>
      <c r="X24" s="1"/>
      <c r="Y24" s="1"/>
      <c r="Z24" s="1"/>
      <c r="AA24" s="1"/>
      <c r="AB24" s="1"/>
      <c r="AC24" s="1"/>
      <c r="AD24" s="1"/>
      <c r="AE24" s="1"/>
      <c r="AF24" s="1"/>
      <c r="AG24" s="1"/>
      <c r="AH24" s="1"/>
      <c r="AI24" s="1"/>
      <c r="AJ24" s="15">
        <f t="shared" si="4"/>
        <v>0</v>
      </c>
      <c r="AK24" s="16">
        <f t="shared" ref="AK24:AK47" si="7">I24-AJ24</f>
        <v>0</v>
      </c>
    </row>
    <row r="25" spans="1:38" ht="14.7" customHeight="1" x14ac:dyDescent="0.3">
      <c r="A25" s="444" t="s">
        <v>123</v>
      </c>
      <c r="B25" s="8" t="s">
        <v>124</v>
      </c>
      <c r="C25" s="18" t="s">
        <v>125</v>
      </c>
      <c r="D25" s="10" t="s">
        <v>126</v>
      </c>
      <c r="E25" s="53">
        <f t="shared" ref="E25:E47" si="8">I25+L25+M25+N25+O25+P25</f>
        <v>2350000</v>
      </c>
      <c r="F25" s="54">
        <v>2268784</v>
      </c>
      <c r="G25" s="54">
        <v>50000</v>
      </c>
      <c r="H25" s="54">
        <f t="shared" si="2"/>
        <v>2218784</v>
      </c>
      <c r="I25" s="58">
        <v>2350000</v>
      </c>
      <c r="J25" s="58">
        <f t="shared" ref="J25:J47" si="9">I25-H25</f>
        <v>131216</v>
      </c>
      <c r="K25" s="55" t="s">
        <v>127</v>
      </c>
      <c r="L25" s="54"/>
      <c r="M25" s="54"/>
      <c r="N25" s="54"/>
      <c r="O25" s="56"/>
      <c r="P25" s="56"/>
      <c r="Q25" s="56">
        <v>1204352</v>
      </c>
      <c r="R25" s="14" t="s">
        <v>128</v>
      </c>
      <c r="S25" s="93" t="s">
        <v>129</v>
      </c>
      <c r="T25" s="73"/>
      <c r="U25" s="1">
        <v>60000</v>
      </c>
      <c r="V25" s="1"/>
      <c r="W25" s="1"/>
      <c r="X25" s="1"/>
      <c r="Y25" s="1"/>
      <c r="Z25" s="1"/>
      <c r="AA25" s="1"/>
      <c r="AB25" s="1"/>
      <c r="AC25" s="1">
        <v>1700000</v>
      </c>
      <c r="AD25" s="1"/>
      <c r="AE25" s="1">
        <v>590000</v>
      </c>
      <c r="AF25" s="1"/>
      <c r="AG25" s="1"/>
      <c r="AH25" s="1"/>
      <c r="AI25" s="1"/>
      <c r="AJ25" s="15">
        <f>SUM(T25:AI25)</f>
        <v>2350000</v>
      </c>
      <c r="AK25" s="16">
        <f t="shared" si="7"/>
        <v>0</v>
      </c>
      <c r="AL25" s="16" t="s">
        <v>55</v>
      </c>
    </row>
    <row r="26" spans="1:38" ht="14.7" customHeight="1" x14ac:dyDescent="0.3">
      <c r="A26" s="445"/>
      <c r="B26" s="8" t="s">
        <v>130</v>
      </c>
      <c r="C26" s="18" t="s">
        <v>131</v>
      </c>
      <c r="D26" s="10" t="s">
        <v>132</v>
      </c>
      <c r="E26" s="53">
        <f t="shared" si="8"/>
        <v>22850</v>
      </c>
      <c r="F26" s="54">
        <v>10000</v>
      </c>
      <c r="G26" s="54">
        <v>2150</v>
      </c>
      <c r="H26" s="54">
        <f t="shared" si="2"/>
        <v>7850</v>
      </c>
      <c r="I26" s="54">
        <f>H26+15000</f>
        <v>22850</v>
      </c>
      <c r="J26" s="54">
        <f t="shared" si="9"/>
        <v>15000</v>
      </c>
      <c r="K26" s="57" t="s">
        <v>133</v>
      </c>
      <c r="L26" s="54"/>
      <c r="M26" s="54"/>
      <c r="N26" s="54"/>
      <c r="O26" s="54"/>
      <c r="P26" s="54"/>
      <c r="Q26" s="54"/>
      <c r="S26" s="92"/>
      <c r="T26" s="73"/>
      <c r="U26" s="1"/>
      <c r="V26" s="1"/>
      <c r="W26" s="1"/>
      <c r="X26" s="1"/>
      <c r="Y26" s="1"/>
      <c r="Z26" s="1"/>
      <c r="AA26" s="1"/>
      <c r="AB26" s="1"/>
      <c r="AC26" s="1">
        <v>22850</v>
      </c>
      <c r="AD26" s="1"/>
      <c r="AE26" s="1"/>
      <c r="AF26" s="1"/>
      <c r="AG26" s="1"/>
      <c r="AH26" s="1"/>
      <c r="AI26" s="1"/>
      <c r="AJ26" s="15">
        <f t="shared" si="4"/>
        <v>22850</v>
      </c>
      <c r="AK26" s="16">
        <f t="shared" si="7"/>
        <v>0</v>
      </c>
    </row>
    <row r="27" spans="1:38" ht="14.7" customHeight="1" x14ac:dyDescent="0.3">
      <c r="A27" s="445"/>
      <c r="B27" s="8" t="s">
        <v>134</v>
      </c>
      <c r="C27" s="18" t="s">
        <v>135</v>
      </c>
      <c r="D27" s="10" t="s">
        <v>136</v>
      </c>
      <c r="E27" s="53">
        <f t="shared" si="8"/>
        <v>935000</v>
      </c>
      <c r="F27" s="54">
        <v>10000</v>
      </c>
      <c r="G27" s="54">
        <v>935000</v>
      </c>
      <c r="H27" s="54">
        <f t="shared" si="2"/>
        <v>-925000</v>
      </c>
      <c r="I27" s="54">
        <v>935000</v>
      </c>
      <c r="J27" s="54">
        <f>I27</f>
        <v>935000</v>
      </c>
      <c r="K27" s="57" t="s">
        <v>137</v>
      </c>
      <c r="L27" s="54"/>
      <c r="M27" s="54"/>
      <c r="N27" s="54"/>
      <c r="O27" s="54"/>
      <c r="P27" s="58"/>
      <c r="Q27" s="56"/>
      <c r="S27" s="93"/>
      <c r="T27" s="73"/>
      <c r="U27" s="1"/>
      <c r="V27" s="1"/>
      <c r="W27" s="1"/>
      <c r="X27" s="1"/>
      <c r="Y27" s="1"/>
      <c r="Z27" s="1"/>
      <c r="AA27" s="1"/>
      <c r="AB27" s="1"/>
      <c r="AC27" s="1"/>
      <c r="AD27" s="1"/>
      <c r="AE27" s="1"/>
      <c r="AF27" s="1"/>
      <c r="AG27" s="1"/>
      <c r="AH27" s="1"/>
      <c r="AI27" s="1"/>
      <c r="AJ27" s="15">
        <f t="shared" si="4"/>
        <v>0</v>
      </c>
      <c r="AK27" s="16">
        <f t="shared" si="7"/>
        <v>935000</v>
      </c>
    </row>
    <row r="28" spans="1:38" ht="14.7" customHeight="1" x14ac:dyDescent="0.3">
      <c r="A28" s="445"/>
      <c r="B28" s="8" t="s">
        <v>138</v>
      </c>
      <c r="C28" s="18" t="s">
        <v>139</v>
      </c>
      <c r="D28" s="10" t="s">
        <v>140</v>
      </c>
      <c r="E28" s="53">
        <f t="shared" ref="E28:E33" si="10">I28+L28+M28+N28+O28+P28</f>
        <v>170000</v>
      </c>
      <c r="F28" s="54">
        <v>0</v>
      </c>
      <c r="G28" s="54">
        <v>170000</v>
      </c>
      <c r="H28" s="54">
        <f t="shared" ref="H28:H34" si="11">F28-G28</f>
        <v>-170000</v>
      </c>
      <c r="I28" s="58">
        <v>170000</v>
      </c>
      <c r="J28" s="58">
        <f>I28</f>
        <v>170000</v>
      </c>
      <c r="K28" s="57" t="s">
        <v>12</v>
      </c>
      <c r="L28" s="54"/>
      <c r="M28" s="54"/>
      <c r="N28" s="54"/>
      <c r="O28" s="54"/>
      <c r="P28" s="54"/>
      <c r="Q28" s="56"/>
      <c r="R28" s="29"/>
      <c r="S28" s="93"/>
      <c r="T28" s="73"/>
      <c r="U28" s="1"/>
      <c r="V28" s="1"/>
      <c r="W28" s="1"/>
      <c r="X28" s="1"/>
      <c r="Y28" s="1"/>
      <c r="Z28" s="1"/>
      <c r="AA28" s="1"/>
      <c r="AB28" s="1"/>
      <c r="AC28" s="1"/>
      <c r="AD28" s="1"/>
      <c r="AE28" s="1"/>
      <c r="AF28" s="1"/>
      <c r="AG28" s="1"/>
      <c r="AH28" s="1"/>
      <c r="AI28" s="1"/>
      <c r="AJ28" s="15">
        <f t="shared" ref="AJ28:AJ33" si="12">SUM(T28:AI28)</f>
        <v>0</v>
      </c>
      <c r="AK28" s="16">
        <f t="shared" ref="AK28:AK33" si="13">I28-AJ28</f>
        <v>170000</v>
      </c>
    </row>
    <row r="29" spans="1:38" ht="14.7" customHeight="1" x14ac:dyDescent="0.3">
      <c r="A29" s="445"/>
      <c r="B29" s="8" t="s">
        <v>141</v>
      </c>
      <c r="C29" s="18" t="s">
        <v>142</v>
      </c>
      <c r="D29" s="10" t="s">
        <v>143</v>
      </c>
      <c r="E29" s="53">
        <f t="shared" si="10"/>
        <v>150000</v>
      </c>
      <c r="F29" s="54">
        <v>0</v>
      </c>
      <c r="G29" s="54">
        <v>0</v>
      </c>
      <c r="H29" s="54">
        <f t="shared" si="11"/>
        <v>0</v>
      </c>
      <c r="I29" s="54">
        <v>150000</v>
      </c>
      <c r="J29" s="54">
        <f>I29-H29</f>
        <v>150000</v>
      </c>
      <c r="K29" s="57" t="s">
        <v>12</v>
      </c>
      <c r="L29" s="54"/>
      <c r="M29" s="54"/>
      <c r="N29" s="54"/>
      <c r="O29" s="54"/>
      <c r="P29" s="54"/>
      <c r="Q29" s="54"/>
      <c r="S29" s="93"/>
      <c r="T29" s="73"/>
      <c r="U29" s="1"/>
      <c r="V29" s="1"/>
      <c r="W29" s="1"/>
      <c r="X29" s="1"/>
      <c r="Y29" s="1"/>
      <c r="Z29" s="1"/>
      <c r="AA29" s="1"/>
      <c r="AB29" s="1"/>
      <c r="AC29" s="1">
        <v>150000</v>
      </c>
      <c r="AD29" s="1"/>
      <c r="AE29" s="1"/>
      <c r="AF29" s="1"/>
      <c r="AG29" s="1"/>
      <c r="AH29" s="1"/>
      <c r="AI29" s="1"/>
      <c r="AJ29" s="15">
        <f t="shared" si="12"/>
        <v>150000</v>
      </c>
      <c r="AK29" s="16">
        <f t="shared" si="13"/>
        <v>0</v>
      </c>
    </row>
    <row r="30" spans="1:38" ht="14.7" customHeight="1" x14ac:dyDescent="0.3">
      <c r="A30" s="445"/>
      <c r="B30" s="8" t="s">
        <v>144</v>
      </c>
      <c r="C30" s="18" t="s">
        <v>145</v>
      </c>
      <c r="D30" s="10" t="s">
        <v>146</v>
      </c>
      <c r="E30" s="53">
        <f t="shared" si="10"/>
        <v>100000</v>
      </c>
      <c r="F30" s="54">
        <v>0</v>
      </c>
      <c r="G30" s="54">
        <v>0</v>
      </c>
      <c r="H30" s="54">
        <f t="shared" si="11"/>
        <v>0</v>
      </c>
      <c r="I30" s="54">
        <v>100000</v>
      </c>
      <c r="J30" s="54">
        <f>I30-H30</f>
        <v>100000</v>
      </c>
      <c r="K30" s="57" t="s">
        <v>12</v>
      </c>
      <c r="L30" s="54"/>
      <c r="M30" s="54"/>
      <c r="N30" s="54"/>
      <c r="O30" s="54"/>
      <c r="P30" s="54"/>
      <c r="Q30" s="54"/>
      <c r="S30" s="93"/>
      <c r="T30" s="73"/>
      <c r="U30" s="1"/>
      <c r="V30" s="1"/>
      <c r="W30" s="1"/>
      <c r="X30" s="1"/>
      <c r="Y30" s="1"/>
      <c r="Z30" s="1"/>
      <c r="AA30" s="1"/>
      <c r="AB30" s="1"/>
      <c r="AC30" s="1">
        <v>100000</v>
      </c>
      <c r="AD30" s="1"/>
      <c r="AE30" s="1"/>
      <c r="AF30" s="1"/>
      <c r="AG30" s="1"/>
      <c r="AH30" s="1"/>
      <c r="AI30" s="1"/>
      <c r="AJ30" s="15">
        <f t="shared" si="12"/>
        <v>100000</v>
      </c>
      <c r="AK30" s="16">
        <f t="shared" si="13"/>
        <v>0</v>
      </c>
    </row>
    <row r="31" spans="1:38" ht="14.7" customHeight="1" x14ac:dyDescent="0.3">
      <c r="A31" s="445"/>
      <c r="B31" s="8" t="s">
        <v>147</v>
      </c>
      <c r="C31" s="18" t="s">
        <v>148</v>
      </c>
      <c r="D31" s="10" t="s">
        <v>149</v>
      </c>
      <c r="E31" s="53">
        <f t="shared" si="10"/>
        <v>100000</v>
      </c>
      <c r="F31" s="54">
        <v>0</v>
      </c>
      <c r="G31" s="54">
        <v>0</v>
      </c>
      <c r="H31" s="54">
        <f t="shared" si="11"/>
        <v>0</v>
      </c>
      <c r="I31" s="54">
        <v>100000</v>
      </c>
      <c r="J31" s="54">
        <f>I31-H31</f>
        <v>100000</v>
      </c>
      <c r="K31" s="57" t="s">
        <v>12</v>
      </c>
      <c r="L31" s="54"/>
      <c r="M31" s="54"/>
      <c r="N31" s="54"/>
      <c r="O31" s="54"/>
      <c r="P31" s="54"/>
      <c r="Q31" s="56"/>
      <c r="S31" s="93"/>
      <c r="T31" s="73"/>
      <c r="U31" s="1"/>
      <c r="V31" s="1"/>
      <c r="W31" s="1"/>
      <c r="X31" s="1"/>
      <c r="Y31" s="1"/>
      <c r="Z31" s="1"/>
      <c r="AA31" s="1"/>
      <c r="AB31" s="1"/>
      <c r="AC31" s="1">
        <v>100000</v>
      </c>
      <c r="AD31" s="1"/>
      <c r="AE31" s="1"/>
      <c r="AF31" s="1"/>
      <c r="AG31" s="1"/>
      <c r="AH31" s="1"/>
      <c r="AI31" s="1"/>
      <c r="AJ31" s="15">
        <f t="shared" si="12"/>
        <v>100000</v>
      </c>
      <c r="AK31" s="16">
        <f t="shared" si="13"/>
        <v>0</v>
      </c>
    </row>
    <row r="32" spans="1:38" ht="14.7" customHeight="1" x14ac:dyDescent="0.3">
      <c r="A32" s="445"/>
      <c r="B32" s="8" t="s">
        <v>150</v>
      </c>
      <c r="C32" s="18" t="s">
        <v>151</v>
      </c>
      <c r="D32" s="10" t="s">
        <v>152</v>
      </c>
      <c r="E32" s="53">
        <f t="shared" si="10"/>
        <v>1649500</v>
      </c>
      <c r="F32" s="54">
        <v>500000</v>
      </c>
      <c r="G32" s="54">
        <v>500</v>
      </c>
      <c r="H32" s="54">
        <f t="shared" si="11"/>
        <v>499500</v>
      </c>
      <c r="I32" s="54">
        <v>499500</v>
      </c>
      <c r="J32" s="54">
        <f>I32-H32</f>
        <v>0</v>
      </c>
      <c r="K32" s="57" t="s">
        <v>153</v>
      </c>
      <c r="L32" s="54">
        <f>1650000-500000</f>
        <v>1150000</v>
      </c>
      <c r="M32" s="54"/>
      <c r="N32" s="54"/>
      <c r="O32" s="54"/>
      <c r="P32" s="54"/>
      <c r="Q32" s="56">
        <v>1123000</v>
      </c>
      <c r="R32" s="29" t="s">
        <v>154</v>
      </c>
      <c r="S32" s="93" t="s">
        <v>155</v>
      </c>
      <c r="T32" s="73"/>
      <c r="U32" s="1"/>
      <c r="V32" s="1"/>
      <c r="W32" s="1"/>
      <c r="X32" s="1"/>
      <c r="Y32" s="1"/>
      <c r="Z32" s="1"/>
      <c r="AA32" s="1"/>
      <c r="AB32" s="1"/>
      <c r="AC32" s="1">
        <v>499500</v>
      </c>
      <c r="AD32" s="1"/>
      <c r="AE32" s="1"/>
      <c r="AF32" s="1"/>
      <c r="AG32" s="1"/>
      <c r="AH32" s="1"/>
      <c r="AI32" s="1"/>
      <c r="AJ32" s="15">
        <f t="shared" si="12"/>
        <v>499500</v>
      </c>
      <c r="AK32" s="16">
        <f t="shared" si="13"/>
        <v>0</v>
      </c>
    </row>
    <row r="33" spans="1:38" ht="14.7" customHeight="1" x14ac:dyDescent="0.3">
      <c r="A33" s="445"/>
      <c r="B33" s="8" t="s">
        <v>156</v>
      </c>
      <c r="C33" s="18" t="s">
        <v>157</v>
      </c>
      <c r="D33" s="10" t="s">
        <v>158</v>
      </c>
      <c r="E33" s="53">
        <f t="shared" si="10"/>
        <v>3339000</v>
      </c>
      <c r="F33" s="54">
        <v>459000</v>
      </c>
      <c r="G33" s="54">
        <v>120000</v>
      </c>
      <c r="H33" s="54">
        <f t="shared" si="11"/>
        <v>339000</v>
      </c>
      <c r="I33" s="54">
        <f>H33</f>
        <v>339000</v>
      </c>
      <c r="J33" s="54">
        <f>I33-H33</f>
        <v>0</v>
      </c>
      <c r="K33" s="57" t="s">
        <v>159</v>
      </c>
      <c r="L33" s="54"/>
      <c r="M33" s="54">
        <v>3000000</v>
      </c>
      <c r="N33" s="54"/>
      <c r="O33" s="56"/>
      <c r="P33" s="56"/>
      <c r="Q33" s="54">
        <v>2000000</v>
      </c>
      <c r="R33" s="14" t="s">
        <v>128</v>
      </c>
      <c r="S33" s="93" t="s">
        <v>78</v>
      </c>
      <c r="T33" s="73"/>
      <c r="U33" s="1">
        <v>339000</v>
      </c>
      <c r="V33" s="1"/>
      <c r="W33" s="1"/>
      <c r="X33" s="1"/>
      <c r="Y33" s="1"/>
      <c r="Z33" s="1"/>
      <c r="AA33" s="1"/>
      <c r="AB33" s="1"/>
      <c r="AC33" s="1"/>
      <c r="AD33" s="1"/>
      <c r="AE33" s="1" t="s">
        <v>54</v>
      </c>
      <c r="AF33" s="1"/>
      <c r="AG33" s="1"/>
      <c r="AH33" s="1"/>
      <c r="AI33" s="1"/>
      <c r="AJ33" s="15">
        <f t="shared" si="12"/>
        <v>339000</v>
      </c>
      <c r="AK33" s="16">
        <f t="shared" si="13"/>
        <v>0</v>
      </c>
      <c r="AL33" s="16" t="s">
        <v>55</v>
      </c>
    </row>
    <row r="34" spans="1:38" ht="14.7" customHeight="1" x14ac:dyDescent="0.3">
      <c r="A34" s="445"/>
      <c r="B34" s="8" t="s">
        <v>160</v>
      </c>
      <c r="C34" s="18" t="s">
        <v>161</v>
      </c>
      <c r="D34" s="10" t="s">
        <v>162</v>
      </c>
      <c r="E34" s="53">
        <f t="shared" si="8"/>
        <v>4125000</v>
      </c>
      <c r="F34" s="54">
        <v>160000</v>
      </c>
      <c r="G34" s="54">
        <v>0</v>
      </c>
      <c r="H34" s="54">
        <f t="shared" si="11"/>
        <v>160000</v>
      </c>
      <c r="I34" s="54">
        <v>160000</v>
      </c>
      <c r="J34" s="54">
        <f t="shared" si="9"/>
        <v>0</v>
      </c>
      <c r="K34" s="57" t="s">
        <v>163</v>
      </c>
      <c r="L34" s="54">
        <v>850000</v>
      </c>
      <c r="M34" s="54">
        <v>3115000</v>
      </c>
      <c r="N34" s="54"/>
      <c r="O34" s="54"/>
      <c r="P34" s="54"/>
      <c r="Q34" s="56">
        <v>40000</v>
      </c>
      <c r="R34" s="14" t="s">
        <v>164</v>
      </c>
      <c r="S34" s="93"/>
      <c r="T34" s="73">
        <v>54000</v>
      </c>
      <c r="U34" s="1"/>
      <c r="V34" s="1"/>
      <c r="W34" s="1"/>
      <c r="X34" s="1"/>
      <c r="Y34" s="1"/>
      <c r="Z34" s="1"/>
      <c r="AA34" s="1"/>
      <c r="AB34" s="1"/>
      <c r="AC34" s="1">
        <v>106000</v>
      </c>
      <c r="AD34" s="1" t="s">
        <v>54</v>
      </c>
      <c r="AE34" s="1"/>
      <c r="AF34" s="1"/>
      <c r="AG34" s="1"/>
      <c r="AH34" s="1"/>
      <c r="AI34" s="1"/>
      <c r="AJ34" s="15">
        <f t="shared" si="4"/>
        <v>160000</v>
      </c>
      <c r="AK34" s="16">
        <f t="shared" si="7"/>
        <v>0</v>
      </c>
    </row>
    <row r="35" spans="1:38" ht="14.7" customHeight="1" x14ac:dyDescent="0.3">
      <c r="A35" s="445"/>
      <c r="B35" s="8" t="s">
        <v>165</v>
      </c>
      <c r="C35" s="18" t="s">
        <v>166</v>
      </c>
      <c r="D35" s="10" t="s">
        <v>167</v>
      </c>
      <c r="E35" s="53">
        <f t="shared" si="8"/>
        <v>500000</v>
      </c>
      <c r="F35" s="54">
        <v>0</v>
      </c>
      <c r="G35" s="54">
        <v>0</v>
      </c>
      <c r="H35" s="54">
        <f t="shared" si="2"/>
        <v>0</v>
      </c>
      <c r="I35" s="54"/>
      <c r="J35" s="54">
        <f t="shared" si="9"/>
        <v>0</v>
      </c>
      <c r="K35" s="57" t="s">
        <v>12</v>
      </c>
      <c r="L35" s="54">
        <v>150000</v>
      </c>
      <c r="M35" s="54">
        <v>350000</v>
      </c>
      <c r="N35" s="54"/>
      <c r="O35" s="54"/>
      <c r="P35" s="54"/>
      <c r="Q35" s="56"/>
      <c r="S35" s="93"/>
      <c r="T35" s="73"/>
      <c r="U35" s="1"/>
      <c r="V35" s="1"/>
      <c r="W35" s="1"/>
      <c r="X35" s="1"/>
      <c r="Y35" s="1"/>
      <c r="Z35" s="1"/>
      <c r="AA35" s="1"/>
      <c r="AB35" s="1"/>
      <c r="AC35" s="1"/>
      <c r="AD35" s="1"/>
      <c r="AE35" s="1"/>
      <c r="AF35" s="1"/>
      <c r="AG35" s="1"/>
      <c r="AH35" s="1"/>
      <c r="AI35" s="1"/>
      <c r="AJ35" s="15">
        <f t="shared" si="4"/>
        <v>0</v>
      </c>
      <c r="AK35" s="16">
        <f t="shared" si="7"/>
        <v>0</v>
      </c>
    </row>
    <row r="36" spans="1:38" ht="14.7" customHeight="1" x14ac:dyDescent="0.3">
      <c r="A36" s="445"/>
      <c r="B36" s="8" t="s">
        <v>168</v>
      </c>
      <c r="C36" s="18" t="s">
        <v>169</v>
      </c>
      <c r="D36" s="10" t="s">
        <v>170</v>
      </c>
      <c r="E36" s="53">
        <f>I36+L36+M36+N36+O36+P36</f>
        <v>1300000</v>
      </c>
      <c r="F36" s="54">
        <v>0</v>
      </c>
      <c r="G36" s="54">
        <v>0</v>
      </c>
      <c r="H36" s="54">
        <f>F36-G36</f>
        <v>0</v>
      </c>
      <c r="I36" s="58"/>
      <c r="J36" s="58">
        <f>I36-H36</f>
        <v>0</v>
      </c>
      <c r="K36" s="57" t="s">
        <v>12</v>
      </c>
      <c r="L36" s="54">
        <v>300000</v>
      </c>
      <c r="M36" s="54">
        <v>1000000</v>
      </c>
      <c r="N36" s="54"/>
      <c r="O36" s="54"/>
      <c r="P36" s="58"/>
      <c r="Q36" s="56"/>
      <c r="S36" s="93"/>
      <c r="T36" s="73"/>
      <c r="U36" s="1"/>
      <c r="V36" s="1"/>
      <c r="W36" s="1"/>
      <c r="X36" s="1"/>
      <c r="Y36" s="1"/>
      <c r="Z36" s="1"/>
      <c r="AA36" s="1"/>
      <c r="AB36" s="1"/>
      <c r="AC36" s="1"/>
      <c r="AD36" s="1"/>
      <c r="AE36" s="1"/>
      <c r="AF36" s="1"/>
      <c r="AG36" s="1"/>
      <c r="AH36" s="1"/>
      <c r="AI36" s="1"/>
      <c r="AJ36" s="15">
        <f>SUM(T36:AI36)</f>
        <v>0</v>
      </c>
      <c r="AK36" s="16">
        <f>I36-AJ36</f>
        <v>0</v>
      </c>
    </row>
    <row r="37" spans="1:38" ht="14.7" customHeight="1" x14ac:dyDescent="0.3">
      <c r="A37" s="445"/>
      <c r="B37" s="8" t="s">
        <v>171</v>
      </c>
      <c r="C37" s="28" t="s">
        <v>172</v>
      </c>
      <c r="D37" s="10" t="s">
        <v>173</v>
      </c>
      <c r="E37" s="53">
        <f>I37+L37+M37+N37+O37+P37</f>
        <v>500000</v>
      </c>
      <c r="F37" s="54">
        <v>0</v>
      </c>
      <c r="G37" s="54">
        <v>0</v>
      </c>
      <c r="H37" s="54">
        <f>F37-G37</f>
        <v>0</v>
      </c>
      <c r="I37" s="54"/>
      <c r="J37" s="54">
        <f>I37-H37</f>
        <v>0</v>
      </c>
      <c r="K37" s="57" t="s">
        <v>12</v>
      </c>
      <c r="L37" s="54">
        <v>100000</v>
      </c>
      <c r="M37" s="54">
        <v>100000</v>
      </c>
      <c r="N37" s="54">
        <v>100000</v>
      </c>
      <c r="O37" s="54">
        <v>100000</v>
      </c>
      <c r="P37" s="54">
        <v>100000</v>
      </c>
      <c r="Q37" s="56"/>
      <c r="S37" s="93"/>
      <c r="T37" s="73"/>
      <c r="U37" s="1"/>
      <c r="V37" s="1"/>
      <c r="W37" s="1"/>
      <c r="X37" s="1"/>
      <c r="Y37" s="1"/>
      <c r="Z37" s="1"/>
      <c r="AA37" s="1"/>
      <c r="AB37" s="1"/>
      <c r="AC37" s="1"/>
      <c r="AD37" s="1"/>
      <c r="AE37" s="1"/>
      <c r="AF37" s="1"/>
      <c r="AG37" s="1"/>
      <c r="AH37" s="1"/>
      <c r="AI37" s="1"/>
      <c r="AJ37" s="15">
        <f>SUM(T37:AI37)</f>
        <v>0</v>
      </c>
      <c r="AK37" s="16">
        <f>I37-AJ37</f>
        <v>0</v>
      </c>
    </row>
    <row r="38" spans="1:38" ht="14.7" customHeight="1" x14ac:dyDescent="0.3">
      <c r="A38" s="445"/>
      <c r="B38" s="8" t="s">
        <v>174</v>
      </c>
      <c r="C38" s="18" t="s">
        <v>175</v>
      </c>
      <c r="D38" s="10" t="s">
        <v>176</v>
      </c>
      <c r="E38" s="53">
        <f t="shared" si="8"/>
        <v>800000</v>
      </c>
      <c r="F38" s="54">
        <v>0</v>
      </c>
      <c r="G38" s="54">
        <v>0</v>
      </c>
      <c r="H38" s="54">
        <f t="shared" si="2"/>
        <v>0</v>
      </c>
      <c r="I38" s="54">
        <v>800000</v>
      </c>
      <c r="J38" s="54">
        <f t="shared" si="9"/>
        <v>800000</v>
      </c>
      <c r="K38" s="57" t="s">
        <v>12</v>
      </c>
      <c r="L38" s="54"/>
      <c r="M38" s="54"/>
      <c r="N38" s="54"/>
      <c r="O38" s="54"/>
      <c r="P38" s="54"/>
      <c r="Q38" s="56"/>
      <c r="S38" s="93"/>
      <c r="T38" s="73"/>
      <c r="U38" s="1">
        <v>198000</v>
      </c>
      <c r="V38" s="1"/>
      <c r="W38" s="1"/>
      <c r="X38" s="1"/>
      <c r="Y38" s="1"/>
      <c r="Z38" s="1"/>
      <c r="AA38" s="1"/>
      <c r="AB38" s="1"/>
      <c r="AC38" s="1">
        <v>390000</v>
      </c>
      <c r="AD38" s="1"/>
      <c r="AE38" s="1">
        <v>212000</v>
      </c>
      <c r="AF38" s="1"/>
      <c r="AG38" s="1"/>
      <c r="AH38" s="1"/>
      <c r="AI38" s="1"/>
      <c r="AJ38" s="15">
        <f t="shared" si="4"/>
        <v>800000</v>
      </c>
      <c r="AK38" s="16">
        <f t="shared" si="7"/>
        <v>0</v>
      </c>
    </row>
    <row r="39" spans="1:38" ht="14.7" customHeight="1" x14ac:dyDescent="0.3">
      <c r="A39" s="445"/>
      <c r="B39" s="8" t="s">
        <v>177</v>
      </c>
      <c r="C39" s="18" t="s">
        <v>178</v>
      </c>
      <c r="D39" s="10" t="s">
        <v>179</v>
      </c>
      <c r="E39" s="53">
        <f t="shared" si="8"/>
        <v>2700000</v>
      </c>
      <c r="F39" s="54">
        <v>0</v>
      </c>
      <c r="G39" s="54">
        <v>0</v>
      </c>
      <c r="H39" s="54">
        <f t="shared" si="2"/>
        <v>0</v>
      </c>
      <c r="I39" s="54">
        <v>500000</v>
      </c>
      <c r="J39" s="54">
        <f t="shared" si="9"/>
        <v>500000</v>
      </c>
      <c r="K39" s="57" t="s">
        <v>180</v>
      </c>
      <c r="L39" s="54"/>
      <c r="M39" s="54">
        <v>2200000</v>
      </c>
      <c r="N39" s="54"/>
      <c r="O39" s="54"/>
      <c r="P39" s="58"/>
      <c r="Q39" s="56"/>
      <c r="S39" s="93"/>
      <c r="T39" s="73"/>
      <c r="U39" s="1"/>
      <c r="V39" s="1"/>
      <c r="W39" s="1"/>
      <c r="X39" s="1"/>
      <c r="Y39" s="1"/>
      <c r="Z39" s="1"/>
      <c r="AA39" s="1"/>
      <c r="AB39" s="1"/>
      <c r="AC39" s="1">
        <v>200000</v>
      </c>
      <c r="AD39" s="1"/>
      <c r="AE39" s="1">
        <v>300000</v>
      </c>
      <c r="AF39" s="1"/>
      <c r="AG39" s="1"/>
      <c r="AH39" s="1"/>
      <c r="AI39" s="1"/>
      <c r="AJ39" s="15">
        <f t="shared" si="4"/>
        <v>500000</v>
      </c>
      <c r="AK39" s="16">
        <f t="shared" si="7"/>
        <v>0</v>
      </c>
    </row>
    <row r="40" spans="1:38" ht="14.7" customHeight="1" x14ac:dyDescent="0.3">
      <c r="A40" s="445"/>
      <c r="B40" s="8" t="s">
        <v>181</v>
      </c>
      <c r="C40" s="28" t="s">
        <v>182</v>
      </c>
      <c r="D40" s="10" t="s">
        <v>183</v>
      </c>
      <c r="E40" s="53">
        <f t="shared" si="8"/>
        <v>2800000</v>
      </c>
      <c r="F40" s="54">
        <v>0</v>
      </c>
      <c r="G40" s="54">
        <v>0</v>
      </c>
      <c r="H40" s="54">
        <f t="shared" si="2"/>
        <v>0</v>
      </c>
      <c r="I40" s="54"/>
      <c r="J40" s="54">
        <f t="shared" si="9"/>
        <v>0</v>
      </c>
      <c r="K40" s="57" t="s">
        <v>12</v>
      </c>
      <c r="L40" s="54"/>
      <c r="M40" s="54">
        <v>500000</v>
      </c>
      <c r="N40" s="54">
        <v>2300000</v>
      </c>
      <c r="O40" s="54"/>
      <c r="P40" s="58"/>
      <c r="Q40" s="56"/>
      <c r="S40" s="93"/>
      <c r="T40" s="73"/>
      <c r="U40" s="1"/>
      <c r="V40" s="1"/>
      <c r="W40" s="1"/>
      <c r="X40" s="1"/>
      <c r="Y40" s="1"/>
      <c r="Z40" s="1"/>
      <c r="AA40" s="1"/>
      <c r="AB40" s="1"/>
      <c r="AC40" s="1"/>
      <c r="AD40" s="1"/>
      <c r="AE40" s="1"/>
      <c r="AF40" s="1"/>
      <c r="AG40" s="1"/>
      <c r="AH40" s="1"/>
      <c r="AI40" s="1"/>
      <c r="AJ40" s="15">
        <f t="shared" si="4"/>
        <v>0</v>
      </c>
      <c r="AK40" s="16">
        <f t="shared" si="7"/>
        <v>0</v>
      </c>
    </row>
    <row r="41" spans="1:38" ht="14.7" customHeight="1" x14ac:dyDescent="0.3">
      <c r="A41" s="445"/>
      <c r="B41" s="8" t="s">
        <v>184</v>
      </c>
      <c r="C41" s="28" t="s">
        <v>185</v>
      </c>
      <c r="D41" s="10" t="s">
        <v>186</v>
      </c>
      <c r="E41" s="53">
        <f t="shared" si="8"/>
        <v>5100000</v>
      </c>
      <c r="F41" s="54">
        <v>0</v>
      </c>
      <c r="G41" s="54">
        <v>0</v>
      </c>
      <c r="H41" s="54">
        <f t="shared" si="2"/>
        <v>0</v>
      </c>
      <c r="I41" s="54"/>
      <c r="J41" s="54">
        <f t="shared" si="9"/>
        <v>0</v>
      </c>
      <c r="K41" s="57" t="s">
        <v>12</v>
      </c>
      <c r="L41" s="54"/>
      <c r="M41" s="54">
        <v>500000</v>
      </c>
      <c r="N41" s="54">
        <v>4600000</v>
      </c>
      <c r="O41" s="54"/>
      <c r="P41" s="58"/>
      <c r="Q41" s="56"/>
      <c r="S41" s="93"/>
      <c r="T41" s="73"/>
      <c r="U41" s="1"/>
      <c r="V41" s="1"/>
      <c r="W41" s="1"/>
      <c r="X41" s="1"/>
      <c r="Y41" s="1"/>
      <c r="Z41" s="1"/>
      <c r="AA41" s="1"/>
      <c r="AB41" s="1"/>
      <c r="AC41" s="1"/>
      <c r="AD41" s="1"/>
      <c r="AE41" s="1"/>
      <c r="AF41" s="1"/>
      <c r="AG41" s="1"/>
      <c r="AH41" s="1"/>
      <c r="AI41" s="1"/>
      <c r="AJ41" s="15">
        <f t="shared" si="4"/>
        <v>0</v>
      </c>
      <c r="AK41" s="16">
        <f t="shared" si="7"/>
        <v>0</v>
      </c>
    </row>
    <row r="42" spans="1:38" ht="14.7" customHeight="1" x14ac:dyDescent="0.3">
      <c r="A42" s="445"/>
      <c r="B42" s="8" t="s">
        <v>187</v>
      </c>
      <c r="C42" s="28" t="s">
        <v>188</v>
      </c>
      <c r="D42" s="10" t="s">
        <v>189</v>
      </c>
      <c r="E42" s="53">
        <f t="shared" si="8"/>
        <v>1700000</v>
      </c>
      <c r="F42" s="54">
        <v>0</v>
      </c>
      <c r="G42" s="54">
        <v>0</v>
      </c>
      <c r="H42" s="54">
        <f t="shared" si="2"/>
        <v>0</v>
      </c>
      <c r="I42" s="54"/>
      <c r="J42" s="54">
        <f t="shared" si="9"/>
        <v>0</v>
      </c>
      <c r="K42" s="57" t="s">
        <v>12</v>
      </c>
      <c r="L42" s="54"/>
      <c r="M42" s="54"/>
      <c r="N42" s="54">
        <v>500000</v>
      </c>
      <c r="O42" s="54">
        <v>1200000</v>
      </c>
      <c r="P42" s="58"/>
      <c r="Q42" s="56"/>
      <c r="S42" s="93"/>
      <c r="T42" s="73"/>
      <c r="U42" s="1"/>
      <c r="V42" s="1"/>
      <c r="W42" s="1"/>
      <c r="X42" s="1"/>
      <c r="Y42" s="1"/>
      <c r="Z42" s="1"/>
      <c r="AA42" s="1"/>
      <c r="AB42" s="1"/>
      <c r="AC42" s="1"/>
      <c r="AD42" s="1"/>
      <c r="AE42" s="1"/>
      <c r="AF42" s="1"/>
      <c r="AG42" s="1"/>
      <c r="AH42" s="1"/>
      <c r="AI42" s="1"/>
      <c r="AJ42" s="15">
        <f t="shared" si="4"/>
        <v>0</v>
      </c>
      <c r="AK42" s="16">
        <f t="shared" si="7"/>
        <v>0</v>
      </c>
    </row>
    <row r="43" spans="1:38" ht="14.7" customHeight="1" x14ac:dyDescent="0.3">
      <c r="A43" s="445"/>
      <c r="B43" s="8" t="s">
        <v>190</v>
      </c>
      <c r="C43" s="28" t="s">
        <v>191</v>
      </c>
      <c r="D43" s="10" t="s">
        <v>192</v>
      </c>
      <c r="E43" s="53">
        <f t="shared" si="8"/>
        <v>200000</v>
      </c>
      <c r="F43" s="54">
        <v>0</v>
      </c>
      <c r="G43" s="54">
        <v>0</v>
      </c>
      <c r="H43" s="54">
        <f t="shared" si="2"/>
        <v>0</v>
      </c>
      <c r="I43" s="54"/>
      <c r="J43" s="54">
        <f t="shared" si="9"/>
        <v>0</v>
      </c>
      <c r="K43" s="57" t="s">
        <v>12</v>
      </c>
      <c r="L43" s="54"/>
      <c r="M43" s="54"/>
      <c r="N43" s="54">
        <v>200000</v>
      </c>
      <c r="O43" s="54"/>
      <c r="P43" s="58"/>
      <c r="Q43" s="56"/>
      <c r="S43" s="93"/>
      <c r="T43" s="73"/>
      <c r="U43" s="1"/>
      <c r="V43" s="1"/>
      <c r="W43" s="1"/>
      <c r="X43" s="1"/>
      <c r="Y43" s="1"/>
      <c r="Z43" s="1"/>
      <c r="AA43" s="1"/>
      <c r="AB43" s="1"/>
      <c r="AC43" s="1"/>
      <c r="AD43" s="1"/>
      <c r="AE43" s="1"/>
      <c r="AF43" s="1"/>
      <c r="AG43" s="1"/>
      <c r="AH43" s="1"/>
      <c r="AI43" s="1"/>
      <c r="AJ43" s="15">
        <f t="shared" si="4"/>
        <v>0</v>
      </c>
      <c r="AK43" s="16">
        <f t="shared" si="7"/>
        <v>0</v>
      </c>
    </row>
    <row r="44" spans="1:38" ht="14.7" customHeight="1" x14ac:dyDescent="0.3">
      <c r="A44" s="445"/>
      <c r="B44" s="8" t="s">
        <v>193</v>
      </c>
      <c r="C44" s="28" t="s">
        <v>194</v>
      </c>
      <c r="D44" s="10" t="s">
        <v>195</v>
      </c>
      <c r="E44" s="53">
        <f t="shared" si="8"/>
        <v>1100000</v>
      </c>
      <c r="F44" s="54">
        <v>0</v>
      </c>
      <c r="G44" s="54">
        <v>0</v>
      </c>
      <c r="H44" s="54">
        <f t="shared" si="2"/>
        <v>0</v>
      </c>
      <c r="I44" s="54"/>
      <c r="J44" s="54">
        <f t="shared" si="9"/>
        <v>0</v>
      </c>
      <c r="K44" s="57" t="s">
        <v>12</v>
      </c>
      <c r="L44" s="54"/>
      <c r="M44" s="54"/>
      <c r="N44" s="54">
        <v>1100000</v>
      </c>
      <c r="O44" s="54"/>
      <c r="P44" s="58"/>
      <c r="Q44" s="56"/>
      <c r="S44" s="93"/>
      <c r="T44" s="73"/>
      <c r="U44" s="1"/>
      <c r="V44" s="1"/>
      <c r="W44" s="1"/>
      <c r="X44" s="1"/>
      <c r="Y44" s="1"/>
      <c r="Z44" s="1"/>
      <c r="AA44" s="1"/>
      <c r="AB44" s="1"/>
      <c r="AC44" s="1"/>
      <c r="AD44" s="1"/>
      <c r="AE44" s="1"/>
      <c r="AF44" s="1"/>
      <c r="AG44" s="1"/>
      <c r="AH44" s="1"/>
      <c r="AI44" s="1"/>
      <c r="AJ44" s="15">
        <f t="shared" si="4"/>
        <v>0</v>
      </c>
      <c r="AK44" s="16">
        <f t="shared" si="7"/>
        <v>0</v>
      </c>
    </row>
    <row r="45" spans="1:38" ht="14.7" customHeight="1" x14ac:dyDescent="0.3">
      <c r="A45" s="445"/>
      <c r="B45" s="8" t="s">
        <v>196</v>
      </c>
      <c r="C45" s="28" t="s">
        <v>197</v>
      </c>
      <c r="D45" s="10" t="s">
        <v>198</v>
      </c>
      <c r="E45" s="53">
        <f>I45+L45+M45+N45+O45+P45</f>
        <v>950000</v>
      </c>
      <c r="F45" s="54">
        <v>10000</v>
      </c>
      <c r="G45" s="54">
        <v>10000</v>
      </c>
      <c r="H45" s="54">
        <f>F45-G45</f>
        <v>0</v>
      </c>
      <c r="I45" s="54"/>
      <c r="J45" s="54">
        <f>I45-H45</f>
        <v>0</v>
      </c>
      <c r="K45" s="57" t="s">
        <v>199</v>
      </c>
      <c r="L45" s="54"/>
      <c r="M45" s="54"/>
      <c r="N45" s="54"/>
      <c r="O45" s="54">
        <v>150000</v>
      </c>
      <c r="P45" s="54">
        <v>800000</v>
      </c>
      <c r="Q45" s="54"/>
      <c r="S45" s="92"/>
      <c r="T45" s="73"/>
      <c r="U45" s="1"/>
      <c r="V45" s="1"/>
      <c r="W45" s="1"/>
      <c r="X45" s="1"/>
      <c r="Y45" s="1"/>
      <c r="Z45" s="1"/>
      <c r="AA45" s="1"/>
      <c r="AB45" s="1"/>
      <c r="AC45" s="1" t="s">
        <v>54</v>
      </c>
      <c r="AD45" s="1"/>
      <c r="AE45" s="1"/>
      <c r="AF45" s="1"/>
      <c r="AG45" s="1"/>
      <c r="AH45" s="1"/>
      <c r="AI45" s="1"/>
      <c r="AJ45" s="15">
        <f>SUM(T45:AI45)</f>
        <v>0</v>
      </c>
      <c r="AK45" s="16">
        <f>I45-AJ45</f>
        <v>0</v>
      </c>
    </row>
    <row r="46" spans="1:38" ht="14.7" customHeight="1" x14ac:dyDescent="0.3">
      <c r="A46" s="445"/>
      <c r="B46" s="8" t="s">
        <v>200</v>
      </c>
      <c r="C46" s="18" t="s">
        <v>201</v>
      </c>
      <c r="D46" s="10" t="s">
        <v>202</v>
      </c>
      <c r="E46" s="53">
        <f>I46+L46+M46+N46+O46+P46</f>
        <v>85000</v>
      </c>
      <c r="F46" s="54">
        <v>0</v>
      </c>
      <c r="G46" s="54">
        <v>0</v>
      </c>
      <c r="H46" s="54">
        <f>F46-G46</f>
        <v>0</v>
      </c>
      <c r="I46" s="54"/>
      <c r="J46" s="54">
        <f>I46-H46</f>
        <v>0</v>
      </c>
      <c r="K46" s="57" t="s">
        <v>12</v>
      </c>
      <c r="L46" s="54"/>
      <c r="M46" s="54"/>
      <c r="N46" s="54"/>
      <c r="O46" s="54"/>
      <c r="P46" s="54">
        <v>85000</v>
      </c>
      <c r="Q46" s="56"/>
      <c r="S46" s="93"/>
      <c r="T46" s="73"/>
      <c r="U46" s="1"/>
      <c r="V46" s="1"/>
      <c r="W46" s="1"/>
      <c r="X46" s="1"/>
      <c r="Y46" s="1"/>
      <c r="Z46" s="1"/>
      <c r="AA46" s="1"/>
      <c r="AB46" s="1"/>
      <c r="AC46" s="1"/>
      <c r="AD46" s="1"/>
      <c r="AE46" s="1"/>
      <c r="AF46" s="1"/>
      <c r="AG46" s="1"/>
      <c r="AH46" s="1"/>
      <c r="AI46" s="1"/>
      <c r="AJ46" s="15">
        <f>SUM(T46:AI46)</f>
        <v>0</v>
      </c>
      <c r="AK46" s="16">
        <f>I46-AJ46</f>
        <v>0</v>
      </c>
    </row>
    <row r="47" spans="1:38" ht="14.7" customHeight="1" x14ac:dyDescent="0.3">
      <c r="A47" s="445"/>
      <c r="B47" s="8" t="s">
        <v>203</v>
      </c>
      <c r="C47" s="28" t="s">
        <v>204</v>
      </c>
      <c r="D47" s="10" t="s">
        <v>205</v>
      </c>
      <c r="E47" s="53">
        <f t="shared" si="8"/>
        <v>5000000</v>
      </c>
      <c r="F47" s="54">
        <v>0</v>
      </c>
      <c r="G47" s="54">
        <v>0</v>
      </c>
      <c r="H47" s="54">
        <f t="shared" si="2"/>
        <v>0</v>
      </c>
      <c r="I47" s="56"/>
      <c r="J47" s="56">
        <f t="shared" si="9"/>
        <v>0</v>
      </c>
      <c r="K47" s="57" t="s">
        <v>12</v>
      </c>
      <c r="L47" s="54"/>
      <c r="M47" s="54"/>
      <c r="N47" s="54"/>
      <c r="O47" s="54"/>
      <c r="P47" s="58">
        <v>5000000</v>
      </c>
      <c r="Q47" s="56"/>
      <c r="S47" s="93"/>
      <c r="T47" s="73"/>
      <c r="U47" s="1"/>
      <c r="V47" s="1"/>
      <c r="W47" s="1"/>
      <c r="X47" s="1"/>
      <c r="Y47" s="1"/>
      <c r="Z47" s="1"/>
      <c r="AA47" s="1"/>
      <c r="AB47" s="1"/>
      <c r="AC47" s="1"/>
      <c r="AD47" s="1"/>
      <c r="AE47" s="1"/>
      <c r="AF47" s="1"/>
      <c r="AG47" s="1"/>
      <c r="AH47" s="1"/>
      <c r="AI47" s="1"/>
      <c r="AJ47" s="15">
        <f t="shared" si="4"/>
        <v>0</v>
      </c>
      <c r="AK47" s="16">
        <f t="shared" si="7"/>
        <v>0</v>
      </c>
    </row>
    <row r="48" spans="1:38" s="26" customFormat="1" ht="14.7" customHeight="1" x14ac:dyDescent="0.3">
      <c r="A48" s="446"/>
      <c r="B48" s="30"/>
      <c r="C48" s="31"/>
      <c r="D48" s="32" t="s">
        <v>122</v>
      </c>
      <c r="E48" s="33">
        <f t="shared" ref="E48:J48" si="14">SUM(E25:E47)</f>
        <v>35676350</v>
      </c>
      <c r="F48" s="33">
        <f t="shared" si="14"/>
        <v>3417784</v>
      </c>
      <c r="G48" s="33">
        <f t="shared" si="14"/>
        <v>1287650</v>
      </c>
      <c r="H48" s="33">
        <f t="shared" si="14"/>
        <v>2130134</v>
      </c>
      <c r="I48" s="33">
        <f t="shared" si="14"/>
        <v>6126350</v>
      </c>
      <c r="J48" s="33">
        <f t="shared" si="14"/>
        <v>2901216</v>
      </c>
      <c r="K48" s="33"/>
      <c r="L48" s="33">
        <f t="shared" ref="L48:Q48" si="15">SUM(L25:L47)</f>
        <v>2550000</v>
      </c>
      <c r="M48" s="33">
        <f t="shared" si="15"/>
        <v>10765000</v>
      </c>
      <c r="N48" s="33">
        <f t="shared" si="15"/>
        <v>8800000</v>
      </c>
      <c r="O48" s="33">
        <f t="shared" si="15"/>
        <v>1450000</v>
      </c>
      <c r="P48" s="33">
        <f t="shared" si="15"/>
        <v>5985000</v>
      </c>
      <c r="Q48" s="33">
        <f t="shared" si="15"/>
        <v>4367352</v>
      </c>
      <c r="R48" s="33"/>
      <c r="S48" s="96"/>
      <c r="T48" s="76"/>
      <c r="U48" s="34"/>
      <c r="V48" s="34"/>
      <c r="W48" s="34"/>
      <c r="X48" s="34"/>
      <c r="Y48" s="34"/>
      <c r="Z48" s="34"/>
      <c r="AA48" s="34"/>
      <c r="AB48" s="34"/>
      <c r="AC48" s="34"/>
      <c r="AD48" s="34"/>
      <c r="AE48" s="34"/>
      <c r="AF48" s="34"/>
      <c r="AG48" s="34"/>
      <c r="AH48" s="34"/>
      <c r="AI48" s="34"/>
    </row>
    <row r="49" spans="1:41" ht="14.7" customHeight="1" x14ac:dyDescent="0.3">
      <c r="A49" s="95"/>
      <c r="E49" s="53"/>
      <c r="F49" s="54"/>
      <c r="G49" s="54"/>
      <c r="H49" s="54"/>
      <c r="I49" s="56"/>
      <c r="J49" s="56"/>
      <c r="K49" s="56"/>
      <c r="L49" s="56"/>
      <c r="M49" s="56"/>
      <c r="N49" s="56"/>
      <c r="O49" s="56"/>
      <c r="P49" s="56"/>
      <c r="Q49" s="56"/>
      <c r="S49" s="92"/>
      <c r="T49" s="73"/>
      <c r="U49" s="1"/>
      <c r="V49" s="1"/>
      <c r="W49" s="1"/>
      <c r="X49" s="1"/>
      <c r="Y49" s="1"/>
      <c r="Z49" s="1"/>
      <c r="AA49" s="1"/>
      <c r="AB49" s="1"/>
      <c r="AC49" s="1"/>
      <c r="AD49" s="1"/>
      <c r="AE49" s="1"/>
      <c r="AF49" s="1"/>
      <c r="AG49" s="1"/>
      <c r="AH49" s="1"/>
      <c r="AI49" s="1"/>
      <c r="AJ49" s="15"/>
    </row>
    <row r="50" spans="1:41" ht="14.7" customHeight="1" x14ac:dyDescent="0.3">
      <c r="A50" s="447" t="s">
        <v>206</v>
      </c>
      <c r="B50" s="8" t="s">
        <v>207</v>
      </c>
      <c r="C50" s="28" t="s">
        <v>208</v>
      </c>
      <c r="D50" s="10" t="s">
        <v>209</v>
      </c>
      <c r="E50" s="53">
        <f t="shared" ref="E50:E64" si="16">I50+L50+M50+N50+O50+P50</f>
        <v>30000</v>
      </c>
      <c r="F50" s="54">
        <v>30000</v>
      </c>
      <c r="G50" s="54">
        <v>0</v>
      </c>
      <c r="H50" s="54">
        <f t="shared" si="2"/>
        <v>30000</v>
      </c>
      <c r="I50" s="54">
        <v>30000</v>
      </c>
      <c r="J50" s="54">
        <f t="shared" ref="J50:J63" si="17">I50-H50</f>
        <v>0</v>
      </c>
      <c r="K50" s="55" t="s">
        <v>163</v>
      </c>
      <c r="L50" s="56"/>
      <c r="M50" s="56"/>
      <c r="N50" s="56"/>
      <c r="O50" s="56"/>
      <c r="P50" s="56"/>
      <c r="Q50" s="56"/>
      <c r="S50" s="92"/>
      <c r="T50" s="73"/>
      <c r="U50" s="1"/>
      <c r="V50" s="1"/>
      <c r="W50" s="1">
        <v>15000</v>
      </c>
      <c r="X50" s="1"/>
      <c r="Y50" s="1"/>
      <c r="Z50" s="1"/>
      <c r="AA50" s="1"/>
      <c r="AB50" s="1"/>
      <c r="AC50" s="1"/>
      <c r="AD50" s="1"/>
      <c r="AE50" s="1"/>
      <c r="AF50" s="1"/>
      <c r="AG50" s="1"/>
      <c r="AH50" s="1">
        <v>15000</v>
      </c>
      <c r="AI50" s="1"/>
      <c r="AJ50" s="15">
        <f t="shared" ref="AJ50:AJ76" si="18">SUM(T50:AI50)</f>
        <v>30000</v>
      </c>
      <c r="AK50" s="16">
        <f t="shared" ref="AK50:AK64" si="19">I50-AJ50</f>
        <v>0</v>
      </c>
    </row>
    <row r="51" spans="1:41" ht="14.7" customHeight="1" x14ac:dyDescent="0.3">
      <c r="A51" s="448"/>
      <c r="B51" s="8" t="s">
        <v>399</v>
      </c>
      <c r="C51" s="35" t="s">
        <v>210</v>
      </c>
      <c r="E51" s="53">
        <f t="shared" si="16"/>
        <v>257000</v>
      </c>
      <c r="F51" s="54">
        <v>0</v>
      </c>
      <c r="G51" s="54">
        <v>0</v>
      </c>
      <c r="H51" s="54">
        <f>F51-G51</f>
        <v>0</v>
      </c>
      <c r="I51" s="54">
        <v>257000</v>
      </c>
      <c r="J51" s="62">
        <f>I51-H51</f>
        <v>257000</v>
      </c>
      <c r="K51" s="57" t="s">
        <v>12</v>
      </c>
      <c r="L51" s="56"/>
      <c r="M51" s="56"/>
      <c r="N51" s="56"/>
      <c r="O51" s="56"/>
      <c r="P51" s="56"/>
      <c r="Q51" s="56"/>
      <c r="S51" s="92"/>
      <c r="T51" s="73"/>
      <c r="U51" s="1"/>
      <c r="V51" s="1">
        <v>257000</v>
      </c>
      <c r="W51" s="1"/>
      <c r="X51" s="1"/>
      <c r="Y51" s="1"/>
      <c r="Z51" s="1"/>
      <c r="AA51" s="1"/>
      <c r="AB51" s="1"/>
      <c r="AC51" s="1"/>
      <c r="AD51" s="1"/>
      <c r="AE51" s="1"/>
      <c r="AF51" s="1"/>
      <c r="AG51" s="1"/>
      <c r="AH51" s="1"/>
      <c r="AI51" s="1"/>
      <c r="AJ51" s="15">
        <f>SUM(T51:AI51)</f>
        <v>257000</v>
      </c>
      <c r="AK51" s="16">
        <f t="shared" si="19"/>
        <v>0</v>
      </c>
    </row>
    <row r="52" spans="1:41" ht="14.7" customHeight="1" x14ac:dyDescent="0.3">
      <c r="A52" s="448"/>
      <c r="B52" s="8" t="s">
        <v>211</v>
      </c>
      <c r="C52" s="18" t="s">
        <v>212</v>
      </c>
      <c r="E52" s="53">
        <f t="shared" si="16"/>
        <v>165000</v>
      </c>
      <c r="F52" s="54">
        <v>100000</v>
      </c>
      <c r="G52" s="54">
        <v>20000</v>
      </c>
      <c r="H52" s="54">
        <f>F52-G52</f>
        <v>80000</v>
      </c>
      <c r="I52" s="54">
        <v>165000</v>
      </c>
      <c r="J52" s="62">
        <f>I52-H52</f>
        <v>85000</v>
      </c>
      <c r="K52" s="57" t="s">
        <v>12</v>
      </c>
      <c r="L52" s="56"/>
      <c r="M52" s="56"/>
      <c r="N52" s="56"/>
      <c r="O52" s="56"/>
      <c r="P52" s="56"/>
      <c r="Q52" s="56"/>
      <c r="S52" s="92"/>
      <c r="T52" s="73"/>
      <c r="U52" s="1"/>
      <c r="V52" s="1">
        <v>65000</v>
      </c>
      <c r="W52" s="1"/>
      <c r="X52" s="1"/>
      <c r="Y52" s="1"/>
      <c r="Z52" s="1"/>
      <c r="AA52" s="1"/>
      <c r="AB52" s="1"/>
      <c r="AC52" s="1"/>
      <c r="AD52" s="1"/>
      <c r="AE52" s="1"/>
      <c r="AF52" s="1">
        <v>100000</v>
      </c>
      <c r="AG52" s="1"/>
      <c r="AH52" s="1"/>
      <c r="AI52" s="1"/>
      <c r="AJ52" s="15">
        <f>SUM(T52:AI52)</f>
        <v>165000</v>
      </c>
      <c r="AK52" s="16">
        <f t="shared" si="19"/>
        <v>0</v>
      </c>
    </row>
    <row r="53" spans="1:41" ht="14.7" customHeight="1" x14ac:dyDescent="0.3">
      <c r="A53" s="448"/>
      <c r="B53" s="8" t="s">
        <v>403</v>
      </c>
      <c r="C53" s="28" t="s">
        <v>213</v>
      </c>
      <c r="E53" s="53">
        <f t="shared" si="16"/>
        <v>90000</v>
      </c>
      <c r="F53" s="54">
        <v>0</v>
      </c>
      <c r="G53" s="54">
        <v>0</v>
      </c>
      <c r="H53" s="54">
        <f t="shared" si="2"/>
        <v>0</v>
      </c>
      <c r="I53" s="54">
        <v>90000</v>
      </c>
      <c r="J53" s="54">
        <f t="shared" si="17"/>
        <v>90000</v>
      </c>
      <c r="K53" s="57" t="s">
        <v>12</v>
      </c>
      <c r="L53" s="56"/>
      <c r="M53" s="56"/>
      <c r="N53" s="56"/>
      <c r="O53" s="56"/>
      <c r="P53" s="56"/>
      <c r="Q53" s="56"/>
      <c r="S53" s="92"/>
      <c r="T53" s="73"/>
      <c r="U53" s="1"/>
      <c r="V53" s="1"/>
      <c r="W53" s="1"/>
      <c r="X53" s="1"/>
      <c r="Y53" s="1"/>
      <c r="Z53" s="1"/>
      <c r="AA53" s="1"/>
      <c r="AB53" s="1"/>
      <c r="AC53" s="1"/>
      <c r="AD53" s="1"/>
      <c r="AE53" s="1"/>
      <c r="AF53" s="1">
        <v>90000</v>
      </c>
      <c r="AG53" s="1"/>
      <c r="AH53" s="1"/>
      <c r="AI53" s="1"/>
      <c r="AJ53" s="15">
        <f t="shared" si="18"/>
        <v>90000</v>
      </c>
      <c r="AK53" s="16">
        <f t="shared" si="19"/>
        <v>0</v>
      </c>
    </row>
    <row r="54" spans="1:41" ht="14.7" customHeight="1" x14ac:dyDescent="0.3">
      <c r="A54" s="448"/>
      <c r="B54" s="8" t="s">
        <v>402</v>
      </c>
      <c r="C54" s="35" t="s">
        <v>214</v>
      </c>
      <c r="E54" s="53">
        <f t="shared" si="16"/>
        <v>120000</v>
      </c>
      <c r="F54" s="54">
        <v>0</v>
      </c>
      <c r="G54" s="54">
        <v>0</v>
      </c>
      <c r="H54" s="54">
        <f t="shared" si="2"/>
        <v>0</v>
      </c>
      <c r="I54" s="54">
        <v>120000</v>
      </c>
      <c r="J54" s="54">
        <f>I54-H54</f>
        <v>120000</v>
      </c>
      <c r="K54" s="57" t="s">
        <v>12</v>
      </c>
      <c r="L54" s="56"/>
      <c r="M54" s="56"/>
      <c r="N54" s="56"/>
      <c r="O54" s="56"/>
      <c r="P54" s="56"/>
      <c r="Q54" s="56"/>
      <c r="S54" s="92"/>
      <c r="T54" s="73"/>
      <c r="U54" s="1"/>
      <c r="V54" s="1"/>
      <c r="W54" s="1"/>
      <c r="X54" s="1"/>
      <c r="Y54" s="1"/>
      <c r="Z54" s="1"/>
      <c r="AA54" s="1"/>
      <c r="AB54" s="1"/>
      <c r="AC54" s="1"/>
      <c r="AD54" s="1"/>
      <c r="AE54" s="1"/>
      <c r="AF54" s="1">
        <v>120000</v>
      </c>
      <c r="AG54" s="1"/>
      <c r="AH54" s="1"/>
      <c r="AI54" s="1"/>
      <c r="AJ54" s="15">
        <f t="shared" si="18"/>
        <v>120000</v>
      </c>
      <c r="AK54" s="16">
        <f t="shared" si="19"/>
        <v>0</v>
      </c>
    </row>
    <row r="55" spans="1:41" ht="14.7" customHeight="1" x14ac:dyDescent="0.3">
      <c r="A55" s="448"/>
      <c r="B55" s="8" t="s">
        <v>401</v>
      </c>
      <c r="C55" s="35" t="s">
        <v>215</v>
      </c>
      <c r="E55" s="53">
        <f t="shared" si="16"/>
        <v>120000</v>
      </c>
      <c r="F55" s="54">
        <v>0</v>
      </c>
      <c r="G55" s="54">
        <v>0</v>
      </c>
      <c r="H55" s="54">
        <f t="shared" si="2"/>
        <v>0</v>
      </c>
      <c r="I55" s="54">
        <v>120000</v>
      </c>
      <c r="J55" s="54">
        <f>I55-H55</f>
        <v>120000</v>
      </c>
      <c r="K55" s="57" t="s">
        <v>12</v>
      </c>
      <c r="L55" s="56"/>
      <c r="M55" s="56"/>
      <c r="N55" s="56"/>
      <c r="O55" s="56"/>
      <c r="P55" s="56"/>
      <c r="Q55" s="56"/>
      <c r="S55" s="92"/>
      <c r="T55" s="73"/>
      <c r="U55" s="1"/>
      <c r="V55" s="1"/>
      <c r="W55" s="1"/>
      <c r="X55" s="1"/>
      <c r="Y55" s="1"/>
      <c r="Z55" s="1"/>
      <c r="AA55" s="1"/>
      <c r="AB55" s="1"/>
      <c r="AC55" s="1"/>
      <c r="AD55" s="1"/>
      <c r="AE55" s="1"/>
      <c r="AF55" s="1">
        <v>120000</v>
      </c>
      <c r="AG55" s="1"/>
      <c r="AH55" s="1"/>
      <c r="AI55" s="1"/>
      <c r="AJ55" s="15">
        <f t="shared" si="18"/>
        <v>120000</v>
      </c>
      <c r="AK55" s="16">
        <f t="shared" si="19"/>
        <v>0</v>
      </c>
    </row>
    <row r="56" spans="1:41" ht="14.7" customHeight="1" x14ac:dyDescent="0.3">
      <c r="A56" s="448"/>
      <c r="B56" s="8" t="s">
        <v>400</v>
      </c>
      <c r="C56" s="18" t="s">
        <v>216</v>
      </c>
      <c r="E56" s="53">
        <f t="shared" si="16"/>
        <v>4100000</v>
      </c>
      <c r="F56" s="54">
        <v>11900000</v>
      </c>
      <c r="G56" s="54">
        <v>7203000</v>
      </c>
      <c r="H56" s="54">
        <f t="shared" si="2"/>
        <v>4697000</v>
      </c>
      <c r="I56" s="54">
        <v>4100000</v>
      </c>
      <c r="J56" s="54">
        <f t="shared" si="17"/>
        <v>-597000</v>
      </c>
      <c r="K56" s="57" t="s">
        <v>217</v>
      </c>
      <c r="L56" s="56"/>
      <c r="M56" s="56"/>
      <c r="N56" s="56"/>
      <c r="O56" s="56"/>
      <c r="P56" s="56"/>
      <c r="Q56" s="56"/>
      <c r="S56" s="92"/>
      <c r="T56" s="73"/>
      <c r="U56" s="1"/>
      <c r="V56" s="1"/>
      <c r="W56" s="1"/>
      <c r="X56" s="1"/>
      <c r="Y56" s="1"/>
      <c r="Z56" s="1"/>
      <c r="AA56" s="1"/>
      <c r="AB56" s="1"/>
      <c r="AC56" s="1"/>
      <c r="AD56" s="1"/>
      <c r="AE56" s="1"/>
      <c r="AF56" s="1">
        <v>4100000</v>
      </c>
      <c r="AG56" s="1"/>
      <c r="AH56" s="1"/>
      <c r="AI56" s="1"/>
      <c r="AJ56" s="15">
        <f t="shared" si="18"/>
        <v>4100000</v>
      </c>
      <c r="AK56" s="16">
        <f t="shared" si="19"/>
        <v>0</v>
      </c>
    </row>
    <row r="57" spans="1:41" ht="14.7" customHeight="1" x14ac:dyDescent="0.3">
      <c r="A57" s="448"/>
      <c r="B57" s="8" t="s">
        <v>218</v>
      </c>
      <c r="C57" s="18" t="s">
        <v>219</v>
      </c>
      <c r="D57" s="17" t="s">
        <v>220</v>
      </c>
      <c r="E57" s="53">
        <f t="shared" si="16"/>
        <v>2987000</v>
      </c>
      <c r="F57" s="54">
        <v>3200000</v>
      </c>
      <c r="G57" s="62">
        <v>213000</v>
      </c>
      <c r="H57" s="54">
        <f t="shared" si="2"/>
        <v>2987000</v>
      </c>
      <c r="I57" s="54">
        <f>H57</f>
        <v>2987000</v>
      </c>
      <c r="J57" s="54">
        <f t="shared" si="17"/>
        <v>0</v>
      </c>
      <c r="K57" s="57" t="s">
        <v>163</v>
      </c>
      <c r="L57" s="56"/>
      <c r="M57" s="56"/>
      <c r="N57" s="56"/>
      <c r="O57" s="56"/>
      <c r="P57" s="56"/>
      <c r="Q57" s="56">
        <v>764000</v>
      </c>
      <c r="R57" s="14" t="s">
        <v>221</v>
      </c>
      <c r="S57" s="92" t="s">
        <v>222</v>
      </c>
      <c r="T57" s="73"/>
      <c r="U57" s="1">
        <v>680700</v>
      </c>
      <c r="V57" s="1"/>
      <c r="W57" s="1"/>
      <c r="X57" s="1"/>
      <c r="Y57" s="1"/>
      <c r="Z57" s="1"/>
      <c r="AA57" s="1"/>
      <c r="AB57" s="1"/>
      <c r="AC57" s="1"/>
      <c r="AD57" s="1"/>
      <c r="AE57" s="1"/>
      <c r="AF57" s="1">
        <v>2306300</v>
      </c>
      <c r="AG57" s="1"/>
      <c r="AH57" s="1"/>
      <c r="AI57" s="1"/>
      <c r="AJ57" s="15">
        <f t="shared" si="18"/>
        <v>2987000</v>
      </c>
      <c r="AK57" s="16">
        <f t="shared" si="19"/>
        <v>0</v>
      </c>
    </row>
    <row r="58" spans="1:41" ht="14.7" customHeight="1" x14ac:dyDescent="0.3">
      <c r="A58" s="448"/>
      <c r="B58" s="8" t="s">
        <v>223</v>
      </c>
      <c r="C58" s="18" t="s">
        <v>224</v>
      </c>
      <c r="D58" s="18" t="s">
        <v>225</v>
      </c>
      <c r="E58" s="53">
        <f>I58+L58+M58+N58+O58+P58</f>
        <v>50000</v>
      </c>
      <c r="F58" s="54">
        <v>0</v>
      </c>
      <c r="G58" s="54">
        <v>0</v>
      </c>
      <c r="H58" s="54">
        <f>F58-G58</f>
        <v>0</v>
      </c>
      <c r="I58" s="54">
        <v>50000</v>
      </c>
      <c r="J58" s="59">
        <f>I58-H58</f>
        <v>50000</v>
      </c>
      <c r="K58" s="63" t="s">
        <v>226</v>
      </c>
      <c r="L58" s="56"/>
      <c r="M58" s="56"/>
      <c r="N58" s="56"/>
      <c r="O58" s="56"/>
      <c r="P58" s="56"/>
      <c r="Q58" s="56"/>
      <c r="R58" s="14" t="s">
        <v>227</v>
      </c>
      <c r="S58" s="92"/>
      <c r="T58" s="74"/>
      <c r="U58" s="20"/>
      <c r="V58" s="20"/>
      <c r="W58" s="20"/>
      <c r="X58" s="20"/>
      <c r="Y58" s="20"/>
      <c r="Z58" s="20"/>
      <c r="AA58" s="20"/>
      <c r="AB58" s="20"/>
      <c r="AC58" s="20"/>
      <c r="AD58" s="20"/>
      <c r="AE58" s="20"/>
      <c r="AF58" s="20"/>
      <c r="AG58" s="20"/>
      <c r="AH58" s="20"/>
      <c r="AI58" s="20"/>
      <c r="AJ58" s="15">
        <f>SUM(T58:AI58)</f>
        <v>0</v>
      </c>
      <c r="AK58" s="16">
        <f>I58-AJ58</f>
        <v>50000</v>
      </c>
    </row>
    <row r="59" spans="1:41" ht="14.7" customHeight="1" x14ac:dyDescent="0.3">
      <c r="A59" s="448"/>
      <c r="B59" s="8" t="s">
        <v>404</v>
      </c>
      <c r="C59" s="18" t="s">
        <v>228</v>
      </c>
      <c r="E59" s="53">
        <f>I59+L59+M59+N59+O59+P59</f>
        <v>44500</v>
      </c>
      <c r="F59" s="54">
        <v>0</v>
      </c>
      <c r="G59" s="54">
        <v>0</v>
      </c>
      <c r="H59" s="54">
        <f>F59-G59</f>
        <v>0</v>
      </c>
      <c r="I59" s="54">
        <v>8500</v>
      </c>
      <c r="J59" s="54">
        <f>I59-H59</f>
        <v>8500</v>
      </c>
      <c r="K59" s="57" t="s">
        <v>12</v>
      </c>
      <c r="L59" s="56"/>
      <c r="M59" s="56">
        <v>36000</v>
      </c>
      <c r="N59" s="56"/>
      <c r="O59" s="56"/>
      <c r="P59" s="56"/>
      <c r="Q59" s="56"/>
      <c r="S59" s="92"/>
      <c r="T59" s="73"/>
      <c r="U59" s="1"/>
      <c r="V59" s="1"/>
      <c r="W59" s="1"/>
      <c r="X59" s="1"/>
      <c r="Y59" s="1"/>
      <c r="Z59" s="1"/>
      <c r="AA59" s="1"/>
      <c r="AB59" s="1"/>
      <c r="AC59" s="1"/>
      <c r="AD59" s="1"/>
      <c r="AE59" s="1"/>
      <c r="AF59" s="1">
        <v>8500</v>
      </c>
      <c r="AG59" s="1"/>
      <c r="AH59" s="1"/>
      <c r="AI59" s="1"/>
      <c r="AJ59" s="15">
        <f>SUM(T59:AI59)</f>
        <v>8500</v>
      </c>
      <c r="AK59" s="16">
        <f t="shared" si="19"/>
        <v>0</v>
      </c>
    </row>
    <row r="60" spans="1:41" ht="14.7" customHeight="1" x14ac:dyDescent="0.3">
      <c r="A60" s="448"/>
      <c r="B60" s="8" t="s">
        <v>229</v>
      </c>
      <c r="C60" s="18" t="s">
        <v>230</v>
      </c>
      <c r="D60" s="17" t="s">
        <v>231</v>
      </c>
      <c r="E60" s="53">
        <f>I60+L60+M60+N60+O60+P60</f>
        <v>3235000</v>
      </c>
      <c r="F60" s="54">
        <v>200000</v>
      </c>
      <c r="G60" s="54">
        <v>65000</v>
      </c>
      <c r="H60" s="54">
        <f>F60-G60</f>
        <v>135000</v>
      </c>
      <c r="I60" s="54">
        <v>135000</v>
      </c>
      <c r="J60" s="54">
        <f>I60-H60</f>
        <v>0</v>
      </c>
      <c r="K60" s="57" t="s">
        <v>163</v>
      </c>
      <c r="L60" s="56">
        <v>300000</v>
      </c>
      <c r="M60" s="56">
        <v>300000</v>
      </c>
      <c r="N60" s="56">
        <v>2500000</v>
      </c>
      <c r="O60" s="56"/>
      <c r="P60" s="56"/>
      <c r="Q60" s="56"/>
      <c r="S60" s="92"/>
      <c r="T60" s="73"/>
      <c r="U60" s="1"/>
      <c r="V60" s="1"/>
      <c r="W60" s="1" t="s">
        <v>54</v>
      </c>
      <c r="X60" s="1"/>
      <c r="Y60" s="1"/>
      <c r="Z60" s="1"/>
      <c r="AA60" s="1"/>
      <c r="AB60" s="1"/>
      <c r="AC60" s="1"/>
      <c r="AD60" s="1"/>
      <c r="AE60" s="1">
        <v>50000</v>
      </c>
      <c r="AF60" s="1"/>
      <c r="AG60" s="1"/>
      <c r="AH60" s="1">
        <v>85000</v>
      </c>
      <c r="AI60" s="1" t="s">
        <v>54</v>
      </c>
      <c r="AJ60" s="15">
        <f>SUM(T60:AI60)</f>
        <v>135000</v>
      </c>
      <c r="AK60" s="16">
        <f>I60-AJ60</f>
        <v>0</v>
      </c>
      <c r="AO60" s="15"/>
    </row>
    <row r="61" spans="1:41" ht="14.7" customHeight="1" x14ac:dyDescent="0.3">
      <c r="A61" s="448"/>
      <c r="B61" s="8" t="s">
        <v>405</v>
      </c>
      <c r="C61" s="18" t="s">
        <v>232</v>
      </c>
      <c r="E61" s="53">
        <f>I61+L61+M61+N61+O61+P61</f>
        <v>78000</v>
      </c>
      <c r="F61" s="54">
        <v>0</v>
      </c>
      <c r="G61" s="54">
        <v>0</v>
      </c>
      <c r="H61" s="54">
        <f>F61-G61</f>
        <v>0</v>
      </c>
      <c r="I61" s="54"/>
      <c r="J61" s="54">
        <f>I61-H61</f>
        <v>0</v>
      </c>
      <c r="K61" s="57" t="s">
        <v>12</v>
      </c>
      <c r="L61" s="54">
        <v>78000</v>
      </c>
      <c r="M61" s="56"/>
      <c r="N61" s="56"/>
      <c r="O61" s="56"/>
      <c r="P61" s="56"/>
      <c r="Q61" s="56"/>
      <c r="S61" s="92"/>
      <c r="T61" s="73"/>
      <c r="U61" s="1"/>
      <c r="V61" s="1"/>
      <c r="W61" s="1"/>
      <c r="X61" s="1"/>
      <c r="Y61" s="1"/>
      <c r="Z61" s="1"/>
      <c r="AA61" s="1"/>
      <c r="AB61" s="1"/>
      <c r="AC61" s="1"/>
      <c r="AD61" s="1"/>
      <c r="AE61" s="1"/>
      <c r="AF61" s="1"/>
      <c r="AG61" s="1"/>
      <c r="AH61" s="1"/>
      <c r="AI61" s="1"/>
      <c r="AJ61" s="15">
        <f>SUM(T61:AI61)</f>
        <v>0</v>
      </c>
      <c r="AK61" s="16">
        <f>I61-AJ61</f>
        <v>0</v>
      </c>
      <c r="AO61" s="15"/>
    </row>
    <row r="62" spans="1:41" ht="14.7" customHeight="1" x14ac:dyDescent="0.3">
      <c r="A62" s="448"/>
      <c r="B62" s="8" t="s">
        <v>233</v>
      </c>
      <c r="C62" s="18" t="s">
        <v>234</v>
      </c>
      <c r="D62" s="10" t="s">
        <v>235</v>
      </c>
      <c r="E62" s="53">
        <f>I62+L62+M62+N62+O62+P62</f>
        <v>100000</v>
      </c>
      <c r="F62" s="54">
        <v>0</v>
      </c>
      <c r="G62" s="54">
        <v>0</v>
      </c>
      <c r="H62" s="54">
        <f>F62-G62</f>
        <v>0</v>
      </c>
      <c r="I62" s="56"/>
      <c r="J62" s="56">
        <f>I62-H62</f>
        <v>0</v>
      </c>
      <c r="K62" s="57" t="s">
        <v>12</v>
      </c>
      <c r="L62" s="56">
        <v>100000</v>
      </c>
      <c r="M62" s="56"/>
      <c r="N62" s="56"/>
      <c r="O62" s="56"/>
      <c r="P62" s="56"/>
      <c r="Q62" s="54"/>
      <c r="S62" s="92"/>
      <c r="T62" s="73"/>
      <c r="U62" s="1"/>
      <c r="V62" s="1"/>
      <c r="W62" s="1"/>
      <c r="X62" s="1"/>
      <c r="Y62" s="1"/>
      <c r="Z62" s="1"/>
      <c r="AA62" s="1"/>
      <c r="AB62" s="1"/>
      <c r="AC62" s="1"/>
      <c r="AD62" s="1"/>
      <c r="AE62" s="1"/>
      <c r="AF62" s="1"/>
      <c r="AG62" s="1"/>
      <c r="AH62" s="1"/>
      <c r="AI62" s="1"/>
      <c r="AJ62" s="15">
        <f>SUM(T62:AI62)</f>
        <v>0</v>
      </c>
      <c r="AK62" s="16">
        <f>I62-AJ62</f>
        <v>0</v>
      </c>
    </row>
    <row r="63" spans="1:41" ht="14.7" customHeight="1" x14ac:dyDescent="0.3">
      <c r="A63" s="448"/>
      <c r="B63" s="8" t="s">
        <v>236</v>
      </c>
      <c r="C63" s="18" t="s">
        <v>237</v>
      </c>
      <c r="E63" s="53">
        <f t="shared" si="16"/>
        <v>141000</v>
      </c>
      <c r="F63" s="54">
        <v>0</v>
      </c>
      <c r="G63" s="54">
        <v>0</v>
      </c>
      <c r="H63" s="54">
        <f t="shared" si="2"/>
        <v>0</v>
      </c>
      <c r="I63" s="54"/>
      <c r="J63" s="54">
        <f t="shared" si="17"/>
        <v>0</v>
      </c>
      <c r="K63" s="57" t="s">
        <v>12</v>
      </c>
      <c r="L63" s="56"/>
      <c r="M63" s="56">
        <v>141000</v>
      </c>
      <c r="N63" s="56"/>
      <c r="O63" s="56"/>
      <c r="P63" s="56"/>
      <c r="Q63" s="56"/>
      <c r="S63" s="92"/>
      <c r="T63" s="73"/>
      <c r="U63" s="1"/>
      <c r="V63" s="1"/>
      <c r="W63" s="1"/>
      <c r="X63" s="1"/>
      <c r="Y63" s="1"/>
      <c r="Z63" s="1"/>
      <c r="AA63" s="1"/>
      <c r="AB63" s="1"/>
      <c r="AC63" s="1"/>
      <c r="AD63" s="1"/>
      <c r="AE63" s="1"/>
      <c r="AF63" s="1"/>
      <c r="AG63" s="1"/>
      <c r="AH63" s="1"/>
      <c r="AI63" s="1"/>
      <c r="AJ63" s="15">
        <f t="shared" si="18"/>
        <v>0</v>
      </c>
      <c r="AK63" s="16">
        <f t="shared" si="19"/>
        <v>0</v>
      </c>
    </row>
    <row r="64" spans="1:41" ht="14.7" customHeight="1" x14ac:dyDescent="0.3">
      <c r="A64" s="448"/>
      <c r="B64" s="8" t="s">
        <v>238</v>
      </c>
      <c r="C64" s="18" t="s">
        <v>239</v>
      </c>
      <c r="D64" s="17" t="s">
        <v>240</v>
      </c>
      <c r="E64" s="53">
        <f t="shared" si="16"/>
        <v>2000000</v>
      </c>
      <c r="F64" s="54">
        <v>0</v>
      </c>
      <c r="G64" s="54">
        <v>0</v>
      </c>
      <c r="H64" s="54">
        <f>F64-G64</f>
        <v>0</v>
      </c>
      <c r="I64" s="54"/>
      <c r="J64" s="54">
        <f>I64-H64</f>
        <v>0</v>
      </c>
      <c r="K64" s="57" t="s">
        <v>12</v>
      </c>
      <c r="L64" s="56"/>
      <c r="M64" s="56"/>
      <c r="N64" s="56"/>
      <c r="O64" s="56"/>
      <c r="P64" s="56">
        <v>2000000</v>
      </c>
      <c r="Q64" s="56"/>
      <c r="S64" s="92"/>
      <c r="T64" s="73"/>
      <c r="U64" s="1"/>
      <c r="V64" s="1"/>
      <c r="W64" s="1"/>
      <c r="X64" s="1"/>
      <c r="Y64" s="1"/>
      <c r="Z64" s="1"/>
      <c r="AA64" s="1"/>
      <c r="AB64" s="1"/>
      <c r="AC64" s="1"/>
      <c r="AD64" s="1"/>
      <c r="AE64" s="1"/>
      <c r="AF64" s="1"/>
      <c r="AG64" s="1"/>
      <c r="AH64" s="1"/>
      <c r="AI64" s="1"/>
      <c r="AJ64" s="15">
        <f>SUM(T64:AI64)</f>
        <v>0</v>
      </c>
      <c r="AK64" s="16">
        <f t="shared" si="19"/>
        <v>0</v>
      </c>
    </row>
    <row r="65" spans="1:37" s="26" customFormat="1" ht="14.7" customHeight="1" x14ac:dyDescent="0.3">
      <c r="A65" s="449"/>
      <c r="B65" s="36"/>
      <c r="C65" s="37"/>
      <c r="D65" s="38" t="s">
        <v>122</v>
      </c>
      <c r="E65" s="39">
        <f t="shared" ref="E65:J65" si="20">SUM(E50:E64)</f>
        <v>13517500</v>
      </c>
      <c r="F65" s="39">
        <f t="shared" si="20"/>
        <v>15430000</v>
      </c>
      <c r="G65" s="39">
        <f t="shared" si="20"/>
        <v>7501000</v>
      </c>
      <c r="H65" s="39">
        <f t="shared" si="20"/>
        <v>7929000</v>
      </c>
      <c r="I65" s="39">
        <f t="shared" si="20"/>
        <v>8062500</v>
      </c>
      <c r="J65" s="39">
        <f t="shared" si="20"/>
        <v>133500</v>
      </c>
      <c r="K65" s="40" t="s">
        <v>241</v>
      </c>
      <c r="L65" s="39">
        <f t="shared" ref="L65:Q65" si="21">SUM(L50:L64)</f>
        <v>478000</v>
      </c>
      <c r="M65" s="39">
        <f t="shared" si="21"/>
        <v>477000</v>
      </c>
      <c r="N65" s="39">
        <f t="shared" si="21"/>
        <v>2500000</v>
      </c>
      <c r="O65" s="39">
        <f t="shared" si="21"/>
        <v>0</v>
      </c>
      <c r="P65" s="39">
        <f t="shared" si="21"/>
        <v>2000000</v>
      </c>
      <c r="Q65" s="39">
        <f t="shared" si="21"/>
        <v>764000</v>
      </c>
      <c r="R65" s="39"/>
      <c r="S65" s="97"/>
      <c r="T65" s="77"/>
      <c r="U65" s="41"/>
      <c r="V65" s="41"/>
      <c r="W65" s="41"/>
      <c r="X65" s="41"/>
      <c r="Y65" s="41"/>
      <c r="Z65" s="41"/>
      <c r="AA65" s="41"/>
      <c r="AB65" s="41"/>
      <c r="AC65" s="41"/>
      <c r="AD65" s="41"/>
      <c r="AE65" s="41"/>
      <c r="AF65" s="41"/>
      <c r="AG65" s="41"/>
      <c r="AH65" s="41"/>
      <c r="AI65" s="41"/>
    </row>
    <row r="66" spans="1:37" ht="14.7" customHeight="1" x14ac:dyDescent="0.3">
      <c r="A66" s="95"/>
      <c r="E66" s="53"/>
      <c r="F66" s="54"/>
      <c r="G66" s="54"/>
      <c r="H66" s="54"/>
      <c r="I66" s="56"/>
      <c r="J66" s="56"/>
      <c r="K66" s="56"/>
      <c r="L66" s="56"/>
      <c r="M66" s="56"/>
      <c r="N66" s="56"/>
      <c r="O66" s="56"/>
      <c r="P66" s="56"/>
      <c r="Q66" s="56"/>
      <c r="S66" s="92"/>
      <c r="T66" s="73"/>
      <c r="U66" s="1"/>
      <c r="V66" s="1"/>
      <c r="W66" s="1"/>
      <c r="X66" s="1"/>
      <c r="Y66" s="1"/>
      <c r="Z66" s="1"/>
      <c r="AA66" s="1"/>
      <c r="AB66" s="1"/>
      <c r="AC66" s="1"/>
      <c r="AD66" s="1"/>
      <c r="AE66" s="1"/>
      <c r="AF66" s="1"/>
      <c r="AG66" s="1"/>
      <c r="AH66" s="1"/>
      <c r="AI66" s="1"/>
      <c r="AJ66" s="15"/>
    </row>
    <row r="67" spans="1:37" ht="14.7" customHeight="1" x14ac:dyDescent="0.3">
      <c r="A67" s="435" t="s">
        <v>242</v>
      </c>
      <c r="B67" s="8" t="s">
        <v>406</v>
      </c>
      <c r="C67" s="28" t="s">
        <v>243</v>
      </c>
      <c r="D67" s="42"/>
      <c r="E67" s="53">
        <f t="shared" ref="E67:E76" si="22">I67+L67+M67+N67+O67+P67</f>
        <v>500000</v>
      </c>
      <c r="F67" s="54">
        <v>0</v>
      </c>
      <c r="G67" s="54">
        <v>75000</v>
      </c>
      <c r="H67" s="54">
        <f>F67-G67</f>
        <v>-75000</v>
      </c>
      <c r="I67" s="54">
        <v>500000</v>
      </c>
      <c r="J67" s="54">
        <f>I67-H67</f>
        <v>575000</v>
      </c>
      <c r="K67" s="57" t="s">
        <v>244</v>
      </c>
      <c r="L67" s="54"/>
      <c r="M67" s="54"/>
      <c r="N67" s="54"/>
      <c r="O67" s="54"/>
      <c r="P67" s="54"/>
      <c r="Q67" s="54"/>
      <c r="S67" s="92"/>
      <c r="T67" s="73"/>
      <c r="U67" s="1"/>
      <c r="V67" s="1"/>
      <c r="W67" s="1"/>
      <c r="X67" s="1"/>
      <c r="Y67" s="1"/>
      <c r="Z67" s="1"/>
      <c r="AA67" s="1"/>
      <c r="AB67" s="1"/>
      <c r="AC67" s="1"/>
      <c r="AD67" s="1"/>
      <c r="AE67" s="1"/>
      <c r="AF67" s="1"/>
      <c r="AG67" s="1"/>
      <c r="AH67" s="1">
        <v>425000</v>
      </c>
      <c r="AI67" s="1"/>
      <c r="AJ67" s="15">
        <f>SUM(T67:AI67)</f>
        <v>425000</v>
      </c>
      <c r="AK67" s="16">
        <f>I67-AJ67</f>
        <v>75000</v>
      </c>
    </row>
    <row r="68" spans="1:37" ht="14.7" customHeight="1" x14ac:dyDescent="0.3">
      <c r="A68" s="436"/>
      <c r="B68" s="8" t="s">
        <v>245</v>
      </c>
      <c r="C68" s="28" t="s">
        <v>246</v>
      </c>
      <c r="D68" s="42" t="s">
        <v>247</v>
      </c>
      <c r="E68" s="53">
        <f t="shared" si="22"/>
        <v>6631000</v>
      </c>
      <c r="F68" s="54">
        <v>250000</v>
      </c>
      <c r="G68" s="54">
        <v>30000</v>
      </c>
      <c r="H68" s="54">
        <f>F68-G68</f>
        <v>220000</v>
      </c>
      <c r="I68" s="54">
        <v>1131000</v>
      </c>
      <c r="J68" s="54">
        <f>I68-H68</f>
        <v>911000</v>
      </c>
      <c r="K68" s="57" t="s">
        <v>248</v>
      </c>
      <c r="L68" s="54">
        <v>5500000</v>
      </c>
      <c r="M68" s="54"/>
      <c r="N68" s="54"/>
      <c r="O68" s="54"/>
      <c r="P68" s="54"/>
      <c r="Q68" s="54">
        <v>911000</v>
      </c>
      <c r="R68" s="14" t="s">
        <v>249</v>
      </c>
      <c r="S68" s="92" t="s">
        <v>250</v>
      </c>
      <c r="T68" s="73"/>
      <c r="U68" s="1"/>
      <c r="V68" s="1"/>
      <c r="W68" s="1"/>
      <c r="X68" s="1"/>
      <c r="Y68" s="1"/>
      <c r="Z68" s="1"/>
      <c r="AA68" s="1"/>
      <c r="AB68" s="1"/>
      <c r="AC68" s="1"/>
      <c r="AD68" s="1"/>
      <c r="AE68" s="1"/>
      <c r="AF68" s="1"/>
      <c r="AG68" s="1"/>
      <c r="AH68" s="1">
        <v>1131000</v>
      </c>
      <c r="AI68" s="1"/>
      <c r="AJ68" s="15">
        <f>SUM(T68:AI68)</f>
        <v>1131000</v>
      </c>
      <c r="AK68" s="16">
        <f>I68-AJ68</f>
        <v>0</v>
      </c>
    </row>
    <row r="69" spans="1:37" ht="14.7" customHeight="1" x14ac:dyDescent="0.3">
      <c r="A69" s="436"/>
      <c r="B69" s="8" t="s">
        <v>251</v>
      </c>
      <c r="C69" s="28" t="s">
        <v>252</v>
      </c>
      <c r="D69" s="43" t="s">
        <v>253</v>
      </c>
      <c r="E69" s="53">
        <f t="shared" si="22"/>
        <v>3400000</v>
      </c>
      <c r="F69" s="54">
        <v>0</v>
      </c>
      <c r="G69" s="54">
        <v>0</v>
      </c>
      <c r="H69" s="54">
        <f>F69-G69</f>
        <v>0</v>
      </c>
      <c r="I69" s="54">
        <v>280000</v>
      </c>
      <c r="J69" s="54">
        <f>I69-H69</f>
        <v>280000</v>
      </c>
      <c r="K69" s="57" t="s">
        <v>254</v>
      </c>
      <c r="L69" s="56">
        <v>300000</v>
      </c>
      <c r="M69" s="54">
        <v>2820000</v>
      </c>
      <c r="N69" s="54"/>
      <c r="O69" s="54"/>
      <c r="P69" s="54"/>
      <c r="Q69" s="54"/>
      <c r="S69" s="92"/>
      <c r="T69" s="73"/>
      <c r="U69" s="1"/>
      <c r="V69" s="1"/>
      <c r="W69" s="1"/>
      <c r="X69" s="1"/>
      <c r="Y69" s="1"/>
      <c r="Z69" s="1"/>
      <c r="AA69" s="1"/>
      <c r="AB69" s="1"/>
      <c r="AC69" s="1"/>
      <c r="AD69" s="1"/>
      <c r="AE69" s="1"/>
      <c r="AF69" s="1"/>
      <c r="AG69" s="1"/>
      <c r="AH69" s="1">
        <v>280000</v>
      </c>
      <c r="AI69" s="1"/>
      <c r="AJ69" s="15">
        <f>SUM(T69:AI69)</f>
        <v>280000</v>
      </c>
      <c r="AK69" s="16">
        <f>I69-AJ69</f>
        <v>0</v>
      </c>
    </row>
    <row r="70" spans="1:37" ht="14.7" customHeight="1" x14ac:dyDescent="0.3">
      <c r="A70" s="436"/>
      <c r="B70" s="8" t="s">
        <v>255</v>
      </c>
      <c r="C70" s="28" t="s">
        <v>256</v>
      </c>
      <c r="D70" s="42" t="s">
        <v>257</v>
      </c>
      <c r="E70" s="53">
        <f t="shared" si="22"/>
        <v>1765000</v>
      </c>
      <c r="F70" s="54"/>
      <c r="G70" s="54">
        <v>0</v>
      </c>
      <c r="H70" s="54">
        <f>F70-G70</f>
        <v>0</v>
      </c>
      <c r="I70" s="54">
        <v>265000</v>
      </c>
      <c r="J70" s="59">
        <f>I70-H70</f>
        <v>265000</v>
      </c>
      <c r="K70" s="63" t="s">
        <v>258</v>
      </c>
      <c r="L70" s="54"/>
      <c r="M70" s="54">
        <v>1500000</v>
      </c>
      <c r="N70" s="54"/>
      <c r="O70" s="54"/>
      <c r="P70" s="54"/>
      <c r="Q70" s="54">
        <v>225000</v>
      </c>
      <c r="R70" s="14" t="s">
        <v>259</v>
      </c>
      <c r="S70" s="92" t="s">
        <v>78</v>
      </c>
      <c r="T70" s="74"/>
      <c r="U70" s="20"/>
      <c r="V70" s="20"/>
      <c r="W70" s="20"/>
      <c r="X70" s="20"/>
      <c r="Y70" s="20"/>
      <c r="Z70" s="20"/>
      <c r="AA70" s="20"/>
      <c r="AB70" s="20"/>
      <c r="AC70" s="20"/>
      <c r="AD70" s="20"/>
      <c r="AE70" s="20"/>
      <c r="AF70" s="20"/>
      <c r="AG70" s="20"/>
      <c r="AH70" s="20" t="s">
        <v>54</v>
      </c>
      <c r="AI70" s="20" t="s">
        <v>54</v>
      </c>
      <c r="AJ70" s="15">
        <f>SUM(T70:AI70)</f>
        <v>0</v>
      </c>
      <c r="AK70" s="16">
        <f>I70-AJ70</f>
        <v>265000</v>
      </c>
    </row>
    <row r="71" spans="1:37" ht="14.7" customHeight="1" x14ac:dyDescent="0.3">
      <c r="A71" s="436"/>
      <c r="B71" s="8" t="s">
        <v>260</v>
      </c>
      <c r="C71" s="28" t="s">
        <v>261</v>
      </c>
      <c r="D71" s="42" t="s">
        <v>262</v>
      </c>
      <c r="E71" s="53">
        <f t="shared" si="22"/>
        <v>10600000</v>
      </c>
      <c r="F71" s="54">
        <v>0</v>
      </c>
      <c r="G71" s="54">
        <v>0</v>
      </c>
      <c r="H71" s="54">
        <f>F71-G71</f>
        <v>0</v>
      </c>
      <c r="I71" s="54">
        <v>500000</v>
      </c>
      <c r="J71" s="54">
        <f>I71-H71</f>
        <v>500000</v>
      </c>
      <c r="K71" s="64" t="s">
        <v>263</v>
      </c>
      <c r="L71" s="54">
        <v>500000</v>
      </c>
      <c r="M71" s="54">
        <v>600000</v>
      </c>
      <c r="N71" s="54">
        <v>9000000</v>
      </c>
      <c r="O71" s="54"/>
      <c r="P71" s="54"/>
      <c r="Q71" s="54">
        <v>500000</v>
      </c>
      <c r="R71" s="14" t="s">
        <v>264</v>
      </c>
      <c r="S71" s="92" t="s">
        <v>265</v>
      </c>
      <c r="T71" s="73"/>
      <c r="U71" s="1"/>
      <c r="V71" s="1"/>
      <c r="W71" s="1"/>
      <c r="X71" s="1"/>
      <c r="Y71" s="1"/>
      <c r="Z71" s="1"/>
      <c r="AA71" s="1"/>
      <c r="AB71" s="1"/>
      <c r="AC71" s="1"/>
      <c r="AD71" s="1"/>
      <c r="AE71" s="1"/>
      <c r="AF71" s="1"/>
      <c r="AG71" s="1"/>
      <c r="AH71" s="1">
        <v>500000</v>
      </c>
      <c r="AI71" s="1"/>
      <c r="AJ71" s="15">
        <f>SUM(T71:AI71)</f>
        <v>500000</v>
      </c>
      <c r="AK71" s="16">
        <f>I71-AJ71</f>
        <v>0</v>
      </c>
    </row>
    <row r="72" spans="1:37" ht="14.7" customHeight="1" x14ac:dyDescent="0.3">
      <c r="A72" s="436"/>
      <c r="B72" s="8" t="s">
        <v>266</v>
      </c>
      <c r="C72" s="28" t="s">
        <v>267</v>
      </c>
      <c r="D72" s="42" t="s">
        <v>268</v>
      </c>
      <c r="E72" s="53">
        <f t="shared" si="22"/>
        <v>6000000</v>
      </c>
      <c r="F72" s="54">
        <v>0</v>
      </c>
      <c r="G72" s="54">
        <v>0</v>
      </c>
      <c r="H72" s="54">
        <f t="shared" ref="H72:H76" si="23">F72-G72</f>
        <v>0</v>
      </c>
      <c r="I72" s="54"/>
      <c r="J72" s="54">
        <f t="shared" ref="J72:J76" si="24">I72-H72</f>
        <v>0</v>
      </c>
      <c r="K72" s="57" t="s">
        <v>12</v>
      </c>
      <c r="L72" s="54">
        <v>400000</v>
      </c>
      <c r="M72" s="54">
        <v>400000</v>
      </c>
      <c r="N72" s="54">
        <v>5200000</v>
      </c>
      <c r="O72" s="54"/>
      <c r="P72" s="54"/>
      <c r="Q72" s="54"/>
      <c r="S72" s="92"/>
      <c r="T72" s="73"/>
      <c r="U72" s="1"/>
      <c r="V72" s="1"/>
      <c r="W72" s="1"/>
      <c r="X72" s="1"/>
      <c r="Y72" s="1"/>
      <c r="Z72" s="1"/>
      <c r="AA72" s="1"/>
      <c r="AB72" s="1"/>
      <c r="AC72" s="1"/>
      <c r="AD72" s="1"/>
      <c r="AE72" s="1"/>
      <c r="AF72" s="1"/>
      <c r="AG72" s="1"/>
      <c r="AH72" s="1" t="s">
        <v>54</v>
      </c>
      <c r="AI72" s="1"/>
      <c r="AJ72" s="15">
        <f t="shared" si="18"/>
        <v>0</v>
      </c>
      <c r="AK72" s="16">
        <f t="shared" ref="AK72:AK76" si="25">I72-AJ72</f>
        <v>0</v>
      </c>
    </row>
    <row r="73" spans="1:37" ht="14.7" customHeight="1" x14ac:dyDescent="0.3">
      <c r="A73" s="436"/>
      <c r="B73" s="8" t="s">
        <v>269</v>
      </c>
      <c r="C73" s="28" t="s">
        <v>270</v>
      </c>
      <c r="D73" s="42" t="s">
        <v>271</v>
      </c>
      <c r="E73" s="53">
        <f t="shared" si="22"/>
        <v>5000000</v>
      </c>
      <c r="F73" s="54">
        <v>0</v>
      </c>
      <c r="G73" s="54">
        <v>0</v>
      </c>
      <c r="H73" s="54">
        <f>F73-G73</f>
        <v>0</v>
      </c>
      <c r="I73" s="54"/>
      <c r="J73" s="54">
        <f>I73-H73</f>
        <v>0</v>
      </c>
      <c r="K73" s="57" t="s">
        <v>12</v>
      </c>
      <c r="L73" s="54">
        <v>400000</v>
      </c>
      <c r="M73" s="54">
        <v>400000</v>
      </c>
      <c r="N73" s="54">
        <v>4200000</v>
      </c>
      <c r="O73" s="54"/>
      <c r="P73" s="54"/>
      <c r="Q73" s="54"/>
      <c r="S73" s="92"/>
      <c r="T73" s="73"/>
      <c r="U73" s="1"/>
      <c r="V73" s="1"/>
      <c r="W73" s="1"/>
      <c r="X73" s="1"/>
      <c r="Y73" s="1"/>
      <c r="Z73" s="1"/>
      <c r="AA73" s="1"/>
      <c r="AB73" s="1"/>
      <c r="AC73" s="1"/>
      <c r="AD73" s="1"/>
      <c r="AE73" s="1"/>
      <c r="AF73" s="1"/>
      <c r="AG73" s="1"/>
      <c r="AH73" s="1" t="s">
        <v>54</v>
      </c>
      <c r="AI73" s="1"/>
      <c r="AJ73" s="15">
        <f>SUM(T73:AI73)</f>
        <v>0</v>
      </c>
      <c r="AK73" s="16">
        <f>I73-AJ73</f>
        <v>0</v>
      </c>
    </row>
    <row r="74" spans="1:37" ht="14.7" customHeight="1" x14ac:dyDescent="0.3">
      <c r="A74" s="436"/>
      <c r="B74" s="8" t="s">
        <v>272</v>
      </c>
      <c r="C74" s="28" t="s">
        <v>273</v>
      </c>
      <c r="D74" s="42" t="s">
        <v>274</v>
      </c>
      <c r="E74" s="53">
        <f t="shared" si="22"/>
        <v>740000</v>
      </c>
      <c r="F74" s="54">
        <v>150000</v>
      </c>
      <c r="G74" s="54">
        <v>70000</v>
      </c>
      <c r="H74" s="54">
        <f t="shared" si="23"/>
        <v>80000</v>
      </c>
      <c r="I74" s="54"/>
      <c r="J74" s="54">
        <f t="shared" si="24"/>
        <v>-80000</v>
      </c>
      <c r="K74" s="57" t="s">
        <v>275</v>
      </c>
      <c r="L74" s="54"/>
      <c r="M74" s="54">
        <v>740000</v>
      </c>
      <c r="N74" s="54"/>
      <c r="O74" s="54"/>
      <c r="P74" s="54"/>
      <c r="Q74" s="54"/>
      <c r="S74" s="92"/>
      <c r="T74" s="73"/>
      <c r="U74" s="1"/>
      <c r="V74" s="1"/>
      <c r="W74" s="1"/>
      <c r="X74" s="1"/>
      <c r="Y74" s="1"/>
      <c r="Z74" s="1"/>
      <c r="AA74" s="1"/>
      <c r="AB74" s="1"/>
      <c r="AC74" s="1"/>
      <c r="AD74" s="1"/>
      <c r="AE74" s="1"/>
      <c r="AF74" s="1"/>
      <c r="AG74" s="1"/>
      <c r="AH74" s="1" t="s">
        <v>54</v>
      </c>
      <c r="AI74" s="1"/>
      <c r="AJ74" s="15">
        <f t="shared" si="18"/>
        <v>0</v>
      </c>
      <c r="AK74" s="16">
        <f t="shared" si="25"/>
        <v>0</v>
      </c>
    </row>
    <row r="75" spans="1:37" ht="14.7" customHeight="1" x14ac:dyDescent="0.3">
      <c r="A75" s="436"/>
      <c r="B75" s="8" t="s">
        <v>407</v>
      </c>
      <c r="C75" s="28" t="s">
        <v>276</v>
      </c>
      <c r="D75" s="42" t="s">
        <v>277</v>
      </c>
      <c r="E75" s="53">
        <f t="shared" si="22"/>
        <v>7500000</v>
      </c>
      <c r="F75" s="54">
        <v>0</v>
      </c>
      <c r="G75" s="54">
        <v>0</v>
      </c>
      <c r="H75" s="54">
        <f>F75-G75</f>
        <v>0</v>
      </c>
      <c r="I75" s="54"/>
      <c r="J75" s="54">
        <f>I75-H75</f>
        <v>0</v>
      </c>
      <c r="K75" s="57" t="s">
        <v>12</v>
      </c>
      <c r="L75" s="54"/>
      <c r="M75" s="54">
        <v>300000</v>
      </c>
      <c r="N75" s="54"/>
      <c r="O75" s="54">
        <v>7200000</v>
      </c>
      <c r="P75" s="54"/>
      <c r="Q75" s="54"/>
      <c r="S75" s="92"/>
      <c r="T75" s="73"/>
      <c r="U75" s="1"/>
      <c r="V75" s="1"/>
      <c r="W75" s="1"/>
      <c r="X75" s="1"/>
      <c r="Y75" s="1"/>
      <c r="Z75" s="1"/>
      <c r="AA75" s="1"/>
      <c r="AB75" s="1"/>
      <c r="AC75" s="1"/>
      <c r="AD75" s="1"/>
      <c r="AE75" s="1"/>
      <c r="AF75" s="1"/>
      <c r="AG75" s="1"/>
      <c r="AH75" s="1"/>
      <c r="AI75" s="1"/>
      <c r="AJ75" s="15">
        <f>SUM(T75:AI75)</f>
        <v>0</v>
      </c>
      <c r="AK75" s="16">
        <f>I75-AJ75</f>
        <v>0</v>
      </c>
    </row>
    <row r="76" spans="1:37" ht="14.7" customHeight="1" x14ac:dyDescent="0.3">
      <c r="A76" s="436"/>
      <c r="B76" s="8" t="s">
        <v>278</v>
      </c>
      <c r="C76" s="28" t="s">
        <v>279</v>
      </c>
      <c r="D76" s="42" t="s">
        <v>280</v>
      </c>
      <c r="E76" s="53">
        <f t="shared" si="22"/>
        <v>2040000</v>
      </c>
      <c r="F76" s="54">
        <v>0</v>
      </c>
      <c r="G76" s="54">
        <v>0</v>
      </c>
      <c r="H76" s="54">
        <f t="shared" si="23"/>
        <v>0</v>
      </c>
      <c r="I76" s="54"/>
      <c r="J76" s="54">
        <f t="shared" si="24"/>
        <v>0</v>
      </c>
      <c r="K76" s="57" t="s">
        <v>12</v>
      </c>
      <c r="L76" s="54"/>
      <c r="M76" s="54"/>
      <c r="N76" s="54"/>
      <c r="O76" s="54">
        <v>340000</v>
      </c>
      <c r="P76" s="54">
        <v>1700000</v>
      </c>
      <c r="Q76" s="54"/>
      <c r="S76" s="92"/>
      <c r="T76" s="73"/>
      <c r="U76" s="1"/>
      <c r="V76" s="1"/>
      <c r="W76" s="1"/>
      <c r="X76" s="1"/>
      <c r="Y76" s="1"/>
      <c r="Z76" s="1"/>
      <c r="AA76" s="1"/>
      <c r="AB76" s="1"/>
      <c r="AC76" s="1"/>
      <c r="AD76" s="1"/>
      <c r="AE76" s="1"/>
      <c r="AF76" s="1"/>
      <c r="AG76" s="1"/>
      <c r="AH76" s="1" t="s">
        <v>54</v>
      </c>
      <c r="AI76" s="1"/>
      <c r="AJ76" s="15">
        <f t="shared" si="18"/>
        <v>0</v>
      </c>
      <c r="AK76" s="16">
        <f t="shared" si="25"/>
        <v>0</v>
      </c>
    </row>
    <row r="77" spans="1:37" s="27" customFormat="1" ht="14.7" customHeight="1" thickBot="1" x14ac:dyDescent="0.35">
      <c r="A77" s="437"/>
      <c r="B77" s="65"/>
      <c r="C77" s="66"/>
      <c r="D77" s="67" t="s">
        <v>122</v>
      </c>
      <c r="E77" s="68">
        <f t="shared" ref="E77:Q77" si="26">SUM(E67:E76)</f>
        <v>44176000</v>
      </c>
      <c r="F77" s="68">
        <f t="shared" si="26"/>
        <v>400000</v>
      </c>
      <c r="G77" s="68">
        <f t="shared" si="26"/>
        <v>175000</v>
      </c>
      <c r="H77" s="68">
        <f t="shared" si="26"/>
        <v>225000</v>
      </c>
      <c r="I77" s="68">
        <f t="shared" si="26"/>
        <v>2676000</v>
      </c>
      <c r="J77" s="68">
        <f t="shared" si="26"/>
        <v>2451000</v>
      </c>
      <c r="K77" s="68">
        <f t="shared" si="26"/>
        <v>0</v>
      </c>
      <c r="L77" s="68">
        <f t="shared" si="26"/>
        <v>7100000</v>
      </c>
      <c r="M77" s="68">
        <f t="shared" si="26"/>
        <v>6760000</v>
      </c>
      <c r="N77" s="68">
        <f t="shared" si="26"/>
        <v>18400000</v>
      </c>
      <c r="O77" s="68">
        <f t="shared" si="26"/>
        <v>7540000</v>
      </c>
      <c r="P77" s="68">
        <f t="shared" si="26"/>
        <v>1700000</v>
      </c>
      <c r="Q77" s="68">
        <f t="shared" si="26"/>
        <v>1636000</v>
      </c>
      <c r="R77" s="68"/>
      <c r="S77" s="98"/>
      <c r="T77" s="78"/>
      <c r="U77" s="44"/>
      <c r="V77" s="44"/>
      <c r="W77" s="44"/>
      <c r="X77" s="44"/>
      <c r="Y77" s="44"/>
      <c r="Z77" s="44"/>
      <c r="AA77" s="44"/>
      <c r="AB77" s="44"/>
      <c r="AC77" s="44"/>
      <c r="AD77" s="44"/>
      <c r="AE77" s="44"/>
      <c r="AF77" s="44"/>
      <c r="AG77" s="44"/>
      <c r="AH77" s="44"/>
      <c r="AI77" s="44"/>
    </row>
    <row r="78" spans="1:37" s="47" customFormat="1" ht="21.45" customHeight="1" thickBot="1" x14ac:dyDescent="0.35">
      <c r="A78" s="69"/>
      <c r="B78" s="70"/>
      <c r="C78" s="70"/>
      <c r="D78" s="70"/>
      <c r="E78" s="71">
        <f t="shared" ref="E78:Q78" si="27">SUM(E23+E48+E65+E77)</f>
        <v>150044850</v>
      </c>
      <c r="F78" s="71">
        <f t="shared" si="27"/>
        <v>27253196</v>
      </c>
      <c r="G78" s="71">
        <f t="shared" si="27"/>
        <v>11406650</v>
      </c>
      <c r="H78" s="71">
        <f t="shared" si="27"/>
        <v>15846546</v>
      </c>
      <c r="I78" s="71">
        <f t="shared" si="27"/>
        <v>26084850</v>
      </c>
      <c r="J78" s="71">
        <f t="shared" si="27"/>
        <v>9028304</v>
      </c>
      <c r="K78" s="71" t="e">
        <f t="shared" si="27"/>
        <v>#VALUE!</v>
      </c>
      <c r="L78" s="71">
        <f t="shared" si="27"/>
        <v>17028000</v>
      </c>
      <c r="M78" s="71">
        <f t="shared" si="27"/>
        <v>29432000</v>
      </c>
      <c r="N78" s="71">
        <f t="shared" si="27"/>
        <v>43925000</v>
      </c>
      <c r="O78" s="71">
        <f t="shared" si="27"/>
        <v>19690000</v>
      </c>
      <c r="P78" s="71">
        <f t="shared" si="27"/>
        <v>13885000</v>
      </c>
      <c r="Q78" s="71">
        <f t="shared" si="27"/>
        <v>22003352</v>
      </c>
      <c r="R78" s="70"/>
      <c r="S78" s="72"/>
      <c r="T78" s="46"/>
      <c r="U78" s="46"/>
      <c r="V78" s="46"/>
      <c r="W78" s="46"/>
      <c r="X78" s="46"/>
      <c r="Y78" s="46"/>
      <c r="Z78" s="46"/>
      <c r="AA78" s="46"/>
      <c r="AB78" s="46"/>
      <c r="AC78" s="46"/>
      <c r="AD78" s="46"/>
      <c r="AE78" s="46"/>
      <c r="AF78" s="46"/>
      <c r="AG78" s="46"/>
      <c r="AH78" s="46"/>
      <c r="AI78" s="46"/>
    </row>
    <row r="79" spans="1:37" s="49" customFormat="1" ht="26.7" customHeight="1" thickBot="1" x14ac:dyDescent="0.35">
      <c r="A79" s="99"/>
      <c r="B79" s="100"/>
      <c r="C79" s="100"/>
      <c r="D79" s="100"/>
      <c r="E79" s="100" t="s">
        <v>122</v>
      </c>
      <c r="F79" s="100" t="s">
        <v>8</v>
      </c>
      <c r="G79" s="100" t="s">
        <v>9</v>
      </c>
      <c r="H79" s="100" t="s">
        <v>10</v>
      </c>
      <c r="I79" s="100">
        <v>2025</v>
      </c>
      <c r="J79" s="100" t="s">
        <v>11</v>
      </c>
      <c r="K79" s="100"/>
      <c r="L79" s="100">
        <v>2026</v>
      </c>
      <c r="M79" s="100">
        <v>2027</v>
      </c>
      <c r="N79" s="100">
        <v>2028</v>
      </c>
      <c r="O79" s="100">
        <v>2029</v>
      </c>
      <c r="P79" s="100">
        <v>2030</v>
      </c>
      <c r="Q79" s="100"/>
      <c r="R79" s="100"/>
      <c r="S79" s="101">
        <v>45583</v>
      </c>
      <c r="T79" s="48"/>
      <c r="U79" s="48"/>
      <c r="V79" s="48"/>
      <c r="W79" s="48"/>
      <c r="X79" s="48"/>
      <c r="Y79" s="48"/>
      <c r="Z79" s="48"/>
      <c r="AA79" s="48"/>
      <c r="AB79" s="48"/>
      <c r="AC79" s="48"/>
      <c r="AD79" s="48"/>
      <c r="AE79" s="48"/>
      <c r="AF79" s="48"/>
      <c r="AG79" s="48"/>
      <c r="AH79" s="48"/>
      <c r="AI79" s="48"/>
    </row>
    <row r="80" spans="1:37" x14ac:dyDescent="0.3">
      <c r="A80" s="79"/>
      <c r="B80" s="80"/>
      <c r="C80" s="81"/>
      <c r="D80" s="82"/>
      <c r="E80" s="83"/>
      <c r="F80" s="84"/>
      <c r="G80" s="85"/>
      <c r="H80" s="85"/>
      <c r="I80" s="86"/>
      <c r="J80" s="86"/>
      <c r="K80" s="86"/>
      <c r="L80" s="86"/>
      <c r="M80" s="86"/>
      <c r="N80" s="86"/>
      <c r="O80" s="86"/>
      <c r="P80" s="86"/>
      <c r="Q80" s="86"/>
      <c r="R80" s="87"/>
      <c r="S80" s="87"/>
    </row>
    <row r="81" spans="3:11" x14ac:dyDescent="0.3">
      <c r="G81" s="51"/>
      <c r="H81" s="51"/>
    </row>
    <row r="82" spans="3:11" ht="14.25" customHeight="1" x14ac:dyDescent="0.3">
      <c r="E82" s="13"/>
      <c r="F82" s="13"/>
      <c r="G82" s="105"/>
      <c r="H82" s="105"/>
      <c r="I82" s="106"/>
    </row>
    <row r="83" spans="3:11" x14ac:dyDescent="0.3">
      <c r="I83" s="103"/>
    </row>
    <row r="84" spans="3:11" x14ac:dyDescent="0.3">
      <c r="C84" s="45"/>
      <c r="I84" s="103"/>
      <c r="J84" s="52"/>
      <c r="K84" s="52"/>
    </row>
    <row r="85" spans="3:11" x14ac:dyDescent="0.3">
      <c r="F85" s="11"/>
      <c r="I85" s="104"/>
      <c r="J85" s="12">
        <f t="shared" ref="J85:J87" si="28">I85-H85</f>
        <v>0</v>
      </c>
    </row>
    <row r="86" spans="3:11" x14ac:dyDescent="0.3">
      <c r="F86" s="11"/>
      <c r="G86" s="19"/>
      <c r="I86" s="104"/>
      <c r="J86" s="12">
        <f t="shared" si="28"/>
        <v>0</v>
      </c>
    </row>
    <row r="87" spans="3:11" x14ac:dyDescent="0.3">
      <c r="F87" s="11"/>
      <c r="G87" s="19"/>
      <c r="I87" s="104"/>
      <c r="J87" s="12">
        <f t="shared" si="28"/>
        <v>0</v>
      </c>
    </row>
    <row r="88" spans="3:11" x14ac:dyDescent="0.3">
      <c r="I88" s="103"/>
    </row>
  </sheetData>
  <customSheetViews>
    <customSheetView guid="{B41BB11B-8ECA-4760-921C-F8720A6A66AF}" scale="69" fitToPage="1" hiddenColumns="1" topLeftCell="A4">
      <selection activeCell="S38" sqref="S38"/>
      <pageMargins left="0.25" right="0.25" top="0.75" bottom="0.75" header="0.3" footer="0.3"/>
      <printOptions horizontalCentered="1"/>
      <pageSetup paperSize="17" scale="55" orientation="landscape" r:id="rId1"/>
      <headerFooter>
        <oddHeader xml:space="preserve">&amp;C&amp;"-,Bold"&amp;24City of Lake Stevens&amp;20
2025 - 2030 Capital Improvement Plan          &amp;"-,Regular"&amp;11
</oddHeader>
      </headerFooter>
    </customSheetView>
  </customSheetViews>
  <mergeCells count="23">
    <mergeCell ref="A67:A77"/>
    <mergeCell ref="O3:O4"/>
    <mergeCell ref="P3:P4"/>
    <mergeCell ref="Q3:S3"/>
    <mergeCell ref="A5:A23"/>
    <mergeCell ref="A25:A48"/>
    <mergeCell ref="A50:A65"/>
    <mergeCell ref="H3:H4"/>
    <mergeCell ref="I3:I4"/>
    <mergeCell ref="J3:J4"/>
    <mergeCell ref="L3:L4"/>
    <mergeCell ref="M3:M4"/>
    <mergeCell ref="N3:N4"/>
    <mergeCell ref="A1:S1"/>
    <mergeCell ref="A2:S2"/>
    <mergeCell ref="T2:AI2"/>
    <mergeCell ref="A3:A4"/>
    <mergeCell ref="B3:B4"/>
    <mergeCell ref="C3:C4"/>
    <mergeCell ref="D3:D4"/>
    <mergeCell ref="E3:E4"/>
    <mergeCell ref="F3:F4"/>
    <mergeCell ref="G3:G4"/>
  </mergeCells>
  <printOptions horizontalCentered="1"/>
  <pageMargins left="0.25" right="0.25" top="0.75" bottom="0.75" header="0.3" footer="0.3"/>
  <pageSetup paperSize="17" scale="55" orientation="landscape" r:id="rId2"/>
  <headerFooter>
    <oddHeader xml:space="preserve">&amp;C&amp;"-,Bold"&amp;24City of Lake Stevens&amp;20
2025 - 2030 Capital Improvement Plan          &amp;"-,Regular"&amp;11
</oddHeader>
  </headerFooter>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DAADA2-B488-4415-A5F5-835AFE89EF20}">
  <sheetPr>
    <tabColor theme="2" tint="-0.249977111117893"/>
    <pageSetUpPr fitToPage="1"/>
  </sheetPr>
  <dimension ref="A1:XFD431"/>
  <sheetViews>
    <sheetView tabSelected="1" zoomScale="70" zoomScaleNormal="70" workbookViewId="0">
      <pane xSplit="1" ySplit="5" topLeftCell="U36" activePane="bottomRight" state="frozen"/>
      <selection activeCell="A2" sqref="A2"/>
      <selection pane="topRight" activeCell="B2" sqref="B2"/>
      <selection pane="bottomLeft" activeCell="A6" sqref="A6"/>
      <selection pane="bottomRight" activeCell="AI52" sqref="AI52"/>
    </sheetView>
  </sheetViews>
  <sheetFormatPr defaultColWidth="9" defaultRowHeight="14.4" x14ac:dyDescent="0.3"/>
  <cols>
    <col min="1" max="1" width="5.33203125" style="401" customWidth="1"/>
    <col min="2" max="2" width="6.88671875" style="264" customWidth="1"/>
    <col min="3" max="3" width="49.6640625" style="300" bestFit="1" customWidth="1"/>
    <col min="4" max="4" width="78.44140625" style="266" customWidth="1"/>
    <col min="5" max="5" width="20.5546875" style="402" customWidth="1"/>
    <col min="6" max="9" width="16.5546875" style="403" customWidth="1"/>
    <col min="10" max="10" width="20.5546875" style="404" customWidth="1"/>
    <col min="11" max="11" width="16.33203125" style="404" customWidth="1"/>
    <col min="12" max="12" width="17.88671875" style="404" customWidth="1"/>
    <col min="13" max="13" width="16.44140625" style="404" customWidth="1"/>
    <col min="14" max="14" width="15.6640625" style="404" bestFit="1" customWidth="1"/>
    <col min="15" max="15" width="14.6640625" style="404" bestFit="1" customWidth="1"/>
    <col min="16" max="18" width="15.88671875" style="404" customWidth="1"/>
    <col min="19" max="19" width="14.44140625" style="404" customWidth="1"/>
    <col min="20" max="20" width="14.6640625" style="404" bestFit="1" customWidth="1"/>
    <col min="21" max="21" width="15.6640625" style="404" bestFit="1" customWidth="1"/>
    <col min="22" max="22" width="28.33203125" style="274" customWidth="1"/>
    <col min="23" max="23" width="21.109375" style="274" bestFit="1" customWidth="1"/>
    <col min="24" max="24" width="15.5546875" style="404" bestFit="1" customWidth="1"/>
    <col min="25" max="25" width="11.33203125" style="397" bestFit="1" customWidth="1"/>
    <col min="26" max="26" width="7" style="304" bestFit="1" customWidth="1"/>
    <col min="27" max="27" width="13.5546875" style="304" customWidth="1"/>
    <col min="28" max="28" width="7.109375" style="304" customWidth="1"/>
    <col min="29" max="29" width="10.44140625" style="304" customWidth="1"/>
    <col min="30" max="30" width="11.33203125" style="304" customWidth="1"/>
    <col min="31" max="31" width="14" style="304" bestFit="1" customWidth="1"/>
    <col min="32" max="32" width="8.6640625" style="304" customWidth="1"/>
    <col min="33" max="33" width="9.44140625" style="304" customWidth="1"/>
    <col min="34" max="34" width="9.109375" style="304" customWidth="1"/>
    <col min="35" max="35" width="12.33203125" style="304" customWidth="1"/>
    <col min="36" max="36" width="7" style="304" bestFit="1" customWidth="1"/>
    <col min="37" max="37" width="17.33203125" style="304" bestFit="1" customWidth="1"/>
    <col min="38" max="39" width="15.6640625" style="304" customWidth="1"/>
    <col min="40" max="40" width="19.109375" style="304" customWidth="1"/>
    <col min="41" max="41" width="15.6640625" style="304" customWidth="1"/>
    <col min="42" max="42" width="16" style="320" customWidth="1"/>
    <col min="43" max="43" width="24.33203125" style="320" customWidth="1"/>
    <col min="44" max="44" width="9" style="16" customWidth="1"/>
    <col min="45" max="45" width="22.5546875" style="16" bestFit="1" customWidth="1"/>
    <col min="46" max="46" width="11.44140625" style="16" customWidth="1"/>
    <col min="47" max="16384" width="9" style="16"/>
  </cols>
  <sheetData>
    <row r="1" spans="1:45" s="2" customFormat="1" ht="25.2" x14ac:dyDescent="0.3">
      <c r="A1" s="468" t="s">
        <v>0</v>
      </c>
      <c r="B1" s="468"/>
      <c r="C1" s="468"/>
      <c r="D1" s="468"/>
      <c r="E1" s="468"/>
      <c r="F1" s="468"/>
      <c r="G1" s="468"/>
      <c r="H1" s="468"/>
      <c r="I1" s="468"/>
      <c r="J1" s="468"/>
      <c r="K1" s="468"/>
      <c r="L1" s="468"/>
      <c r="M1" s="468"/>
      <c r="N1" s="468"/>
      <c r="O1" s="468"/>
      <c r="P1" s="468"/>
      <c r="Q1" s="468"/>
      <c r="R1" s="468"/>
      <c r="S1" s="468"/>
      <c r="T1" s="468"/>
      <c r="U1" s="468"/>
      <c r="V1" s="468"/>
      <c r="W1" s="468"/>
      <c r="X1" s="242"/>
      <c r="Y1" s="242"/>
      <c r="Z1" s="243"/>
      <c r="AA1" s="243">
        <v>0</v>
      </c>
      <c r="AB1" s="244">
        <v>25000</v>
      </c>
      <c r="AC1" s="245"/>
      <c r="AD1" s="244">
        <v>3000000</v>
      </c>
      <c r="AE1" s="244">
        <v>216000</v>
      </c>
      <c r="AF1" s="244">
        <v>550000</v>
      </c>
      <c r="AG1" s="244">
        <v>2800000</v>
      </c>
      <c r="AH1" s="244">
        <v>350000</v>
      </c>
      <c r="AI1" s="244">
        <v>1800000</v>
      </c>
      <c r="AJ1" s="244">
        <v>0</v>
      </c>
      <c r="AK1" s="246">
        <v>3000000</v>
      </c>
      <c r="AL1" s="243">
        <v>0</v>
      </c>
      <c r="AM1" s="243">
        <v>300000</v>
      </c>
      <c r="AN1" s="243">
        <v>6000000</v>
      </c>
      <c r="AO1" s="243">
        <v>600000</v>
      </c>
      <c r="AP1" s="247"/>
      <c r="AQ1" s="247"/>
    </row>
    <row r="2" spans="1:45" s="2" customFormat="1" ht="25.8" thickBot="1" x14ac:dyDescent="0.35">
      <c r="A2" s="241"/>
      <c r="B2" s="241"/>
      <c r="C2" s="241"/>
      <c r="D2" s="248"/>
      <c r="E2" s="241"/>
      <c r="F2" s="241"/>
      <c r="G2" s="241"/>
      <c r="H2" s="241"/>
      <c r="I2" s="241"/>
      <c r="J2" s="241"/>
      <c r="K2" s="241"/>
      <c r="L2" s="241"/>
      <c r="M2" s="241"/>
      <c r="N2" s="241"/>
      <c r="O2" s="241"/>
      <c r="P2" s="241"/>
      <c r="Q2" s="241"/>
      <c r="R2" s="241"/>
      <c r="S2" s="241"/>
      <c r="T2" s="241"/>
      <c r="U2" s="241"/>
      <c r="V2" s="241"/>
      <c r="W2" s="248"/>
      <c r="X2" s="242"/>
      <c r="Y2" s="242"/>
      <c r="Z2" s="249"/>
      <c r="AA2" s="249"/>
      <c r="AB2" s="249"/>
      <c r="AC2" s="250"/>
      <c r="AD2" s="249"/>
      <c r="AE2" s="249"/>
      <c r="AF2" s="249"/>
      <c r="AG2" s="249"/>
      <c r="AH2" s="249"/>
      <c r="AI2" s="249"/>
      <c r="AJ2" s="249"/>
      <c r="AK2" s="251"/>
      <c r="AL2" s="249"/>
      <c r="AM2" s="249"/>
      <c r="AN2" s="249"/>
      <c r="AO2" s="249"/>
      <c r="AP2" s="247"/>
      <c r="AQ2" s="247"/>
    </row>
    <row r="3" spans="1:45" s="2" customFormat="1" ht="21.75" customHeight="1" thickBot="1" x14ac:dyDescent="0.35">
      <c r="A3" s="454" t="s">
        <v>396</v>
      </c>
      <c r="B3" s="454"/>
      <c r="C3" s="454"/>
      <c r="D3" s="454"/>
      <c r="E3" s="454"/>
      <c r="F3" s="454"/>
      <c r="G3" s="454"/>
      <c r="H3" s="454"/>
      <c r="I3" s="454"/>
      <c r="J3" s="454"/>
      <c r="K3" s="454"/>
      <c r="L3" s="454"/>
      <c r="M3" s="454"/>
      <c r="N3" s="454"/>
      <c r="O3" s="454"/>
      <c r="P3" s="454"/>
      <c r="Q3" s="454"/>
      <c r="R3" s="454"/>
      <c r="S3" s="454"/>
      <c r="T3" s="454"/>
      <c r="U3" s="455" t="s">
        <v>378</v>
      </c>
      <c r="V3" s="456"/>
      <c r="W3" s="457"/>
      <c r="X3" s="252">
        <f>SUM(X25,X46,X52,X59)</f>
        <v>14230941</v>
      </c>
      <c r="Y3" s="253">
        <f>SUM(Y25,Y46,Y52,Y59)</f>
        <v>731000</v>
      </c>
      <c r="Z3" s="469" t="s">
        <v>337</v>
      </c>
      <c r="AA3" s="470"/>
      <c r="AB3" s="470"/>
      <c r="AC3" s="470"/>
      <c r="AD3" s="470"/>
      <c r="AE3" s="470"/>
      <c r="AF3" s="470"/>
      <c r="AG3" s="470"/>
      <c r="AH3" s="470"/>
      <c r="AI3" s="470"/>
      <c r="AJ3" s="470"/>
      <c r="AK3" s="470"/>
      <c r="AL3" s="470"/>
      <c r="AM3" s="470"/>
      <c r="AN3" s="470"/>
      <c r="AO3" s="471"/>
      <c r="AP3" s="247"/>
      <c r="AQ3" s="247"/>
    </row>
    <row r="4" spans="1:45" s="4" customFormat="1" ht="33" customHeight="1" thickBot="1" x14ac:dyDescent="0.35">
      <c r="A4" s="472" t="s">
        <v>3</v>
      </c>
      <c r="B4" s="473" t="s">
        <v>4</v>
      </c>
      <c r="C4" s="460" t="s">
        <v>394</v>
      </c>
      <c r="D4" s="474" t="s">
        <v>6</v>
      </c>
      <c r="E4" s="474" t="s">
        <v>7</v>
      </c>
      <c r="F4" s="475" t="s">
        <v>281</v>
      </c>
      <c r="G4" s="476" t="s">
        <v>283</v>
      </c>
      <c r="H4" s="476" t="s">
        <v>282</v>
      </c>
      <c r="I4" s="466" t="s">
        <v>320</v>
      </c>
      <c r="J4" s="467" t="s">
        <v>325</v>
      </c>
      <c r="K4" s="254"/>
      <c r="L4" s="255" t="s">
        <v>12</v>
      </c>
      <c r="M4" s="474" t="s">
        <v>342</v>
      </c>
      <c r="N4" s="460">
        <v>2026</v>
      </c>
      <c r="O4" s="460">
        <v>2027</v>
      </c>
      <c r="P4" s="461">
        <v>2028</v>
      </c>
      <c r="Q4" s="461">
        <v>2029</v>
      </c>
      <c r="R4" s="461">
        <v>2030</v>
      </c>
      <c r="S4" s="460">
        <v>2031</v>
      </c>
      <c r="T4" s="460" t="s">
        <v>331</v>
      </c>
      <c r="U4" s="477" t="s">
        <v>301</v>
      </c>
      <c r="V4" s="478"/>
      <c r="W4" s="478"/>
      <c r="X4" s="481" t="s">
        <v>350</v>
      </c>
      <c r="Y4" s="483" t="s">
        <v>360</v>
      </c>
      <c r="Z4" s="256" t="s">
        <v>14</v>
      </c>
      <c r="AA4" s="256" t="s">
        <v>15</v>
      </c>
      <c r="AB4" s="256" t="s">
        <v>16</v>
      </c>
      <c r="AC4" s="256" t="s">
        <v>17</v>
      </c>
      <c r="AD4" s="256" t="s">
        <v>21</v>
      </c>
      <c r="AE4" s="256" t="s">
        <v>18</v>
      </c>
      <c r="AF4" s="256" t="s">
        <v>19</v>
      </c>
      <c r="AG4" s="256" t="s">
        <v>20</v>
      </c>
      <c r="AH4" s="256" t="s">
        <v>22</v>
      </c>
      <c r="AI4" s="256" t="s">
        <v>23</v>
      </c>
      <c r="AJ4" s="256" t="s">
        <v>24</v>
      </c>
      <c r="AK4" s="256" t="s">
        <v>25</v>
      </c>
      <c r="AL4" s="256" t="s">
        <v>26</v>
      </c>
      <c r="AM4" s="256" t="s">
        <v>27</v>
      </c>
      <c r="AN4" s="256" t="s">
        <v>28</v>
      </c>
      <c r="AO4" s="257" t="s">
        <v>29</v>
      </c>
      <c r="AP4" s="479" t="s">
        <v>122</v>
      </c>
      <c r="AQ4" s="480" t="s">
        <v>340</v>
      </c>
      <c r="AS4" s="422"/>
    </row>
    <row r="5" spans="1:45" s="7" customFormat="1" ht="32.4" thickTop="1" thickBot="1" x14ac:dyDescent="0.35">
      <c r="A5" s="472"/>
      <c r="B5" s="473"/>
      <c r="C5" s="460"/>
      <c r="D5" s="474"/>
      <c r="E5" s="474"/>
      <c r="F5" s="475"/>
      <c r="G5" s="476"/>
      <c r="H5" s="476"/>
      <c r="I5" s="466"/>
      <c r="J5" s="467"/>
      <c r="K5" s="258" t="s">
        <v>313</v>
      </c>
      <c r="L5" s="259" t="s">
        <v>30</v>
      </c>
      <c r="M5" s="474"/>
      <c r="N5" s="460"/>
      <c r="O5" s="460"/>
      <c r="P5" s="461"/>
      <c r="Q5" s="461"/>
      <c r="R5" s="461"/>
      <c r="S5" s="460"/>
      <c r="T5" s="460"/>
      <c r="U5" s="260" t="s">
        <v>31</v>
      </c>
      <c r="V5" s="261" t="s">
        <v>32</v>
      </c>
      <c r="W5" s="261" t="s">
        <v>33</v>
      </c>
      <c r="X5" s="482" t="s">
        <v>341</v>
      </c>
      <c r="Y5" s="484"/>
      <c r="Z5" s="262" t="s">
        <v>34</v>
      </c>
      <c r="AA5" s="262" t="s">
        <v>35</v>
      </c>
      <c r="AB5" s="262" t="s">
        <v>36</v>
      </c>
      <c r="AC5" s="262" t="s">
        <v>37</v>
      </c>
      <c r="AD5" s="262" t="s">
        <v>39</v>
      </c>
      <c r="AE5" s="262" t="s">
        <v>38</v>
      </c>
      <c r="AF5" s="262" t="s">
        <v>38</v>
      </c>
      <c r="AG5" s="262" t="s">
        <v>38</v>
      </c>
      <c r="AH5" s="262" t="s">
        <v>38</v>
      </c>
      <c r="AI5" s="262" t="s">
        <v>40</v>
      </c>
      <c r="AJ5" s="262" t="s">
        <v>41</v>
      </c>
      <c r="AK5" s="262" t="s">
        <v>42</v>
      </c>
      <c r="AL5" s="262" t="s">
        <v>43</v>
      </c>
      <c r="AM5" s="262" t="s">
        <v>44</v>
      </c>
      <c r="AN5" s="262" t="s">
        <v>45</v>
      </c>
      <c r="AO5" s="263" t="s">
        <v>46</v>
      </c>
      <c r="AP5" s="479"/>
      <c r="AQ5" s="480"/>
      <c r="AS5" s="422"/>
    </row>
    <row r="6" spans="1:45" s="7" customFormat="1" ht="21" thickTop="1" thickBot="1" x14ac:dyDescent="0.35">
      <c r="A6" s="413"/>
      <c r="B6" s="414"/>
      <c r="C6" s="256"/>
      <c r="D6" s="261"/>
      <c r="E6" s="261"/>
      <c r="F6" s="415"/>
      <c r="G6" s="416"/>
      <c r="H6" s="416"/>
      <c r="I6" s="415"/>
      <c r="J6" s="417"/>
      <c r="K6" s="258"/>
      <c r="L6" s="418"/>
      <c r="M6" s="261"/>
      <c r="N6" s="256"/>
      <c r="O6" s="256"/>
      <c r="P6" s="256"/>
      <c r="Q6" s="256"/>
      <c r="R6" s="256"/>
      <c r="S6" s="256"/>
      <c r="T6" s="256"/>
      <c r="U6" s="260"/>
      <c r="V6" s="261"/>
      <c r="W6" s="261"/>
      <c r="X6" s="419"/>
      <c r="Y6" s="420"/>
      <c r="Z6" s="262"/>
      <c r="AA6" s="262"/>
      <c r="AB6" s="262"/>
      <c r="AC6" s="262"/>
      <c r="AD6" s="262"/>
      <c r="AE6" s="262"/>
      <c r="AF6" s="262"/>
      <c r="AG6" s="262"/>
      <c r="AH6" s="262"/>
      <c r="AI6" s="262"/>
      <c r="AJ6" s="262"/>
      <c r="AK6" s="262"/>
      <c r="AL6" s="262"/>
      <c r="AM6" s="262"/>
      <c r="AN6" s="262"/>
      <c r="AO6" s="263"/>
      <c r="AP6" s="411"/>
      <c r="AQ6" s="412"/>
      <c r="AS6" s="410"/>
    </row>
    <row r="7" spans="1:45" ht="20.100000000000001" customHeight="1" thickTop="1" thickBot="1" x14ac:dyDescent="0.3">
      <c r="A7" s="462" t="s">
        <v>47</v>
      </c>
      <c r="B7" s="264" t="s">
        <v>48</v>
      </c>
      <c r="C7" s="265" t="s">
        <v>49</v>
      </c>
      <c r="D7" s="266" t="s">
        <v>50</v>
      </c>
      <c r="E7" s="267">
        <v>4040000</v>
      </c>
      <c r="F7" s="268">
        <v>3883915</v>
      </c>
      <c r="G7" s="268">
        <v>2040966</v>
      </c>
      <c r="H7" s="268">
        <v>3500000</v>
      </c>
      <c r="I7" s="268">
        <f>F7-H7</f>
        <v>383915</v>
      </c>
      <c r="J7" s="268">
        <v>400000</v>
      </c>
      <c r="K7" s="268"/>
      <c r="L7" s="269"/>
      <c r="M7" s="268">
        <f>H7</f>
        <v>3500000</v>
      </c>
      <c r="N7" s="270">
        <f>J7</f>
        <v>400000</v>
      </c>
      <c r="O7" s="268"/>
      <c r="P7" s="271"/>
      <c r="Q7" s="271"/>
      <c r="R7" s="271"/>
      <c r="S7" s="271"/>
      <c r="T7" s="272">
        <f>SUM(M7:S7)</f>
        <v>3900000</v>
      </c>
      <c r="U7" s="273">
        <v>3304000</v>
      </c>
      <c r="V7" s="274" t="s">
        <v>52</v>
      </c>
      <c r="W7" s="275" t="s">
        <v>330</v>
      </c>
      <c r="X7" s="276">
        <f>J7*0.86</f>
        <v>344000</v>
      </c>
      <c r="Y7" s="277"/>
      <c r="Z7" s="278"/>
      <c r="AA7" s="279"/>
      <c r="AB7" s="279"/>
      <c r="AC7" s="279"/>
      <c r="AD7" s="279"/>
      <c r="AE7" s="279"/>
      <c r="AF7" s="279"/>
      <c r="AG7" s="279"/>
      <c r="AH7" s="279"/>
      <c r="AI7" s="279"/>
      <c r="AJ7" s="279"/>
      <c r="AK7" s="280">
        <v>56000</v>
      </c>
      <c r="AL7" s="279"/>
      <c r="AM7" s="279"/>
      <c r="AN7" s="279"/>
      <c r="AO7" s="281"/>
      <c r="AP7" s="282">
        <f t="shared" ref="AP7:AP37" si="0">SUM(X7:AO7)</f>
        <v>400000</v>
      </c>
      <c r="AQ7" s="283">
        <f>J7-AP7</f>
        <v>0</v>
      </c>
    </row>
    <row r="8" spans="1:45" ht="27.45" customHeight="1" thickTop="1" thickBot="1" x14ac:dyDescent="0.3">
      <c r="A8" s="462"/>
      <c r="B8" s="264" t="s">
        <v>56</v>
      </c>
      <c r="C8" s="284" t="s">
        <v>57</v>
      </c>
      <c r="D8" s="285" t="s">
        <v>58</v>
      </c>
      <c r="E8" s="267">
        <v>2500000</v>
      </c>
      <c r="F8" s="286">
        <v>1777000</v>
      </c>
      <c r="G8" s="268">
        <v>63675</v>
      </c>
      <c r="H8" s="268">
        <v>120174</v>
      </c>
      <c r="I8" s="268">
        <f t="shared" ref="I8:I23" si="1">F8-H8</f>
        <v>1656826</v>
      </c>
      <c r="J8" s="287">
        <f>E8-H8</f>
        <v>2379826</v>
      </c>
      <c r="K8" s="288" t="s">
        <v>321</v>
      </c>
      <c r="L8" s="289" t="s">
        <v>322</v>
      </c>
      <c r="M8" s="268">
        <f t="shared" ref="M8:M23" si="2">H8</f>
        <v>120174</v>
      </c>
      <c r="N8" s="290">
        <f>J8</f>
        <v>2379826</v>
      </c>
      <c r="O8" s="290"/>
      <c r="P8" s="268"/>
      <c r="Q8" s="271"/>
      <c r="R8" s="271"/>
      <c r="S8" s="271"/>
      <c r="T8" s="272">
        <f t="shared" ref="T8:T24" si="3">SUM(M8:S8)</f>
        <v>2500000</v>
      </c>
      <c r="U8" s="291"/>
      <c r="W8" s="292"/>
      <c r="X8" s="293"/>
      <c r="Y8" s="277"/>
      <c r="Z8" s="278"/>
      <c r="AA8" s="279"/>
      <c r="AB8" s="279"/>
      <c r="AC8" s="279"/>
      <c r="AD8" s="279"/>
      <c r="AE8" s="280">
        <v>54000</v>
      </c>
      <c r="AF8" s="279"/>
      <c r="AG8" s="279"/>
      <c r="AH8" s="280">
        <v>46000</v>
      </c>
      <c r="AI8" s="279"/>
      <c r="AJ8" s="279"/>
      <c r="AK8" s="280">
        <f>J8-SUM(AL8:AO8,Z8:AI8,X8)</f>
        <v>1499826</v>
      </c>
      <c r="AL8" s="279"/>
      <c r="AM8" s="279"/>
      <c r="AN8" s="280">
        <v>180000</v>
      </c>
      <c r="AO8" s="294">
        <v>600000</v>
      </c>
      <c r="AP8" s="282">
        <f t="shared" si="0"/>
        <v>2379826</v>
      </c>
      <c r="AQ8" s="283">
        <f t="shared" ref="AQ8:AQ24" si="4">J8-AP8</f>
        <v>0</v>
      </c>
    </row>
    <row r="9" spans="1:45" ht="14.7" customHeight="1" thickTop="1" thickBot="1" x14ac:dyDescent="0.3">
      <c r="A9" s="462"/>
      <c r="B9" s="264" t="s">
        <v>63</v>
      </c>
      <c r="C9" s="265" t="s">
        <v>64</v>
      </c>
      <c r="D9" s="285" t="s">
        <v>65</v>
      </c>
      <c r="E9" s="295">
        <v>3200000</v>
      </c>
      <c r="F9" s="296">
        <v>374825</v>
      </c>
      <c r="G9" s="268">
        <v>288215</v>
      </c>
      <c r="H9" s="268">
        <f>G9+80000+60000</f>
        <v>428215</v>
      </c>
      <c r="I9" s="268">
        <f>F9-H9</f>
        <v>-53390</v>
      </c>
      <c r="J9" s="268">
        <v>80000</v>
      </c>
      <c r="K9" s="288"/>
      <c r="L9" s="289"/>
      <c r="M9" s="268">
        <f t="shared" si="2"/>
        <v>428215</v>
      </c>
      <c r="N9" s="270">
        <f>J9</f>
        <v>80000</v>
      </c>
      <c r="O9" s="290">
        <f>E9-SUM(M9:N9)</f>
        <v>2691785</v>
      </c>
      <c r="P9" s="271"/>
      <c r="Q9" s="271"/>
      <c r="R9" s="271"/>
      <c r="S9" s="271"/>
      <c r="T9" s="272">
        <f>SUM(M9:S9)</f>
        <v>3200000</v>
      </c>
      <c r="U9" s="291">
        <v>2500000</v>
      </c>
      <c r="V9" s="274" t="s">
        <v>67</v>
      </c>
      <c r="W9" s="297" t="s">
        <v>68</v>
      </c>
      <c r="X9" s="293">
        <v>2500000</v>
      </c>
      <c r="Y9" s="277"/>
      <c r="Z9" s="278"/>
      <c r="AA9" s="279"/>
      <c r="AB9" s="279"/>
      <c r="AC9" s="279"/>
      <c r="AD9" s="279"/>
      <c r="AE9" s="280">
        <v>80000</v>
      </c>
      <c r="AF9" s="279"/>
      <c r="AG9" s="279"/>
      <c r="AH9" s="279"/>
      <c r="AI9" s="279"/>
      <c r="AJ9" s="279"/>
      <c r="AK9" s="298"/>
      <c r="AL9" s="279"/>
      <c r="AM9" s="279"/>
      <c r="AN9" s="279"/>
      <c r="AO9" s="281"/>
      <c r="AP9" s="282">
        <f t="shared" si="0"/>
        <v>2580000</v>
      </c>
      <c r="AQ9" s="283">
        <f t="shared" si="4"/>
        <v>-2500000</v>
      </c>
    </row>
    <row r="10" spans="1:45" ht="27.45" customHeight="1" thickTop="1" thickBot="1" x14ac:dyDescent="0.3">
      <c r="A10" s="462"/>
      <c r="B10" s="264" t="s">
        <v>69</v>
      </c>
      <c r="C10" s="284" t="s">
        <v>70</v>
      </c>
      <c r="D10" s="266" t="s">
        <v>71</v>
      </c>
      <c r="E10" s="295">
        <v>1650000</v>
      </c>
      <c r="F10" s="268">
        <v>300000</v>
      </c>
      <c r="G10" s="268">
        <v>141447</v>
      </c>
      <c r="H10" s="268">
        <f>G10+(29280+20510+5810+26500+51600)</f>
        <v>275147</v>
      </c>
      <c r="I10" s="268">
        <f>F10-H10</f>
        <v>24853</v>
      </c>
      <c r="J10" s="268">
        <f>E10-H10</f>
        <v>1374853</v>
      </c>
      <c r="K10" s="288"/>
      <c r="L10" s="289"/>
      <c r="M10" s="268">
        <f t="shared" si="2"/>
        <v>275147</v>
      </c>
      <c r="N10" s="290">
        <f>J10</f>
        <v>1374853</v>
      </c>
      <c r="O10" s="290"/>
      <c r="P10" s="268"/>
      <c r="Q10" s="271"/>
      <c r="R10" s="271"/>
      <c r="S10" s="271"/>
      <c r="T10" s="272">
        <f t="shared" si="3"/>
        <v>1650000</v>
      </c>
      <c r="U10" s="291"/>
      <c r="W10" s="292"/>
      <c r="X10" s="293"/>
      <c r="Y10" s="277"/>
      <c r="Z10" s="278"/>
      <c r="AA10" s="279"/>
      <c r="AB10" s="279"/>
      <c r="AC10" s="279"/>
      <c r="AD10" s="280">
        <f>N10-SUM(X10:AC10,AE10:AO10)</f>
        <v>974853</v>
      </c>
      <c r="AE10" s="279"/>
      <c r="AF10" s="279"/>
      <c r="AG10" s="279"/>
      <c r="AH10" s="279"/>
      <c r="AI10" s="279"/>
      <c r="AJ10" s="279"/>
      <c r="AK10" s="298"/>
      <c r="AL10" s="279"/>
      <c r="AM10" s="279"/>
      <c r="AN10" s="280">
        <v>400000</v>
      </c>
      <c r="AO10" s="281"/>
      <c r="AP10" s="282">
        <f t="shared" si="0"/>
        <v>1374853</v>
      </c>
      <c r="AQ10" s="283">
        <f t="shared" si="4"/>
        <v>0</v>
      </c>
    </row>
    <row r="11" spans="1:45" ht="28.95" customHeight="1" thickTop="1" thickBot="1" x14ac:dyDescent="0.3">
      <c r="A11" s="462"/>
      <c r="B11" s="264" t="s">
        <v>73</v>
      </c>
      <c r="C11" s="284" t="s">
        <v>74</v>
      </c>
      <c r="D11" s="266" t="s">
        <v>75</v>
      </c>
      <c r="E11" s="295">
        <v>2300000</v>
      </c>
      <c r="F11" s="290">
        <v>315000</v>
      </c>
      <c r="G11" s="268"/>
      <c r="H11" s="268">
        <v>180000</v>
      </c>
      <c r="I11" s="268">
        <f t="shared" si="1"/>
        <v>135000</v>
      </c>
      <c r="J11" s="268">
        <f>E11-H11</f>
        <v>2120000</v>
      </c>
      <c r="K11" s="288"/>
      <c r="L11" s="289"/>
      <c r="M11" s="268">
        <f t="shared" si="2"/>
        <v>180000</v>
      </c>
      <c r="N11" s="290" t="s">
        <v>397</v>
      </c>
      <c r="O11" s="290"/>
      <c r="P11" s="268"/>
      <c r="Q11" s="271"/>
      <c r="R11" s="271"/>
      <c r="S11" s="271"/>
      <c r="T11" s="272">
        <f t="shared" si="3"/>
        <v>180000</v>
      </c>
      <c r="U11" s="291">
        <v>1600000</v>
      </c>
      <c r="V11" s="274" t="s">
        <v>302</v>
      </c>
      <c r="W11" s="292" t="s">
        <v>303</v>
      </c>
      <c r="X11" s="276">
        <v>800000</v>
      </c>
      <c r="Y11" s="277"/>
      <c r="Z11" s="278"/>
      <c r="AA11" s="279"/>
      <c r="AB11" s="279"/>
      <c r="AC11" s="279"/>
      <c r="AD11" s="280">
        <f>J11-SUM(X11:AC11,AE11:AO11)</f>
        <v>757800</v>
      </c>
      <c r="AE11" s="279"/>
      <c r="AF11" s="279"/>
      <c r="AG11" s="279"/>
      <c r="AH11" s="279"/>
      <c r="AI11" s="279"/>
      <c r="AJ11" s="279"/>
      <c r="AK11" s="279"/>
      <c r="AL11" s="279"/>
      <c r="AM11" s="279"/>
      <c r="AN11" s="280">
        <f>188000+330000+41800+2400</f>
        <v>562200</v>
      </c>
      <c r="AO11" s="281"/>
      <c r="AP11" s="282">
        <f t="shared" si="0"/>
        <v>2120000</v>
      </c>
      <c r="AQ11" s="283">
        <f t="shared" si="4"/>
        <v>0</v>
      </c>
    </row>
    <row r="12" spans="1:45" ht="28.95" customHeight="1" thickTop="1" thickBot="1" x14ac:dyDescent="0.3">
      <c r="A12" s="462"/>
      <c r="B12" s="264" t="s">
        <v>79</v>
      </c>
      <c r="C12" s="284" t="s">
        <v>80</v>
      </c>
      <c r="D12" s="266" t="s">
        <v>81</v>
      </c>
      <c r="E12" s="299">
        <v>3800000</v>
      </c>
      <c r="F12" s="268">
        <v>400000</v>
      </c>
      <c r="G12" s="268"/>
      <c r="H12" s="268">
        <v>0</v>
      </c>
      <c r="I12" s="268">
        <f t="shared" si="1"/>
        <v>400000</v>
      </c>
      <c r="J12" s="268">
        <v>570000</v>
      </c>
      <c r="K12" s="288"/>
      <c r="L12" s="289"/>
      <c r="M12" s="268"/>
      <c r="N12" s="270">
        <f>E12*0.15</f>
        <v>570000</v>
      </c>
      <c r="O12" s="290">
        <f>E12-N12</f>
        <v>3230000</v>
      </c>
      <c r="P12" s="268"/>
      <c r="Q12" s="271"/>
      <c r="R12" s="271"/>
      <c r="S12" s="271"/>
      <c r="T12" s="272">
        <f t="shared" si="3"/>
        <v>3800000</v>
      </c>
      <c r="U12" s="291">
        <v>500000</v>
      </c>
      <c r="V12" s="274" t="s">
        <v>85</v>
      </c>
      <c r="W12" s="292" t="s">
        <v>78</v>
      </c>
      <c r="X12" s="293"/>
      <c r="Y12" s="277"/>
      <c r="Z12" s="278"/>
      <c r="AA12" s="279"/>
      <c r="AB12" s="279"/>
      <c r="AC12" s="279"/>
      <c r="AD12" s="280">
        <f>N12</f>
        <v>570000</v>
      </c>
      <c r="AE12" s="279"/>
      <c r="AF12" s="279"/>
      <c r="AG12" s="279"/>
      <c r="AH12" s="279"/>
      <c r="AI12" s="279"/>
      <c r="AJ12" s="279"/>
      <c r="AK12" s="279"/>
      <c r="AL12" s="279"/>
      <c r="AM12" s="279"/>
      <c r="AN12" s="279"/>
      <c r="AO12" s="281"/>
      <c r="AP12" s="282">
        <f t="shared" si="0"/>
        <v>570000</v>
      </c>
      <c r="AQ12" s="283">
        <f t="shared" si="4"/>
        <v>0</v>
      </c>
    </row>
    <row r="13" spans="1:45" ht="28.2" customHeight="1" thickTop="1" thickBot="1" x14ac:dyDescent="0.3">
      <c r="A13" s="462"/>
      <c r="B13" s="264" t="s">
        <v>86</v>
      </c>
      <c r="C13" s="284" t="s">
        <v>87</v>
      </c>
      <c r="D13" s="266" t="s">
        <v>88</v>
      </c>
      <c r="E13" s="299">
        <v>3180000</v>
      </c>
      <c r="F13" s="268"/>
      <c r="G13" s="268"/>
      <c r="H13" s="268"/>
      <c r="I13" s="268"/>
      <c r="J13" s="268"/>
      <c r="K13" s="288"/>
      <c r="L13" s="289"/>
      <c r="M13" s="268"/>
      <c r="N13" s="290"/>
      <c r="O13" s="290">
        <v>400000</v>
      </c>
      <c r="P13" s="268">
        <v>2780000</v>
      </c>
      <c r="Q13" s="268"/>
      <c r="R13" s="271"/>
      <c r="S13" s="271"/>
      <c r="T13" s="272">
        <f t="shared" si="3"/>
        <v>3180000</v>
      </c>
      <c r="U13" s="291"/>
      <c r="W13" s="292"/>
      <c r="X13" s="293"/>
      <c r="Y13" s="277"/>
      <c r="Z13" s="278"/>
      <c r="AA13" s="279"/>
      <c r="AB13" s="279"/>
      <c r="AC13" s="279"/>
      <c r="AD13" s="279"/>
      <c r="AE13" s="279"/>
      <c r="AF13" s="279"/>
      <c r="AG13" s="279"/>
      <c r="AH13" s="279"/>
      <c r="AI13" s="279"/>
      <c r="AJ13" s="279"/>
      <c r="AK13" s="279"/>
      <c r="AL13" s="279"/>
      <c r="AM13" s="279"/>
      <c r="AN13" s="279"/>
      <c r="AO13" s="281"/>
      <c r="AP13" s="282">
        <f t="shared" si="0"/>
        <v>0</v>
      </c>
      <c r="AQ13" s="283">
        <f t="shared" si="4"/>
        <v>0</v>
      </c>
    </row>
    <row r="14" spans="1:45" ht="14.7" customHeight="1" thickTop="1" thickBot="1" x14ac:dyDescent="0.3">
      <c r="A14" s="462"/>
      <c r="B14" s="264" t="s">
        <v>89</v>
      </c>
      <c r="C14" s="300" t="s">
        <v>90</v>
      </c>
      <c r="D14" s="266" t="s">
        <v>91</v>
      </c>
      <c r="E14" s="299">
        <v>150000</v>
      </c>
      <c r="F14" s="268"/>
      <c r="G14" s="268"/>
      <c r="H14" s="268"/>
      <c r="I14" s="268"/>
      <c r="J14" s="268">
        <v>40000</v>
      </c>
      <c r="K14" s="288"/>
      <c r="L14" s="289"/>
      <c r="M14" s="268"/>
      <c r="N14" s="270">
        <v>40000</v>
      </c>
      <c r="O14" s="290">
        <v>110000</v>
      </c>
      <c r="P14" s="268"/>
      <c r="Q14" s="271"/>
      <c r="R14" s="271"/>
      <c r="S14" s="271"/>
      <c r="T14" s="272">
        <f t="shared" si="3"/>
        <v>150000</v>
      </c>
      <c r="U14" s="291"/>
      <c r="W14" s="292"/>
      <c r="X14" s="293"/>
      <c r="Y14" s="277"/>
      <c r="Z14" s="278"/>
      <c r="AA14" s="279"/>
      <c r="AB14" s="279"/>
      <c r="AC14" s="279"/>
      <c r="AD14" s="280">
        <f>N14</f>
        <v>40000</v>
      </c>
      <c r="AE14" s="279"/>
      <c r="AF14" s="279"/>
      <c r="AG14" s="279"/>
      <c r="AH14" s="279"/>
      <c r="AI14" s="279"/>
      <c r="AJ14" s="279"/>
      <c r="AK14" s="279"/>
      <c r="AL14" s="279"/>
      <c r="AM14" s="279"/>
      <c r="AN14" s="279"/>
      <c r="AO14" s="281"/>
      <c r="AP14" s="282">
        <f t="shared" si="0"/>
        <v>40000</v>
      </c>
      <c r="AQ14" s="283">
        <f t="shared" si="4"/>
        <v>0</v>
      </c>
    </row>
    <row r="15" spans="1:45" ht="14.7" customHeight="1" thickTop="1" thickBot="1" x14ac:dyDescent="0.3">
      <c r="A15" s="462"/>
      <c r="B15" s="264" t="s">
        <v>92</v>
      </c>
      <c r="C15" s="284" t="s">
        <v>93</v>
      </c>
      <c r="D15" s="266" t="s">
        <v>94</v>
      </c>
      <c r="E15" s="301">
        <v>3150000</v>
      </c>
      <c r="F15" s="268"/>
      <c r="G15" s="287"/>
      <c r="H15" s="287"/>
      <c r="I15" s="268"/>
      <c r="J15" s="268"/>
      <c r="K15" s="288"/>
      <c r="L15" s="289"/>
      <c r="M15" s="268"/>
      <c r="N15" s="290"/>
      <c r="O15" s="290">
        <v>350000</v>
      </c>
      <c r="P15" s="268">
        <v>300000</v>
      </c>
      <c r="Q15" s="268">
        <v>2500000</v>
      </c>
      <c r="R15" s="271"/>
      <c r="S15" s="271"/>
      <c r="T15" s="272">
        <f t="shared" si="3"/>
        <v>3150000</v>
      </c>
      <c r="U15" s="291">
        <v>2500000</v>
      </c>
      <c r="V15" s="274" t="s">
        <v>95</v>
      </c>
      <c r="W15" s="292" t="s">
        <v>96</v>
      </c>
      <c r="X15" s="293">
        <v>2500000</v>
      </c>
      <c r="Y15" s="277"/>
      <c r="Z15" s="278"/>
      <c r="AA15" s="279"/>
      <c r="AB15" s="279"/>
      <c r="AC15" s="279"/>
      <c r="AD15" s="279"/>
      <c r="AE15" s="279"/>
      <c r="AF15" s="279"/>
      <c r="AG15" s="279"/>
      <c r="AH15" s="279"/>
      <c r="AI15" s="279"/>
      <c r="AJ15" s="279"/>
      <c r="AK15" s="279"/>
      <c r="AL15" s="279"/>
      <c r="AM15" s="279"/>
      <c r="AN15" s="279"/>
      <c r="AO15" s="281"/>
      <c r="AP15" s="282">
        <f t="shared" si="0"/>
        <v>2500000</v>
      </c>
      <c r="AQ15" s="283">
        <f t="shared" si="4"/>
        <v>-2500000</v>
      </c>
    </row>
    <row r="16" spans="1:45" ht="14.7" customHeight="1" thickTop="1" thickBot="1" x14ac:dyDescent="0.3">
      <c r="A16" s="462"/>
      <c r="B16" s="264" t="s">
        <v>97</v>
      </c>
      <c r="C16" s="284" t="s">
        <v>98</v>
      </c>
      <c r="D16" s="285" t="s">
        <v>99</v>
      </c>
      <c r="E16" s="301">
        <v>3850000</v>
      </c>
      <c r="F16" s="268"/>
      <c r="G16" s="268"/>
      <c r="H16" s="268"/>
      <c r="I16" s="268"/>
      <c r="J16" s="268"/>
      <c r="K16" s="288"/>
      <c r="L16" s="289"/>
      <c r="M16" s="268"/>
      <c r="N16" s="290"/>
      <c r="O16" s="290"/>
      <c r="P16" s="268">
        <v>350000</v>
      </c>
      <c r="Q16" s="268">
        <v>3500000</v>
      </c>
      <c r="R16" s="271"/>
      <c r="S16" s="271"/>
      <c r="T16" s="272">
        <f t="shared" si="3"/>
        <v>3850000</v>
      </c>
      <c r="U16" s="291"/>
      <c r="W16" s="292"/>
      <c r="X16" s="293"/>
      <c r="Y16" s="277"/>
      <c r="Z16" s="278"/>
      <c r="AA16" s="279"/>
      <c r="AB16" s="279"/>
      <c r="AC16" s="279"/>
      <c r="AD16" s="279"/>
      <c r="AE16" s="279"/>
      <c r="AF16" s="279"/>
      <c r="AG16" s="279"/>
      <c r="AH16" s="279"/>
      <c r="AI16" s="279"/>
      <c r="AJ16" s="279"/>
      <c r="AK16" s="279"/>
      <c r="AL16" s="279"/>
      <c r="AM16" s="279"/>
      <c r="AN16" s="279"/>
      <c r="AO16" s="281"/>
      <c r="AP16" s="282">
        <f t="shared" si="0"/>
        <v>0</v>
      </c>
      <c r="AQ16" s="283">
        <f t="shared" si="4"/>
        <v>0</v>
      </c>
    </row>
    <row r="17" spans="1:43" ht="17.25" customHeight="1" thickTop="1" thickBot="1" x14ac:dyDescent="0.3">
      <c r="A17" s="462"/>
      <c r="B17" s="264" t="s">
        <v>100</v>
      </c>
      <c r="C17" s="284" t="s">
        <v>101</v>
      </c>
      <c r="D17" s="285" t="s">
        <v>102</v>
      </c>
      <c r="E17" s="301">
        <v>1100000</v>
      </c>
      <c r="F17" s="268"/>
      <c r="G17" s="268"/>
      <c r="H17" s="268"/>
      <c r="I17" s="268"/>
      <c r="J17" s="268"/>
      <c r="K17" s="288"/>
      <c r="L17" s="302" t="s">
        <v>12</v>
      </c>
      <c r="M17" s="268"/>
      <c r="N17" s="268"/>
      <c r="O17" s="268">
        <v>100000</v>
      </c>
      <c r="P17" s="268">
        <v>1000000</v>
      </c>
      <c r="Q17" s="268"/>
      <c r="R17" s="271"/>
      <c r="S17" s="271"/>
      <c r="T17" s="272">
        <f t="shared" si="3"/>
        <v>1100000</v>
      </c>
      <c r="U17" s="291"/>
      <c r="W17" s="292"/>
      <c r="X17" s="293"/>
      <c r="Y17" s="277"/>
      <c r="Z17" s="278"/>
      <c r="AA17" s="279"/>
      <c r="AB17" s="279"/>
      <c r="AC17" s="279"/>
      <c r="AD17" s="279"/>
      <c r="AE17" s="279"/>
      <c r="AF17" s="279"/>
      <c r="AG17" s="279"/>
      <c r="AH17" s="279"/>
      <c r="AI17" s="279"/>
      <c r="AJ17" s="279"/>
      <c r="AK17" s="279"/>
      <c r="AL17" s="279"/>
      <c r="AM17" s="279"/>
      <c r="AN17" s="279"/>
      <c r="AO17" s="281"/>
      <c r="AP17" s="282">
        <f t="shared" si="0"/>
        <v>0</v>
      </c>
      <c r="AQ17" s="283">
        <f t="shared" si="4"/>
        <v>0</v>
      </c>
    </row>
    <row r="18" spans="1:43" ht="14.7" customHeight="1" thickTop="1" thickBot="1" x14ac:dyDescent="0.3">
      <c r="A18" s="462"/>
      <c r="B18" s="264" t="s">
        <v>103</v>
      </c>
      <c r="C18" s="284" t="s">
        <v>104</v>
      </c>
      <c r="D18" s="266" t="s">
        <v>348</v>
      </c>
      <c r="E18" s="301">
        <v>3650000</v>
      </c>
      <c r="F18" s="268"/>
      <c r="G18" s="287"/>
      <c r="H18" s="287"/>
      <c r="I18" s="268"/>
      <c r="J18" s="268"/>
      <c r="K18" s="288"/>
      <c r="L18" s="302" t="s">
        <v>12</v>
      </c>
      <c r="M18" s="268"/>
      <c r="N18" s="268"/>
      <c r="O18" s="268">
        <v>400000</v>
      </c>
      <c r="P18" s="268">
        <v>250000</v>
      </c>
      <c r="Q18" s="268">
        <v>3000000</v>
      </c>
      <c r="R18" s="271"/>
      <c r="S18" s="271"/>
      <c r="T18" s="272">
        <f t="shared" si="3"/>
        <v>3650000</v>
      </c>
      <c r="U18" s="303">
        <v>3000000</v>
      </c>
      <c r="V18" s="274" t="s">
        <v>95</v>
      </c>
      <c r="W18" s="292" t="s">
        <v>96</v>
      </c>
      <c r="X18" s="293">
        <v>3000000</v>
      </c>
      <c r="Y18" s="277"/>
      <c r="Z18" s="278"/>
      <c r="AA18" s="279"/>
      <c r="AB18" s="279"/>
      <c r="AC18" s="279"/>
      <c r="AD18" s="279"/>
      <c r="AE18" s="279"/>
      <c r="AF18" s="279"/>
      <c r="AG18" s="279"/>
      <c r="AH18" s="279"/>
      <c r="AI18" s="279"/>
      <c r="AJ18" s="279"/>
      <c r="AK18" s="279"/>
      <c r="AL18" s="279"/>
      <c r="AM18" s="279"/>
      <c r="AN18" s="279"/>
      <c r="AO18" s="281"/>
      <c r="AP18" s="282">
        <f t="shared" si="0"/>
        <v>3000000</v>
      </c>
      <c r="AQ18" s="283">
        <f t="shared" si="4"/>
        <v>-3000000</v>
      </c>
    </row>
    <row r="19" spans="1:43" ht="14.7" customHeight="1" thickTop="1" thickBot="1" x14ac:dyDescent="0.3">
      <c r="A19" s="462"/>
      <c r="B19" s="264" t="s">
        <v>106</v>
      </c>
      <c r="C19" s="284" t="s">
        <v>107</v>
      </c>
      <c r="D19" s="266" t="s">
        <v>349</v>
      </c>
      <c r="E19" s="301">
        <v>3500000</v>
      </c>
      <c r="F19" s="268"/>
      <c r="G19" s="287"/>
      <c r="H19" s="287"/>
      <c r="I19" s="268"/>
      <c r="J19" s="268"/>
      <c r="K19" s="288"/>
      <c r="L19" s="302" t="s">
        <v>12</v>
      </c>
      <c r="M19" s="268"/>
      <c r="N19" s="268"/>
      <c r="O19" s="268"/>
      <c r="P19" s="268"/>
      <c r="Q19" s="268">
        <v>500000</v>
      </c>
      <c r="R19" s="268">
        <v>3000000</v>
      </c>
      <c r="S19" s="268"/>
      <c r="T19" s="272">
        <f t="shared" si="3"/>
        <v>3500000</v>
      </c>
      <c r="U19" s="303"/>
      <c r="W19" s="292"/>
      <c r="X19" s="293"/>
      <c r="Y19" s="277"/>
      <c r="Z19" s="278"/>
      <c r="AA19" s="279"/>
      <c r="AB19" s="279"/>
      <c r="AC19" s="279"/>
      <c r="AD19" s="279"/>
      <c r="AE19" s="279"/>
      <c r="AF19" s="279"/>
      <c r="AG19" s="279"/>
      <c r="AH19" s="279"/>
      <c r="AI19" s="279"/>
      <c r="AJ19" s="279"/>
      <c r="AK19" s="279"/>
      <c r="AL19" s="279"/>
      <c r="AM19" s="279"/>
      <c r="AN19" s="279"/>
      <c r="AO19" s="281"/>
      <c r="AP19" s="282">
        <f t="shared" si="0"/>
        <v>0</v>
      </c>
      <c r="AQ19" s="283">
        <f t="shared" si="4"/>
        <v>0</v>
      </c>
    </row>
    <row r="20" spans="1:43" ht="14.7" customHeight="1" thickTop="1" thickBot="1" x14ac:dyDescent="0.3">
      <c r="A20" s="462"/>
      <c r="B20" s="264" t="s">
        <v>346</v>
      </c>
      <c r="C20" s="284" t="s">
        <v>108</v>
      </c>
      <c r="D20" s="266" t="s">
        <v>347</v>
      </c>
      <c r="E20" s="301">
        <f t="shared" ref="E20" si="5">J20+N20+O20+P20+Q20+R20</f>
        <v>600000</v>
      </c>
      <c r="F20" s="268">
        <v>100000</v>
      </c>
      <c r="G20" s="268">
        <v>155000</v>
      </c>
      <c r="H20" s="268">
        <f>G20</f>
        <v>155000</v>
      </c>
      <c r="I20" s="268">
        <f>F20-H20</f>
        <v>-55000</v>
      </c>
      <c r="J20" s="268">
        <v>100000</v>
      </c>
      <c r="K20" s="288"/>
      <c r="L20" s="302"/>
      <c r="M20" s="268">
        <f t="shared" si="2"/>
        <v>155000</v>
      </c>
      <c r="N20" s="270">
        <v>100000</v>
      </c>
      <c r="O20" s="268">
        <v>100000</v>
      </c>
      <c r="P20" s="268">
        <v>100000</v>
      </c>
      <c r="Q20" s="268">
        <v>100000</v>
      </c>
      <c r="R20" s="271">
        <v>100000</v>
      </c>
      <c r="S20" s="271">
        <v>100000</v>
      </c>
      <c r="T20" s="272">
        <f t="shared" si="3"/>
        <v>755000</v>
      </c>
      <c r="U20" s="291"/>
      <c r="W20" s="292"/>
      <c r="X20" s="293"/>
      <c r="Y20" s="277"/>
      <c r="Z20" s="278"/>
      <c r="AA20" s="279"/>
      <c r="AB20" s="279"/>
      <c r="AC20" s="280">
        <v>100000</v>
      </c>
      <c r="AD20" s="279"/>
      <c r="AE20" s="279"/>
      <c r="AF20" s="279"/>
      <c r="AG20" s="279"/>
      <c r="AH20" s="279"/>
      <c r="AI20" s="279"/>
      <c r="AJ20" s="279"/>
      <c r="AK20" s="279"/>
      <c r="AL20" s="279"/>
      <c r="AM20" s="279"/>
      <c r="AN20" s="279"/>
      <c r="AO20" s="281"/>
      <c r="AP20" s="282">
        <f t="shared" si="0"/>
        <v>100000</v>
      </c>
      <c r="AQ20" s="283">
        <f t="shared" si="4"/>
        <v>0</v>
      </c>
    </row>
    <row r="21" spans="1:43" ht="14.7" customHeight="1" thickTop="1" thickBot="1" x14ac:dyDescent="0.3">
      <c r="A21" s="462"/>
      <c r="B21" s="264" t="s">
        <v>110</v>
      </c>
      <c r="C21" s="284" t="s">
        <v>111</v>
      </c>
      <c r="D21" s="266" t="s">
        <v>112</v>
      </c>
      <c r="E21" s="301">
        <f>J21+N21+O21+P21+Q21+R21</f>
        <v>1200000</v>
      </c>
      <c r="F21" s="268">
        <v>100000</v>
      </c>
      <c r="G21" s="268">
        <v>0</v>
      </c>
      <c r="H21" s="268">
        <v>50000</v>
      </c>
      <c r="I21" s="268">
        <f t="shared" si="1"/>
        <v>50000</v>
      </c>
      <c r="J21" s="268">
        <v>200000</v>
      </c>
      <c r="K21" s="288"/>
      <c r="L21" s="302"/>
      <c r="M21" s="268">
        <f t="shared" si="2"/>
        <v>50000</v>
      </c>
      <c r="N21" s="270">
        <v>200000</v>
      </c>
      <c r="O21" s="268">
        <v>200000</v>
      </c>
      <c r="P21" s="268">
        <v>200000</v>
      </c>
      <c r="Q21" s="268">
        <v>200000</v>
      </c>
      <c r="R21" s="268">
        <v>200000</v>
      </c>
      <c r="S21" s="268">
        <v>200000</v>
      </c>
      <c r="T21" s="272">
        <f t="shared" si="3"/>
        <v>1250000</v>
      </c>
      <c r="U21" s="291"/>
      <c r="W21" s="292"/>
      <c r="X21" s="293"/>
      <c r="Y21" s="277"/>
      <c r="Z21" s="278"/>
      <c r="AA21" s="279"/>
      <c r="AB21" s="279"/>
      <c r="AC21" s="279"/>
      <c r="AD21" s="279"/>
      <c r="AE21" s="279"/>
      <c r="AF21" s="279"/>
      <c r="AG21" s="279"/>
      <c r="AH21" s="279"/>
      <c r="AI21" s="279"/>
      <c r="AJ21" s="279"/>
      <c r="AK21" s="279"/>
      <c r="AL21" s="279"/>
      <c r="AM21" s="280">
        <v>200000</v>
      </c>
      <c r="AN21" s="279"/>
      <c r="AO21" s="281"/>
      <c r="AP21" s="282">
        <f t="shared" si="0"/>
        <v>200000</v>
      </c>
      <c r="AQ21" s="283">
        <f t="shared" si="4"/>
        <v>0</v>
      </c>
    </row>
    <row r="22" spans="1:43" ht="14.7" customHeight="1" thickTop="1" thickBot="1" x14ac:dyDescent="0.3">
      <c r="A22" s="462"/>
      <c r="B22" s="264" t="s">
        <v>114</v>
      </c>
      <c r="C22" s="284" t="s">
        <v>115</v>
      </c>
      <c r="D22" s="266" t="s">
        <v>116</v>
      </c>
      <c r="E22" s="301">
        <f>J22+N22+O22+P22+Q22+R22</f>
        <v>4200000</v>
      </c>
      <c r="F22" s="268">
        <v>900000</v>
      </c>
      <c r="G22" s="268">
        <v>62314</v>
      </c>
      <c r="H22" s="268">
        <v>535000</v>
      </c>
      <c r="I22" s="268">
        <f t="shared" si="1"/>
        <v>365000</v>
      </c>
      <c r="J22" s="268">
        <v>700000</v>
      </c>
      <c r="K22" s="288"/>
      <c r="L22" s="302"/>
      <c r="M22" s="268">
        <f t="shared" si="2"/>
        <v>535000</v>
      </c>
      <c r="N22" s="270">
        <f>J22</f>
        <v>700000</v>
      </c>
      <c r="O22" s="268">
        <v>700000</v>
      </c>
      <c r="P22" s="268">
        <v>700000</v>
      </c>
      <c r="Q22" s="268">
        <v>700000</v>
      </c>
      <c r="R22" s="268">
        <v>700000</v>
      </c>
      <c r="S22" s="268">
        <v>700000</v>
      </c>
      <c r="T22" s="272">
        <f t="shared" si="3"/>
        <v>4735000</v>
      </c>
      <c r="U22" s="291"/>
      <c r="W22" s="292"/>
      <c r="X22" s="293"/>
      <c r="Y22" s="277"/>
      <c r="Z22" s="278"/>
      <c r="AA22" s="279"/>
      <c r="AB22" s="279"/>
      <c r="AC22" s="280">
        <v>200000</v>
      </c>
      <c r="AD22" s="280">
        <v>500000</v>
      </c>
      <c r="AE22" s="279"/>
      <c r="AF22" s="279"/>
      <c r="AG22" s="279"/>
      <c r="AH22" s="279"/>
      <c r="AI22" s="279"/>
      <c r="AJ22" s="279"/>
      <c r="AK22" s="279"/>
      <c r="AL22" s="279"/>
      <c r="AM22" s="279"/>
      <c r="AN22" s="279"/>
      <c r="AO22" s="281"/>
      <c r="AP22" s="282">
        <f t="shared" si="0"/>
        <v>700000</v>
      </c>
      <c r="AQ22" s="283">
        <f t="shared" si="4"/>
        <v>0</v>
      </c>
    </row>
    <row r="23" spans="1:43" ht="17.7" customHeight="1" thickTop="1" thickBot="1" x14ac:dyDescent="0.3">
      <c r="A23" s="462"/>
      <c r="B23" s="264" t="s">
        <v>118</v>
      </c>
      <c r="C23" s="284" t="s">
        <v>119</v>
      </c>
      <c r="D23" s="285" t="s">
        <v>120</v>
      </c>
      <c r="E23" s="301">
        <f>J23+N23+O23+P23+Q23+R23</f>
        <v>600000</v>
      </c>
      <c r="F23" s="287">
        <v>100000</v>
      </c>
      <c r="G23" s="287">
        <v>15415</v>
      </c>
      <c r="H23" s="287">
        <v>75000</v>
      </c>
      <c r="I23" s="268">
        <f t="shared" si="1"/>
        <v>25000</v>
      </c>
      <c r="J23" s="287">
        <v>100000</v>
      </c>
      <c r="K23" s="288"/>
      <c r="L23" s="302"/>
      <c r="M23" s="268">
        <f t="shared" si="2"/>
        <v>75000</v>
      </c>
      <c r="N23" s="270">
        <v>100000</v>
      </c>
      <c r="O23" s="268">
        <v>100000</v>
      </c>
      <c r="P23" s="268">
        <v>100000</v>
      </c>
      <c r="Q23" s="268">
        <v>100000</v>
      </c>
      <c r="R23" s="271">
        <v>100000</v>
      </c>
      <c r="S23" s="271">
        <v>100001</v>
      </c>
      <c r="T23" s="272">
        <f>SUM(M23:S23)</f>
        <v>675001</v>
      </c>
      <c r="U23" s="291"/>
      <c r="W23" s="292"/>
      <c r="X23" s="293"/>
      <c r="Y23" s="277"/>
      <c r="Z23" s="278"/>
      <c r="AA23" s="279"/>
      <c r="AB23" s="279"/>
      <c r="AC23" s="280">
        <v>100000</v>
      </c>
      <c r="AE23" s="279"/>
      <c r="AF23" s="279"/>
      <c r="AG23" s="279"/>
      <c r="AH23" s="279"/>
      <c r="AI23" s="279"/>
      <c r="AJ23" s="279"/>
      <c r="AK23" s="279"/>
      <c r="AL23" s="279"/>
      <c r="AM23" s="279"/>
      <c r="AN23" s="279"/>
      <c r="AO23" s="281"/>
      <c r="AP23" s="282">
        <f t="shared" si="0"/>
        <v>100000</v>
      </c>
      <c r="AQ23" s="283">
        <f t="shared" si="4"/>
        <v>0</v>
      </c>
    </row>
    <row r="24" spans="1:43" ht="28.95" customHeight="1" thickTop="1" thickBot="1" x14ac:dyDescent="0.3">
      <c r="A24" s="462"/>
      <c r="B24" s="305" t="s">
        <v>287</v>
      </c>
      <c r="C24" s="306" t="s">
        <v>324</v>
      </c>
      <c r="D24" s="285" t="s">
        <v>323</v>
      </c>
      <c r="E24" s="301">
        <v>120000</v>
      </c>
      <c r="F24" s="287"/>
      <c r="G24" s="287"/>
      <c r="H24" s="287"/>
      <c r="I24" s="268"/>
      <c r="J24" s="287">
        <v>120000</v>
      </c>
      <c r="K24" s="288"/>
      <c r="L24" s="302"/>
      <c r="M24" s="268"/>
      <c r="N24" s="270">
        <v>120000</v>
      </c>
      <c r="O24" s="268"/>
      <c r="P24" s="268"/>
      <c r="Q24" s="268"/>
      <c r="R24" s="271"/>
      <c r="S24" s="271"/>
      <c r="T24" s="272">
        <f t="shared" si="3"/>
        <v>120000</v>
      </c>
      <c r="U24" s="291"/>
      <c r="W24" s="292"/>
      <c r="X24" s="293"/>
      <c r="Y24" s="277"/>
      <c r="Z24" s="278"/>
      <c r="AA24" s="279"/>
      <c r="AB24" s="279"/>
      <c r="AC24" s="280">
        <v>120000</v>
      </c>
      <c r="AD24" s="279"/>
      <c r="AE24" s="279"/>
      <c r="AF24" s="279"/>
      <c r="AG24" s="279"/>
      <c r="AH24" s="279"/>
      <c r="AI24" s="279"/>
      <c r="AJ24" s="279"/>
      <c r="AK24" s="279"/>
      <c r="AL24" s="279"/>
      <c r="AM24" s="279"/>
      <c r="AN24" s="279"/>
      <c r="AO24" s="281"/>
      <c r="AP24" s="282">
        <f t="shared" si="0"/>
        <v>120000</v>
      </c>
      <c r="AQ24" s="283">
        <f t="shared" si="4"/>
        <v>0</v>
      </c>
    </row>
    <row r="25" spans="1:43" s="27" customFormat="1" ht="14.7" customHeight="1" thickTop="1" x14ac:dyDescent="0.3">
      <c r="A25" s="462"/>
      <c r="B25" s="307"/>
      <c r="C25" s="308" t="s">
        <v>390</v>
      </c>
      <c r="D25" s="405" t="s">
        <v>335</v>
      </c>
      <c r="E25" s="309">
        <f t="shared" ref="E25:X25" si="6">SUM(E7:E24)</f>
        <v>42790000</v>
      </c>
      <c r="F25" s="309">
        <f t="shared" si="6"/>
        <v>8250740</v>
      </c>
      <c r="G25" s="309">
        <f t="shared" si="6"/>
        <v>2767032</v>
      </c>
      <c r="H25" s="309">
        <f t="shared" si="6"/>
        <v>5318536</v>
      </c>
      <c r="I25" s="309">
        <f t="shared" si="6"/>
        <v>2932204</v>
      </c>
      <c r="J25" s="309">
        <f t="shared" si="6"/>
        <v>8184679</v>
      </c>
      <c r="K25" s="309">
        <f t="shared" si="6"/>
        <v>0</v>
      </c>
      <c r="L25" s="309">
        <f t="shared" si="6"/>
        <v>0</v>
      </c>
      <c r="M25" s="309">
        <f t="shared" si="6"/>
        <v>5318536</v>
      </c>
      <c r="N25" s="309">
        <f>SUM(N7:N24)</f>
        <v>6064679</v>
      </c>
      <c r="O25" s="309">
        <f t="shared" si="6"/>
        <v>8381785</v>
      </c>
      <c r="P25" s="309">
        <f t="shared" si="6"/>
        <v>5780000</v>
      </c>
      <c r="Q25" s="309">
        <f t="shared" si="6"/>
        <v>10600000</v>
      </c>
      <c r="R25" s="309">
        <f t="shared" si="6"/>
        <v>4100000</v>
      </c>
      <c r="S25" s="309">
        <f t="shared" si="6"/>
        <v>1100001</v>
      </c>
      <c r="T25" s="310">
        <f>SUM(N25:S25)</f>
        <v>36026465</v>
      </c>
      <c r="U25" s="311">
        <f t="shared" si="6"/>
        <v>13404000</v>
      </c>
      <c r="V25" s="312">
        <f t="shared" si="6"/>
        <v>0</v>
      </c>
      <c r="W25" s="313">
        <f t="shared" si="6"/>
        <v>0</v>
      </c>
      <c r="X25" s="314">
        <f t="shared" si="6"/>
        <v>9144000</v>
      </c>
      <c r="Y25" s="315"/>
      <c r="Z25" s="316">
        <f t="shared" ref="Z25:AO25" si="7">SUM(Z7:Z24)</f>
        <v>0</v>
      </c>
      <c r="AA25" s="317">
        <f t="shared" si="7"/>
        <v>0</v>
      </c>
      <c r="AB25" s="317">
        <f t="shared" si="7"/>
        <v>0</v>
      </c>
      <c r="AC25" s="317">
        <f t="shared" si="7"/>
        <v>520000</v>
      </c>
      <c r="AD25" s="317">
        <f t="shared" si="7"/>
        <v>2842653</v>
      </c>
      <c r="AE25" s="317">
        <f t="shared" si="7"/>
        <v>134000</v>
      </c>
      <c r="AF25" s="317">
        <f t="shared" si="7"/>
        <v>0</v>
      </c>
      <c r="AG25" s="317">
        <f t="shared" si="7"/>
        <v>0</v>
      </c>
      <c r="AH25" s="317">
        <f t="shared" si="7"/>
        <v>46000</v>
      </c>
      <c r="AI25" s="317">
        <f t="shared" si="7"/>
        <v>0</v>
      </c>
      <c r="AJ25" s="317">
        <f t="shared" si="7"/>
        <v>0</v>
      </c>
      <c r="AK25" s="317">
        <f t="shared" si="7"/>
        <v>1555826</v>
      </c>
      <c r="AL25" s="317">
        <f t="shared" si="7"/>
        <v>0</v>
      </c>
      <c r="AM25" s="317">
        <f t="shared" si="7"/>
        <v>200000</v>
      </c>
      <c r="AN25" s="317">
        <f t="shared" si="7"/>
        <v>1142200</v>
      </c>
      <c r="AO25" s="315">
        <f t="shared" si="7"/>
        <v>600000</v>
      </c>
      <c r="AP25" s="282">
        <f t="shared" si="0"/>
        <v>16184679</v>
      </c>
      <c r="AQ25" s="283">
        <f t="shared" ref="AQ25:AQ45" si="8">J25-AP25</f>
        <v>-8000000</v>
      </c>
    </row>
    <row r="26" spans="1:43" ht="14.7" customHeight="1" x14ac:dyDescent="0.3">
      <c r="A26" s="318"/>
      <c r="E26" s="301"/>
      <c r="F26" s="268"/>
      <c r="G26" s="268"/>
      <c r="H26" s="268"/>
      <c r="I26" s="268"/>
      <c r="J26" s="271"/>
      <c r="K26" s="271"/>
      <c r="L26" s="271"/>
      <c r="M26" s="271"/>
      <c r="N26" s="271"/>
      <c r="O26" s="271"/>
      <c r="P26" s="271"/>
      <c r="Q26" s="271"/>
      <c r="R26" s="271"/>
      <c r="S26" s="271"/>
      <c r="T26" s="272">
        <f>SUM(M26:S26)</f>
        <v>0</v>
      </c>
      <c r="U26" s="291"/>
      <c r="W26" s="292"/>
      <c r="X26" s="293"/>
      <c r="Y26" s="277"/>
      <c r="Z26" s="278"/>
      <c r="AA26" s="279"/>
      <c r="AB26" s="279"/>
      <c r="AC26" s="279"/>
      <c r="AD26" s="279"/>
      <c r="AE26" s="279"/>
      <c r="AF26" s="279"/>
      <c r="AG26" s="279"/>
      <c r="AH26" s="279"/>
      <c r="AI26" s="279"/>
      <c r="AJ26" s="279"/>
      <c r="AK26" s="319"/>
      <c r="AL26" s="279"/>
      <c r="AM26" s="279"/>
      <c r="AN26" s="279"/>
      <c r="AO26" s="281"/>
      <c r="AP26" s="282">
        <f t="shared" si="0"/>
        <v>0</v>
      </c>
      <c r="AQ26" s="320">
        <f t="shared" si="8"/>
        <v>0</v>
      </c>
    </row>
    <row r="27" spans="1:43" ht="14.7" customHeight="1" x14ac:dyDescent="0.3">
      <c r="A27" s="463" t="s">
        <v>123</v>
      </c>
      <c r="B27" s="264" t="s">
        <v>124</v>
      </c>
      <c r="C27" s="284" t="s">
        <v>125</v>
      </c>
      <c r="D27" s="266" t="s">
        <v>126</v>
      </c>
      <c r="E27" s="301">
        <v>2000000</v>
      </c>
      <c r="F27" s="287">
        <v>2350000</v>
      </c>
      <c r="G27" s="268">
        <v>6495</v>
      </c>
      <c r="H27" s="290">
        <v>750000</v>
      </c>
      <c r="I27" s="268">
        <f>E27-G27-H27</f>
        <v>1243505</v>
      </c>
      <c r="J27" s="287">
        <f>I27+40000</f>
        <v>1283505</v>
      </c>
      <c r="K27" s="287"/>
      <c r="L27" s="269"/>
      <c r="M27" s="269"/>
      <c r="N27" s="270">
        <f>J27</f>
        <v>1283505</v>
      </c>
      <c r="O27" s="268"/>
      <c r="P27" s="268"/>
      <c r="Q27" s="268"/>
      <c r="R27" s="268"/>
      <c r="S27" s="268"/>
      <c r="T27" s="321">
        <f t="shared" ref="T27:T45" si="9">SUM(M27:S27)</f>
        <v>1283505</v>
      </c>
      <c r="U27" s="291">
        <v>1204352</v>
      </c>
      <c r="V27" s="322" t="s">
        <v>361</v>
      </c>
      <c r="W27" s="297" t="s">
        <v>362</v>
      </c>
      <c r="X27" s="276">
        <f>U27</f>
        <v>1204352</v>
      </c>
      <c r="Y27" s="277"/>
      <c r="Z27" s="278"/>
      <c r="AA27" s="279"/>
      <c r="AB27" s="279"/>
      <c r="AC27" s="279"/>
      <c r="AD27" s="279"/>
      <c r="AE27" s="279"/>
      <c r="AF27" s="279"/>
      <c r="AG27" s="279"/>
      <c r="AH27" s="279"/>
      <c r="AI27" s="280">
        <f>N27-X27</f>
        <v>79153</v>
      </c>
      <c r="AJ27" s="279"/>
      <c r="AK27" s="319"/>
      <c r="AL27" s="279"/>
      <c r="AM27" s="279"/>
      <c r="AN27" s="279"/>
      <c r="AO27" s="281"/>
      <c r="AP27" s="282">
        <f t="shared" si="0"/>
        <v>1283505</v>
      </c>
      <c r="AQ27" s="320">
        <f t="shared" si="8"/>
        <v>0</v>
      </c>
    </row>
    <row r="28" spans="1:43" ht="14.7" customHeight="1" x14ac:dyDescent="0.25">
      <c r="A28" s="463"/>
      <c r="B28" s="264" t="s">
        <v>156</v>
      </c>
      <c r="C28" s="284" t="s">
        <v>157</v>
      </c>
      <c r="D28" s="266" t="s">
        <v>158</v>
      </c>
      <c r="E28" s="301">
        <f>J28+N28+O28+P28+Q28+R28</f>
        <v>3664774</v>
      </c>
      <c r="F28" s="323">
        <v>332387</v>
      </c>
      <c r="G28" s="271">
        <v>0</v>
      </c>
      <c r="H28" s="271">
        <v>0</v>
      </c>
      <c r="I28" s="271">
        <f>F28-H28</f>
        <v>332387</v>
      </c>
      <c r="J28" s="268">
        <f>I28</f>
        <v>332387</v>
      </c>
      <c r="K28" s="324"/>
      <c r="L28" s="302"/>
      <c r="M28" s="302"/>
      <c r="N28" s="270">
        <f>J28</f>
        <v>332387</v>
      </c>
      <c r="O28" s="268">
        <v>3000000</v>
      </c>
      <c r="P28" s="268"/>
      <c r="Q28" s="268"/>
      <c r="R28" s="268"/>
      <c r="S28" s="268"/>
      <c r="T28" s="321">
        <f>SUM(M28:S28)</f>
        <v>3332387</v>
      </c>
      <c r="U28" s="291">
        <v>500000</v>
      </c>
      <c r="V28" s="274" t="s">
        <v>367</v>
      </c>
      <c r="W28" s="297" t="s">
        <v>155</v>
      </c>
      <c r="X28" s="293">
        <f>U28</f>
        <v>500000</v>
      </c>
      <c r="Y28" s="277"/>
      <c r="Z28" s="278"/>
      <c r="AA28" s="279"/>
      <c r="AB28" s="279"/>
      <c r="AC28" s="279"/>
      <c r="AD28" s="279"/>
      <c r="AE28" s="279"/>
      <c r="AF28" s="279"/>
      <c r="AG28" s="279"/>
      <c r="AH28" s="279"/>
      <c r="AI28" s="280">
        <f>N28</f>
        <v>332387</v>
      </c>
      <c r="AJ28" s="279"/>
      <c r="AK28" s="319"/>
      <c r="AL28" s="279"/>
      <c r="AM28" s="279"/>
      <c r="AN28" s="279"/>
      <c r="AO28" s="281"/>
      <c r="AP28" s="282">
        <f t="shared" si="0"/>
        <v>832387</v>
      </c>
      <c r="AQ28" s="283">
        <f>J28-AP28</f>
        <v>-500000</v>
      </c>
    </row>
    <row r="29" spans="1:43" ht="14.7" customHeight="1" x14ac:dyDescent="0.25">
      <c r="A29" s="463"/>
      <c r="B29" s="264" t="s">
        <v>150</v>
      </c>
      <c r="C29" s="284" t="s">
        <v>151</v>
      </c>
      <c r="D29" s="266" t="s">
        <v>152</v>
      </c>
      <c r="E29" s="301">
        <v>2455589</v>
      </c>
      <c r="F29" s="323">
        <v>2955089</v>
      </c>
      <c r="G29" s="271">
        <v>0</v>
      </c>
      <c r="H29" s="271">
        <v>0</v>
      </c>
      <c r="I29" s="271">
        <f>F29-H29</f>
        <v>2955089</v>
      </c>
      <c r="J29" s="268">
        <v>500000</v>
      </c>
      <c r="K29" s="324"/>
      <c r="L29" s="302" t="s">
        <v>314</v>
      </c>
      <c r="M29" s="302"/>
      <c r="N29" s="270">
        <f>J29</f>
        <v>500000</v>
      </c>
      <c r="O29" s="268">
        <v>1955589</v>
      </c>
      <c r="P29" s="268"/>
      <c r="Q29" s="268"/>
      <c r="R29" s="268"/>
      <c r="S29" s="268"/>
      <c r="T29" s="321">
        <f>SUM(M29:S29)</f>
        <v>2455589</v>
      </c>
      <c r="U29" s="291">
        <v>2455589</v>
      </c>
      <c r="V29" s="274" t="s">
        <v>366</v>
      </c>
      <c r="W29" s="297" t="s">
        <v>155</v>
      </c>
      <c r="X29" s="293">
        <f>U29</f>
        <v>2455589</v>
      </c>
      <c r="Y29" s="277"/>
      <c r="Z29" s="278"/>
      <c r="AA29" s="279"/>
      <c r="AB29" s="279"/>
      <c r="AC29" s="279"/>
      <c r="AD29" s="279"/>
      <c r="AE29" s="279"/>
      <c r="AF29" s="279"/>
      <c r="AG29" s="279"/>
      <c r="AH29" s="279"/>
      <c r="AI29" s="279">
        <v>0</v>
      </c>
      <c r="AJ29" s="279"/>
      <c r="AK29" s="279"/>
      <c r="AL29" s="279"/>
      <c r="AM29" s="279"/>
      <c r="AN29" s="279"/>
      <c r="AO29" s="281"/>
      <c r="AP29" s="282">
        <f t="shared" si="0"/>
        <v>2455589</v>
      </c>
      <c r="AQ29" s="283">
        <f>J29-AP29</f>
        <v>-1955589</v>
      </c>
    </row>
    <row r="30" spans="1:43" ht="30.45" customHeight="1" x14ac:dyDescent="0.25">
      <c r="A30" s="463"/>
      <c r="B30" s="264" t="s">
        <v>147</v>
      </c>
      <c r="C30" s="284" t="s">
        <v>148</v>
      </c>
      <c r="D30" s="266" t="s">
        <v>149</v>
      </c>
      <c r="E30" s="301">
        <v>100000</v>
      </c>
      <c r="F30" s="271">
        <v>100000</v>
      </c>
      <c r="G30" s="271">
        <v>0</v>
      </c>
      <c r="H30" s="271">
        <v>0</v>
      </c>
      <c r="I30" s="271">
        <f>F30-H30</f>
        <v>100000</v>
      </c>
      <c r="J30" s="268">
        <v>100000</v>
      </c>
      <c r="K30" s="324"/>
      <c r="L30" s="302" t="s">
        <v>12</v>
      </c>
      <c r="M30" s="302"/>
      <c r="N30" s="270">
        <f>J30</f>
        <v>100000</v>
      </c>
      <c r="O30" s="268"/>
      <c r="P30" s="268"/>
      <c r="Q30" s="268"/>
      <c r="R30" s="268"/>
      <c r="S30" s="268"/>
      <c r="T30" s="321">
        <f>SUM(M30:S30)</f>
        <v>100000</v>
      </c>
      <c r="U30" s="291">
        <v>100000</v>
      </c>
      <c r="V30" s="274" t="s">
        <v>363</v>
      </c>
      <c r="W30" s="297"/>
      <c r="X30" s="276">
        <f>U30</f>
        <v>100000</v>
      </c>
      <c r="Y30" s="277"/>
      <c r="Z30" s="278"/>
      <c r="AA30" s="279"/>
      <c r="AB30" s="279"/>
      <c r="AC30" s="279"/>
      <c r="AD30" s="279"/>
      <c r="AE30" s="279"/>
      <c r="AF30" s="279"/>
      <c r="AG30" s="279"/>
      <c r="AH30" s="279"/>
      <c r="AI30" s="279">
        <v>0</v>
      </c>
      <c r="AJ30" s="279"/>
      <c r="AK30" s="279"/>
      <c r="AL30" s="279"/>
      <c r="AM30" s="279"/>
      <c r="AN30" s="279"/>
      <c r="AO30" s="281"/>
      <c r="AP30" s="282">
        <f t="shared" si="0"/>
        <v>100000</v>
      </c>
      <c r="AQ30" s="320">
        <f t="shared" si="8"/>
        <v>0</v>
      </c>
    </row>
    <row r="31" spans="1:43" ht="14.7" customHeight="1" x14ac:dyDescent="0.25">
      <c r="A31" s="463"/>
      <c r="B31" s="264" t="s">
        <v>144</v>
      </c>
      <c r="C31" s="284" t="s">
        <v>145</v>
      </c>
      <c r="D31" s="266" t="s">
        <v>146</v>
      </c>
      <c r="E31" s="301">
        <v>100000</v>
      </c>
      <c r="F31" s="268">
        <v>100000</v>
      </c>
      <c r="G31" s="268">
        <v>27025</v>
      </c>
      <c r="H31" s="268">
        <v>27025</v>
      </c>
      <c r="I31" s="268">
        <f t="shared" ref="I31:I45" si="10">F31-H31</f>
        <v>72975</v>
      </c>
      <c r="J31" s="268">
        <f>180000</f>
        <v>180000</v>
      </c>
      <c r="K31" s="288" t="s">
        <v>398</v>
      </c>
      <c r="L31" s="302" t="s">
        <v>12</v>
      </c>
      <c r="M31" s="302"/>
      <c r="N31" s="270">
        <f>J31</f>
        <v>180000</v>
      </c>
      <c r="O31" s="268"/>
      <c r="P31" s="268"/>
      <c r="Q31" s="268"/>
      <c r="R31" s="268"/>
      <c r="S31" s="268"/>
      <c r="T31" s="321">
        <f t="shared" si="9"/>
        <v>180000</v>
      </c>
      <c r="U31" s="303"/>
      <c r="W31" s="297"/>
      <c r="X31" s="293"/>
      <c r="Y31" s="277"/>
      <c r="Z31" s="278"/>
      <c r="AA31" s="279"/>
      <c r="AB31" s="279"/>
      <c r="AC31" s="279"/>
      <c r="AD31" s="279"/>
      <c r="AE31" s="279"/>
      <c r="AF31" s="279"/>
      <c r="AG31" s="279"/>
      <c r="AH31" s="279"/>
      <c r="AI31" s="279">
        <v>0</v>
      </c>
      <c r="AJ31" s="279"/>
      <c r="AK31" s="280">
        <f>N31</f>
        <v>180000</v>
      </c>
      <c r="AL31" s="279"/>
      <c r="AM31" s="279"/>
      <c r="AN31" s="279"/>
      <c r="AO31" s="281"/>
      <c r="AP31" s="282">
        <f t="shared" si="0"/>
        <v>180000</v>
      </c>
      <c r="AQ31" s="320">
        <f t="shared" si="8"/>
        <v>0</v>
      </c>
    </row>
    <row r="32" spans="1:43" ht="14.7" customHeight="1" x14ac:dyDescent="0.25">
      <c r="A32" s="463"/>
      <c r="B32" s="264" t="s">
        <v>160</v>
      </c>
      <c r="C32" s="284" t="s">
        <v>161</v>
      </c>
      <c r="D32" s="266" t="s">
        <v>162</v>
      </c>
      <c r="E32" s="301">
        <v>4125000</v>
      </c>
      <c r="F32" s="268">
        <v>160000</v>
      </c>
      <c r="G32" s="268">
        <v>0</v>
      </c>
      <c r="H32" s="268">
        <v>0</v>
      </c>
      <c r="I32" s="268">
        <f t="shared" si="10"/>
        <v>160000</v>
      </c>
      <c r="J32" s="268">
        <v>400000</v>
      </c>
      <c r="K32" s="302"/>
      <c r="L32" s="302"/>
      <c r="M32" s="302"/>
      <c r="N32" s="270">
        <v>400000</v>
      </c>
      <c r="O32" s="268">
        <v>3725000</v>
      </c>
      <c r="P32" s="268"/>
      <c r="Q32" s="268"/>
      <c r="R32" s="268"/>
      <c r="S32" s="268"/>
      <c r="T32" s="321">
        <f t="shared" si="9"/>
        <v>4125000</v>
      </c>
      <c r="U32" s="291">
        <f>40000+200000+87000</f>
        <v>327000</v>
      </c>
      <c r="V32" s="274" t="s">
        <v>351</v>
      </c>
      <c r="W32" s="297" t="s">
        <v>155</v>
      </c>
      <c r="X32" s="276">
        <f>U32</f>
        <v>327000</v>
      </c>
      <c r="Y32" s="277"/>
      <c r="Z32" s="278"/>
      <c r="AA32" s="279"/>
      <c r="AB32" s="279"/>
      <c r="AC32" s="279"/>
      <c r="AD32" s="279"/>
      <c r="AE32" s="279"/>
      <c r="AF32" s="279"/>
      <c r="AG32" s="279"/>
      <c r="AH32" s="279"/>
      <c r="AI32" s="280">
        <f>N32-X32</f>
        <v>73000</v>
      </c>
      <c r="AJ32" s="279"/>
      <c r="AK32" s="319"/>
      <c r="AL32" s="279"/>
      <c r="AM32" s="279"/>
      <c r="AN32" s="279"/>
      <c r="AO32" s="281"/>
      <c r="AP32" s="282">
        <f t="shared" si="0"/>
        <v>400000</v>
      </c>
      <c r="AQ32" s="320">
        <f t="shared" si="8"/>
        <v>0</v>
      </c>
    </row>
    <row r="33" spans="1:44" ht="14.7" customHeight="1" x14ac:dyDescent="0.25">
      <c r="A33" s="463"/>
      <c r="B33" s="264" t="s">
        <v>168</v>
      </c>
      <c r="C33" s="284" t="s">
        <v>373</v>
      </c>
      <c r="D33" s="266" t="s">
        <v>170</v>
      </c>
      <c r="E33" s="301">
        <v>1300000</v>
      </c>
      <c r="F33" s="287"/>
      <c r="G33" s="268">
        <v>0</v>
      </c>
      <c r="H33" s="268"/>
      <c r="I33" s="268">
        <f t="shared" si="10"/>
        <v>0</v>
      </c>
      <c r="J33" s="287">
        <v>300000</v>
      </c>
      <c r="K33" s="325"/>
      <c r="L33" s="302" t="s">
        <v>12</v>
      </c>
      <c r="M33" s="302"/>
      <c r="N33" s="270">
        <v>300000</v>
      </c>
      <c r="O33" s="268">
        <v>1000000</v>
      </c>
      <c r="P33" s="268"/>
      <c r="Q33" s="268"/>
      <c r="R33" s="287"/>
      <c r="S33" s="287"/>
      <c r="T33" s="321">
        <f t="shared" si="9"/>
        <v>1300000</v>
      </c>
      <c r="U33" s="291"/>
      <c r="W33" s="297"/>
      <c r="X33" s="293"/>
      <c r="Y33" s="277"/>
      <c r="Z33" s="278"/>
      <c r="AA33" s="279"/>
      <c r="AB33" s="279"/>
      <c r="AC33" s="279"/>
      <c r="AD33" s="279"/>
      <c r="AE33" s="279"/>
      <c r="AF33" s="279"/>
      <c r="AG33" s="279"/>
      <c r="AH33" s="279"/>
      <c r="AI33" s="280">
        <f>N33</f>
        <v>300000</v>
      </c>
      <c r="AJ33" s="279"/>
      <c r="AK33" s="298"/>
      <c r="AL33" s="279"/>
      <c r="AM33" s="279"/>
      <c r="AN33" s="279"/>
      <c r="AO33" s="281"/>
      <c r="AP33" s="282">
        <f t="shared" si="0"/>
        <v>300000</v>
      </c>
      <c r="AQ33" s="320">
        <f t="shared" si="8"/>
        <v>0</v>
      </c>
    </row>
    <row r="34" spans="1:44" ht="14.7" customHeight="1" x14ac:dyDescent="0.25">
      <c r="A34" s="463"/>
      <c r="B34" s="264" t="s">
        <v>174</v>
      </c>
      <c r="C34" s="284" t="s">
        <v>352</v>
      </c>
      <c r="D34" s="266" t="s">
        <v>176</v>
      </c>
      <c r="E34" s="301">
        <f t="shared" ref="E34:E42" si="11">J34+N34+O34+P34+Q34+R34</f>
        <v>1546000</v>
      </c>
      <c r="F34" s="268">
        <v>800000</v>
      </c>
      <c r="G34" s="268">
        <v>113982</v>
      </c>
      <c r="H34" s="268">
        <v>135000</v>
      </c>
      <c r="I34" s="268">
        <f>F34-H34</f>
        <v>665000</v>
      </c>
      <c r="J34" s="268">
        <v>773000</v>
      </c>
      <c r="K34" s="288"/>
      <c r="L34" s="302" t="s">
        <v>12</v>
      </c>
      <c r="M34" s="302"/>
      <c r="N34" s="270">
        <f>J34</f>
        <v>773000</v>
      </c>
      <c r="O34" s="268"/>
      <c r="P34" s="268"/>
      <c r="Q34" s="268"/>
      <c r="R34" s="268"/>
      <c r="S34" s="268"/>
      <c r="T34" s="321">
        <f t="shared" si="9"/>
        <v>773000</v>
      </c>
      <c r="U34" s="291"/>
      <c r="W34" s="297"/>
      <c r="X34" s="293"/>
      <c r="Y34" s="277"/>
      <c r="Z34" s="278"/>
      <c r="AA34" s="279"/>
      <c r="AB34" s="279"/>
      <c r="AC34" s="279"/>
      <c r="AD34" s="279"/>
      <c r="AE34" s="279"/>
      <c r="AF34" s="279"/>
      <c r="AG34" s="279"/>
      <c r="AH34" s="279"/>
      <c r="AI34" s="280">
        <f>N34-AK34</f>
        <v>561000</v>
      </c>
      <c r="AJ34" s="279"/>
      <c r="AK34" s="280">
        <v>212000</v>
      </c>
      <c r="AL34" s="279"/>
      <c r="AM34" s="279"/>
      <c r="AN34" s="279"/>
      <c r="AO34" s="281"/>
      <c r="AP34" s="282">
        <f t="shared" si="0"/>
        <v>773000</v>
      </c>
      <c r="AQ34" s="320">
        <f t="shared" si="8"/>
        <v>0</v>
      </c>
    </row>
    <row r="35" spans="1:44" ht="14.7" customHeight="1" x14ac:dyDescent="0.25">
      <c r="A35" s="463"/>
      <c r="B35" s="264" t="s">
        <v>177</v>
      </c>
      <c r="C35" s="284" t="s">
        <v>178</v>
      </c>
      <c r="D35" s="266" t="s">
        <v>179</v>
      </c>
      <c r="E35" s="301">
        <f t="shared" si="11"/>
        <v>3470000</v>
      </c>
      <c r="F35" s="268">
        <v>500000</v>
      </c>
      <c r="G35" s="268">
        <v>0</v>
      </c>
      <c r="H35" s="268">
        <v>0</v>
      </c>
      <c r="I35" s="268">
        <f t="shared" si="10"/>
        <v>500000</v>
      </c>
      <c r="J35" s="268">
        <v>635000</v>
      </c>
      <c r="K35" s="288"/>
      <c r="L35" s="302"/>
      <c r="M35" s="302"/>
      <c r="N35" s="270">
        <v>635000</v>
      </c>
      <c r="O35" s="268">
        <v>2200000</v>
      </c>
      <c r="P35" s="268"/>
      <c r="Q35" s="268"/>
      <c r="R35" s="287"/>
      <c r="S35" s="287"/>
      <c r="T35" s="321">
        <f t="shared" si="9"/>
        <v>2835000</v>
      </c>
      <c r="U35" s="291">
        <v>500000</v>
      </c>
      <c r="V35" s="274" t="s">
        <v>364</v>
      </c>
      <c r="W35" s="297"/>
      <c r="X35" s="276">
        <f>U35</f>
        <v>500000</v>
      </c>
      <c r="Y35" s="277"/>
      <c r="Z35" s="278"/>
      <c r="AA35" s="279"/>
      <c r="AB35" s="279"/>
      <c r="AC35" s="279"/>
      <c r="AD35" s="279"/>
      <c r="AE35" s="279"/>
      <c r="AF35" s="279"/>
      <c r="AG35" s="279"/>
      <c r="AH35" s="279"/>
      <c r="AI35" s="280">
        <f>N35-X35</f>
        <v>135000</v>
      </c>
      <c r="AJ35" s="279"/>
      <c r="AK35" s="279"/>
      <c r="AL35" s="279"/>
      <c r="AM35" s="279"/>
      <c r="AN35" s="279"/>
      <c r="AO35" s="281"/>
      <c r="AP35" s="282">
        <f t="shared" si="0"/>
        <v>635000</v>
      </c>
      <c r="AQ35" s="320">
        <f t="shared" si="8"/>
        <v>0</v>
      </c>
    </row>
    <row r="36" spans="1:44" ht="14.7" customHeight="1" x14ac:dyDescent="0.25">
      <c r="A36" s="463"/>
      <c r="B36" s="264" t="s">
        <v>181</v>
      </c>
      <c r="C36" s="300" t="s">
        <v>182</v>
      </c>
      <c r="D36" s="266" t="s">
        <v>183</v>
      </c>
      <c r="E36" s="301">
        <f t="shared" si="11"/>
        <v>2800000</v>
      </c>
      <c r="F36" s="268"/>
      <c r="G36" s="268">
        <v>0</v>
      </c>
      <c r="H36" s="268"/>
      <c r="I36" s="268">
        <f t="shared" si="10"/>
        <v>0</v>
      </c>
      <c r="J36" s="268">
        <v>0</v>
      </c>
      <c r="K36" s="288"/>
      <c r="L36" s="302" t="s">
        <v>12</v>
      </c>
      <c r="M36" s="302"/>
      <c r="N36" s="268"/>
      <c r="O36" s="268">
        <v>500000</v>
      </c>
      <c r="P36" s="268">
        <v>2300000</v>
      </c>
      <c r="Q36" s="268"/>
      <c r="R36" s="287"/>
      <c r="S36" s="287"/>
      <c r="T36" s="321">
        <f t="shared" si="9"/>
        <v>2800000</v>
      </c>
      <c r="U36" s="291"/>
      <c r="W36" s="297"/>
      <c r="X36" s="293"/>
      <c r="Y36" s="277"/>
      <c r="Z36" s="278"/>
      <c r="AA36" s="279"/>
      <c r="AB36" s="279"/>
      <c r="AC36" s="279"/>
      <c r="AD36" s="279"/>
      <c r="AE36" s="279"/>
      <c r="AF36" s="279"/>
      <c r="AG36" s="279"/>
      <c r="AH36" s="279"/>
      <c r="AI36" s="279"/>
      <c r="AJ36" s="279"/>
      <c r="AK36" s="279"/>
      <c r="AL36" s="279"/>
      <c r="AM36" s="279"/>
      <c r="AN36" s="279"/>
      <c r="AO36" s="281"/>
      <c r="AP36" s="282">
        <f t="shared" si="0"/>
        <v>0</v>
      </c>
      <c r="AQ36" s="320">
        <f t="shared" si="8"/>
        <v>0</v>
      </c>
    </row>
    <row r="37" spans="1:44" ht="14.7" customHeight="1" x14ac:dyDescent="0.25">
      <c r="A37" s="463"/>
      <c r="B37" s="264" t="s">
        <v>184</v>
      </c>
      <c r="C37" s="300" t="s">
        <v>185</v>
      </c>
      <c r="D37" s="266" t="s">
        <v>186</v>
      </c>
      <c r="E37" s="301">
        <f t="shared" si="11"/>
        <v>5100000</v>
      </c>
      <c r="F37" s="268"/>
      <c r="G37" s="268">
        <v>0</v>
      </c>
      <c r="H37" s="268"/>
      <c r="I37" s="268">
        <f t="shared" si="10"/>
        <v>0</v>
      </c>
      <c r="J37" s="268">
        <v>0</v>
      </c>
      <c r="K37" s="288"/>
      <c r="L37" s="302" t="s">
        <v>12</v>
      </c>
      <c r="M37" s="302"/>
      <c r="N37" s="268"/>
      <c r="O37" s="268"/>
      <c r="P37" s="268">
        <v>500000</v>
      </c>
      <c r="Q37" s="268">
        <v>4600000</v>
      </c>
      <c r="R37" s="287"/>
      <c r="S37" s="287"/>
      <c r="T37" s="321">
        <f t="shared" si="9"/>
        <v>5100000</v>
      </c>
      <c r="U37" s="291"/>
      <c r="W37" s="297"/>
      <c r="X37" s="293"/>
      <c r="Y37" s="277"/>
      <c r="Z37" s="278"/>
      <c r="AA37" s="279"/>
      <c r="AB37" s="279"/>
      <c r="AC37" s="279"/>
      <c r="AD37" s="279"/>
      <c r="AE37" s="279"/>
      <c r="AF37" s="279"/>
      <c r="AG37" s="279"/>
      <c r="AH37" s="279"/>
      <c r="AI37" s="279"/>
      <c r="AJ37" s="279"/>
      <c r="AK37" s="279"/>
      <c r="AL37" s="279"/>
      <c r="AM37" s="279"/>
      <c r="AN37" s="279"/>
      <c r="AO37" s="281"/>
      <c r="AP37" s="282">
        <f t="shared" si="0"/>
        <v>0</v>
      </c>
      <c r="AQ37" s="320">
        <f t="shared" si="8"/>
        <v>0</v>
      </c>
    </row>
    <row r="38" spans="1:44" ht="14.7" customHeight="1" x14ac:dyDescent="0.25">
      <c r="A38" s="463"/>
      <c r="B38" s="264" t="s">
        <v>187</v>
      </c>
      <c r="C38" s="300" t="s">
        <v>188</v>
      </c>
      <c r="D38" s="266" t="s">
        <v>189</v>
      </c>
      <c r="E38" s="301">
        <f>J38+N38+O38+P38+Q38+R38</f>
        <v>1700000</v>
      </c>
      <c r="F38" s="268"/>
      <c r="G38" s="268">
        <v>0</v>
      </c>
      <c r="H38" s="268"/>
      <c r="I38" s="268">
        <f t="shared" si="10"/>
        <v>0</v>
      </c>
      <c r="J38" s="268">
        <v>0</v>
      </c>
      <c r="K38" s="288"/>
      <c r="L38" s="302" t="s">
        <v>12</v>
      </c>
      <c r="M38" s="302"/>
      <c r="N38" s="268"/>
      <c r="O38" s="268">
        <v>0</v>
      </c>
      <c r="P38" s="268"/>
      <c r="Q38" s="268">
        <v>500000</v>
      </c>
      <c r="R38" s="268">
        <v>1200000</v>
      </c>
      <c r="S38" s="287"/>
      <c r="T38" s="321">
        <f t="shared" si="9"/>
        <v>1700000</v>
      </c>
      <c r="U38" s="291"/>
      <c r="W38" s="297"/>
      <c r="X38" s="293"/>
      <c r="Y38" s="277"/>
      <c r="Z38" s="278"/>
      <c r="AA38" s="279"/>
      <c r="AB38" s="279"/>
      <c r="AC38" s="279"/>
      <c r="AD38" s="279"/>
      <c r="AE38" s="279"/>
      <c r="AF38" s="279"/>
      <c r="AG38" s="279"/>
      <c r="AH38" s="279"/>
      <c r="AI38" s="279"/>
      <c r="AJ38" s="279"/>
      <c r="AK38" s="279"/>
      <c r="AL38" s="279"/>
      <c r="AM38" s="279"/>
      <c r="AN38" s="279"/>
      <c r="AO38" s="281"/>
      <c r="AP38" s="282">
        <f t="shared" ref="AP38:AP58" si="12">SUM(X38:AO38)</f>
        <v>0</v>
      </c>
      <c r="AQ38" s="320">
        <f t="shared" si="8"/>
        <v>0</v>
      </c>
    </row>
    <row r="39" spans="1:44" ht="30.45" customHeight="1" x14ac:dyDescent="0.25">
      <c r="A39" s="463"/>
      <c r="B39" s="264" t="s">
        <v>171</v>
      </c>
      <c r="C39" s="300" t="s">
        <v>172</v>
      </c>
      <c r="D39" s="266" t="s">
        <v>173</v>
      </c>
      <c r="E39" s="301">
        <f>J39+N39+O39+P39+Q39+R39</f>
        <v>400000</v>
      </c>
      <c r="F39" s="271"/>
      <c r="G39" s="271">
        <v>0</v>
      </c>
      <c r="H39" s="271"/>
      <c r="I39" s="271">
        <f>F39-H39</f>
        <v>0</v>
      </c>
      <c r="J39" s="271">
        <v>0</v>
      </c>
      <c r="K39" s="324"/>
      <c r="L39" s="302" t="s">
        <v>12</v>
      </c>
      <c r="M39" s="302"/>
      <c r="N39" s="271"/>
      <c r="O39" s="271">
        <v>100000</v>
      </c>
      <c r="P39" s="271">
        <v>100000</v>
      </c>
      <c r="Q39" s="271">
        <v>100000</v>
      </c>
      <c r="R39" s="271">
        <v>100000</v>
      </c>
      <c r="S39" s="271"/>
      <c r="T39" s="272">
        <f>SUM(M39:S39)</f>
        <v>400000</v>
      </c>
      <c r="U39" s="291"/>
      <c r="W39" s="297"/>
      <c r="X39" s="293"/>
      <c r="Y39" s="277"/>
      <c r="Z39" s="278"/>
      <c r="AA39" s="279"/>
      <c r="AB39" s="279"/>
      <c r="AC39" s="279"/>
      <c r="AD39" s="279"/>
      <c r="AE39" s="279"/>
      <c r="AF39" s="279"/>
      <c r="AG39" s="279"/>
      <c r="AH39" s="279"/>
      <c r="AI39" s="279">
        <v>0</v>
      </c>
      <c r="AJ39" s="279"/>
      <c r="AK39" s="279"/>
      <c r="AL39" s="279"/>
      <c r="AM39" s="279"/>
      <c r="AN39" s="279"/>
      <c r="AO39" s="281"/>
      <c r="AP39" s="282">
        <f>SUM(X39:AO39)</f>
        <v>0</v>
      </c>
      <c r="AQ39" s="320">
        <f>J39-AP39</f>
        <v>0</v>
      </c>
    </row>
    <row r="40" spans="1:44" ht="14.7" customHeight="1" x14ac:dyDescent="0.25">
      <c r="A40" s="463"/>
      <c r="B40" s="264" t="s">
        <v>190</v>
      </c>
      <c r="C40" s="300" t="s">
        <v>191</v>
      </c>
      <c r="D40" s="266" t="s">
        <v>192</v>
      </c>
      <c r="E40" s="301">
        <f t="shared" si="11"/>
        <v>200000</v>
      </c>
      <c r="F40" s="268"/>
      <c r="G40" s="268">
        <v>0</v>
      </c>
      <c r="H40" s="268"/>
      <c r="I40" s="268">
        <f t="shared" si="10"/>
        <v>0</v>
      </c>
      <c r="J40" s="268">
        <v>0</v>
      </c>
      <c r="K40" s="288"/>
      <c r="L40" s="302" t="s">
        <v>12</v>
      </c>
      <c r="M40" s="302"/>
      <c r="N40" s="268"/>
      <c r="O40" s="268"/>
      <c r="P40" s="268">
        <v>200000</v>
      </c>
      <c r="Q40" s="268"/>
      <c r="R40" s="287"/>
      <c r="S40" s="301"/>
      <c r="T40" s="272">
        <f t="shared" si="9"/>
        <v>200000</v>
      </c>
      <c r="U40" s="291"/>
      <c r="W40" s="297"/>
      <c r="X40" s="293"/>
      <c r="Y40" s="277"/>
      <c r="Z40" s="278"/>
      <c r="AA40" s="279"/>
      <c r="AB40" s="279"/>
      <c r="AC40" s="279"/>
      <c r="AD40" s="279"/>
      <c r="AE40" s="279"/>
      <c r="AF40" s="279"/>
      <c r="AG40" s="279"/>
      <c r="AH40" s="279"/>
      <c r="AI40" s="279"/>
      <c r="AJ40" s="279"/>
      <c r="AK40" s="279"/>
      <c r="AL40" s="279"/>
      <c r="AM40" s="279"/>
      <c r="AN40" s="279"/>
      <c r="AO40" s="281"/>
      <c r="AP40" s="282">
        <f t="shared" si="12"/>
        <v>0</v>
      </c>
      <c r="AQ40" s="320">
        <f t="shared" si="8"/>
        <v>0</v>
      </c>
    </row>
    <row r="41" spans="1:44" ht="14.7" customHeight="1" x14ac:dyDescent="0.25">
      <c r="A41" s="463"/>
      <c r="B41" s="264" t="s">
        <v>193</v>
      </c>
      <c r="C41" s="300" t="s">
        <v>194</v>
      </c>
      <c r="D41" s="266" t="s">
        <v>195</v>
      </c>
      <c r="E41" s="301">
        <f t="shared" si="11"/>
        <v>1100000</v>
      </c>
      <c r="F41" s="268"/>
      <c r="G41" s="268">
        <v>0</v>
      </c>
      <c r="H41" s="268"/>
      <c r="I41" s="268">
        <f t="shared" si="10"/>
        <v>0</v>
      </c>
      <c r="J41" s="268">
        <v>0</v>
      </c>
      <c r="K41" s="288"/>
      <c r="L41" s="302" t="s">
        <v>12</v>
      </c>
      <c r="M41" s="302"/>
      <c r="N41" s="271"/>
      <c r="O41" s="271"/>
      <c r="P41" s="271">
        <v>1100000</v>
      </c>
      <c r="Q41" s="271"/>
      <c r="R41" s="301"/>
      <c r="S41" s="301"/>
      <c r="T41" s="272">
        <f t="shared" si="9"/>
        <v>1100000</v>
      </c>
      <c r="U41" s="291"/>
      <c r="W41" s="297"/>
      <c r="X41" s="293"/>
      <c r="Y41" s="277"/>
      <c r="Z41" s="278"/>
      <c r="AA41" s="279"/>
      <c r="AB41" s="279"/>
      <c r="AC41" s="279"/>
      <c r="AD41" s="279"/>
      <c r="AE41" s="279"/>
      <c r="AF41" s="279"/>
      <c r="AG41" s="279"/>
      <c r="AH41" s="279"/>
      <c r="AI41" s="279"/>
      <c r="AJ41" s="279"/>
      <c r="AK41" s="279"/>
      <c r="AL41" s="279"/>
      <c r="AM41" s="279"/>
      <c r="AN41" s="279"/>
      <c r="AO41" s="281"/>
      <c r="AP41" s="282">
        <f t="shared" si="12"/>
        <v>0</v>
      </c>
      <c r="AQ41" s="320">
        <f t="shared" si="8"/>
        <v>0</v>
      </c>
    </row>
    <row r="42" spans="1:44" ht="14.7" customHeight="1" x14ac:dyDescent="0.25">
      <c r="A42" s="463"/>
      <c r="B42" s="264" t="s">
        <v>196</v>
      </c>
      <c r="C42" s="300" t="s">
        <v>197</v>
      </c>
      <c r="D42" s="266" t="s">
        <v>198</v>
      </c>
      <c r="E42" s="301">
        <f t="shared" si="11"/>
        <v>950000</v>
      </c>
      <c r="F42" s="268"/>
      <c r="G42" s="268">
        <v>10000</v>
      </c>
      <c r="H42" s="268"/>
      <c r="I42" s="268">
        <f t="shared" si="10"/>
        <v>0</v>
      </c>
      <c r="J42" s="268">
        <v>0</v>
      </c>
      <c r="K42" s="288"/>
      <c r="L42" s="302"/>
      <c r="M42" s="302"/>
      <c r="N42" s="268"/>
      <c r="O42" s="268"/>
      <c r="P42" s="268"/>
      <c r="Q42" s="268">
        <v>150000</v>
      </c>
      <c r="R42" s="268">
        <v>800000</v>
      </c>
      <c r="S42" s="268"/>
      <c r="T42" s="321">
        <f t="shared" si="9"/>
        <v>950000</v>
      </c>
      <c r="U42" s="303"/>
      <c r="W42" s="292"/>
      <c r="X42" s="293"/>
      <c r="Y42" s="277"/>
      <c r="Z42" s="278"/>
      <c r="AA42" s="279"/>
      <c r="AB42" s="279"/>
      <c r="AC42" s="279"/>
      <c r="AD42" s="279"/>
      <c r="AE42" s="279"/>
      <c r="AF42" s="279"/>
      <c r="AG42" s="279"/>
      <c r="AH42" s="279"/>
      <c r="AI42" s="279"/>
      <c r="AJ42" s="279"/>
      <c r="AK42" s="279"/>
      <c r="AL42" s="279"/>
      <c r="AM42" s="279"/>
      <c r="AN42" s="279"/>
      <c r="AO42" s="281"/>
      <c r="AP42" s="282">
        <f t="shared" si="12"/>
        <v>0</v>
      </c>
      <c r="AQ42" s="320">
        <f t="shared" si="8"/>
        <v>0</v>
      </c>
    </row>
    <row r="43" spans="1:44" ht="14.7" customHeight="1" x14ac:dyDescent="0.25">
      <c r="A43" s="463"/>
      <c r="B43" s="305" t="s">
        <v>287</v>
      </c>
      <c r="C43" s="300" t="s">
        <v>374</v>
      </c>
      <c r="E43" s="301">
        <v>250000</v>
      </c>
      <c r="F43" s="268"/>
      <c r="G43" s="268"/>
      <c r="H43" s="268"/>
      <c r="I43" s="268"/>
      <c r="J43" s="268">
        <v>0</v>
      </c>
      <c r="K43" s="288"/>
      <c r="L43" s="302"/>
      <c r="M43" s="302"/>
      <c r="N43" s="268"/>
      <c r="O43" s="268">
        <v>250000</v>
      </c>
      <c r="P43" s="268"/>
      <c r="Q43" s="268"/>
      <c r="R43" s="268"/>
      <c r="S43" s="268"/>
      <c r="T43" s="321">
        <f>SUM(M43:S43)</f>
        <v>250000</v>
      </c>
      <c r="U43" s="303"/>
      <c r="W43" s="292"/>
      <c r="X43" s="293"/>
      <c r="Y43" s="277"/>
      <c r="Z43" s="278"/>
      <c r="AA43" s="279"/>
      <c r="AB43" s="279"/>
      <c r="AC43" s="279"/>
      <c r="AD43" s="279"/>
      <c r="AE43" s="279"/>
      <c r="AF43" s="279"/>
      <c r="AG43" s="279"/>
      <c r="AH43" s="279"/>
      <c r="AI43" s="279"/>
      <c r="AJ43" s="279"/>
      <c r="AK43" s="279"/>
      <c r="AL43" s="279"/>
      <c r="AM43" s="279"/>
      <c r="AN43" s="279"/>
      <c r="AO43" s="281"/>
      <c r="AP43" s="282"/>
    </row>
    <row r="44" spans="1:44" ht="14.7" customHeight="1" x14ac:dyDescent="0.25">
      <c r="A44" s="463"/>
      <c r="B44" s="305" t="s">
        <v>287</v>
      </c>
      <c r="C44" s="284" t="s">
        <v>375</v>
      </c>
      <c r="E44" s="301">
        <v>950000</v>
      </c>
      <c r="F44" s="268"/>
      <c r="G44" s="268"/>
      <c r="H44" s="268"/>
      <c r="I44" s="268"/>
      <c r="J44" s="268">
        <v>0</v>
      </c>
      <c r="K44" s="288"/>
      <c r="L44" s="302"/>
      <c r="M44" s="302"/>
      <c r="N44" s="268"/>
      <c r="O44" s="268"/>
      <c r="P44" s="268"/>
      <c r="Q44" s="268"/>
      <c r="R44" s="268">
        <v>150000</v>
      </c>
      <c r="S44" s="268">
        <v>800000</v>
      </c>
      <c r="T44" s="321">
        <f>SUM(M44:S44)</f>
        <v>950000</v>
      </c>
      <c r="U44" s="291"/>
      <c r="W44" s="297"/>
      <c r="X44" s="326"/>
      <c r="Y44" s="327"/>
      <c r="Z44" s="278"/>
      <c r="AA44" s="279"/>
      <c r="AB44" s="279"/>
      <c r="AC44" s="279"/>
      <c r="AD44" s="279"/>
      <c r="AE44" s="279"/>
      <c r="AF44" s="279"/>
      <c r="AG44" s="279"/>
      <c r="AH44" s="279"/>
      <c r="AI44" s="279"/>
      <c r="AJ44" s="279"/>
      <c r="AK44" s="279"/>
      <c r="AL44" s="279"/>
      <c r="AM44" s="279"/>
      <c r="AN44" s="279"/>
      <c r="AO44" s="281"/>
      <c r="AP44" s="282">
        <f t="shared" si="12"/>
        <v>0</v>
      </c>
      <c r="AQ44" s="320">
        <f t="shared" si="8"/>
        <v>0</v>
      </c>
    </row>
    <row r="45" spans="1:44" ht="14.7" customHeight="1" x14ac:dyDescent="0.25">
      <c r="A45" s="463"/>
      <c r="B45" s="264" t="s">
        <v>203</v>
      </c>
      <c r="C45" s="300" t="s">
        <v>204</v>
      </c>
      <c r="D45" s="266" t="s">
        <v>205</v>
      </c>
      <c r="E45" s="301">
        <v>5000000</v>
      </c>
      <c r="F45" s="271"/>
      <c r="G45" s="268">
        <v>0</v>
      </c>
      <c r="H45" s="268"/>
      <c r="I45" s="268">
        <f t="shared" si="10"/>
        <v>0</v>
      </c>
      <c r="J45" s="268">
        <v>0</v>
      </c>
      <c r="K45" s="324"/>
      <c r="L45" s="302" t="s">
        <v>12</v>
      </c>
      <c r="M45" s="302"/>
      <c r="N45" s="268"/>
      <c r="O45" s="268"/>
      <c r="P45" s="268"/>
      <c r="Q45" s="268"/>
      <c r="R45" s="287"/>
      <c r="S45" s="287">
        <v>5000000</v>
      </c>
      <c r="T45" s="321">
        <f t="shared" si="9"/>
        <v>5000000</v>
      </c>
      <c r="U45" s="291"/>
      <c r="W45" s="297"/>
      <c r="X45" s="293"/>
      <c r="Y45" s="277"/>
      <c r="Z45" s="278"/>
      <c r="AA45" s="279"/>
      <c r="AB45" s="279"/>
      <c r="AC45" s="279"/>
      <c r="AD45" s="279"/>
      <c r="AE45" s="279"/>
      <c r="AF45" s="279"/>
      <c r="AG45" s="279"/>
      <c r="AH45" s="279"/>
      <c r="AI45" s="279"/>
      <c r="AJ45" s="279"/>
      <c r="AK45" s="279"/>
      <c r="AL45" s="279"/>
      <c r="AM45" s="279"/>
      <c r="AN45" s="279"/>
      <c r="AO45" s="281"/>
      <c r="AP45" s="282">
        <f t="shared" si="12"/>
        <v>0</v>
      </c>
      <c r="AQ45" s="320">
        <f t="shared" si="8"/>
        <v>0</v>
      </c>
    </row>
    <row r="46" spans="1:44" s="26" customFormat="1" ht="14.7" customHeight="1" x14ac:dyDescent="0.3">
      <c r="A46" s="463"/>
      <c r="B46" s="328"/>
      <c r="C46" s="329" t="s">
        <v>391</v>
      </c>
      <c r="D46" s="406" t="s">
        <v>334</v>
      </c>
      <c r="E46" s="330">
        <f>SUM(E27:E45)</f>
        <v>37211363</v>
      </c>
      <c r="F46" s="330">
        <f>SUM(F27:F45)</f>
        <v>7297476</v>
      </c>
      <c r="G46" s="330">
        <f>SUM(G27:G45)</f>
        <v>157502</v>
      </c>
      <c r="H46" s="330"/>
      <c r="I46" s="330">
        <f>SUM(I27:I45)</f>
        <v>6028956</v>
      </c>
      <c r="J46" s="330">
        <f>SUM(J27:J45)</f>
        <v>4503892</v>
      </c>
      <c r="K46" s="330"/>
      <c r="L46" s="330"/>
      <c r="M46" s="330"/>
      <c r="N46" s="330">
        <f t="shared" ref="N46:U46" si="13">SUM(N27:N45)</f>
        <v>4503892</v>
      </c>
      <c r="O46" s="330">
        <f t="shared" si="13"/>
        <v>12730589</v>
      </c>
      <c r="P46" s="330">
        <f t="shared" si="13"/>
        <v>4200000</v>
      </c>
      <c r="Q46" s="330">
        <f t="shared" si="13"/>
        <v>5350000</v>
      </c>
      <c r="R46" s="330">
        <f t="shared" si="13"/>
        <v>2250000</v>
      </c>
      <c r="S46" s="330">
        <f t="shared" si="13"/>
        <v>5800000</v>
      </c>
      <c r="T46" s="331">
        <f>SUM(N46:S46)</f>
        <v>34834481</v>
      </c>
      <c r="U46" s="332">
        <f t="shared" si="13"/>
        <v>5086941</v>
      </c>
      <c r="V46" s="333"/>
      <c r="W46" s="334"/>
      <c r="X46" s="314">
        <f t="shared" ref="X46:AH46" si="14">SUM(X26:X45)</f>
        <v>5086941</v>
      </c>
      <c r="Y46" s="315">
        <f t="shared" si="14"/>
        <v>0</v>
      </c>
      <c r="Z46" s="316">
        <f t="shared" si="14"/>
        <v>0</v>
      </c>
      <c r="AA46" s="317">
        <f t="shared" si="14"/>
        <v>0</v>
      </c>
      <c r="AB46" s="317">
        <f t="shared" si="14"/>
        <v>0</v>
      </c>
      <c r="AC46" s="317">
        <f t="shared" si="14"/>
        <v>0</v>
      </c>
      <c r="AD46" s="317">
        <f t="shared" si="14"/>
        <v>0</v>
      </c>
      <c r="AE46" s="317">
        <f t="shared" si="14"/>
        <v>0</v>
      </c>
      <c r="AF46" s="317">
        <f t="shared" si="14"/>
        <v>0</v>
      </c>
      <c r="AG46" s="317">
        <f t="shared" si="14"/>
        <v>0</v>
      </c>
      <c r="AH46" s="317">
        <f t="shared" si="14"/>
        <v>0</v>
      </c>
      <c r="AI46" s="317">
        <f t="shared" ref="AI46:AO46" si="15">SUM(AI26:AI45)</f>
        <v>1480540</v>
      </c>
      <c r="AJ46" s="317">
        <f t="shared" si="15"/>
        <v>0</v>
      </c>
      <c r="AK46" s="317">
        <f t="shared" si="15"/>
        <v>392000</v>
      </c>
      <c r="AL46" s="317">
        <f t="shared" si="15"/>
        <v>0</v>
      </c>
      <c r="AM46" s="317">
        <f t="shared" si="15"/>
        <v>0</v>
      </c>
      <c r="AN46" s="317">
        <f t="shared" si="15"/>
        <v>0</v>
      </c>
      <c r="AO46" s="315">
        <f t="shared" si="15"/>
        <v>0</v>
      </c>
      <c r="AP46" s="282">
        <f t="shared" si="12"/>
        <v>6959481</v>
      </c>
      <c r="AQ46" s="320"/>
      <c r="AR46" s="16"/>
    </row>
    <row r="47" spans="1:44" ht="14.7" customHeight="1" x14ac:dyDescent="0.3">
      <c r="A47" s="318"/>
      <c r="E47" s="301"/>
      <c r="F47" s="268"/>
      <c r="G47" s="268"/>
      <c r="H47" s="268"/>
      <c r="I47" s="268"/>
      <c r="J47" s="271"/>
      <c r="K47" s="271"/>
      <c r="L47" s="271"/>
      <c r="M47" s="271"/>
      <c r="N47" s="271"/>
      <c r="O47" s="271"/>
      <c r="P47" s="271"/>
      <c r="Q47" s="271"/>
      <c r="R47" s="271"/>
      <c r="S47" s="271"/>
      <c r="T47" s="272"/>
      <c r="U47" s="291"/>
      <c r="W47" s="292"/>
      <c r="X47" s="293"/>
      <c r="Y47" s="277"/>
      <c r="Z47" s="278"/>
      <c r="AA47" s="279"/>
      <c r="AB47" s="279"/>
      <c r="AC47" s="279"/>
      <c r="AD47" s="279"/>
      <c r="AE47" s="279"/>
      <c r="AF47" s="279"/>
      <c r="AG47" s="279"/>
      <c r="AH47" s="279"/>
      <c r="AI47" s="279"/>
      <c r="AJ47" s="279"/>
      <c r="AK47" s="279"/>
      <c r="AL47" s="279"/>
      <c r="AM47" s="279"/>
      <c r="AN47" s="279"/>
      <c r="AO47" s="281"/>
      <c r="AP47" s="282">
        <f t="shared" si="12"/>
        <v>0</v>
      </c>
      <c r="AQ47" s="320">
        <f>J47-AP47</f>
        <v>0</v>
      </c>
    </row>
    <row r="48" spans="1:44" ht="14.7" customHeight="1" x14ac:dyDescent="0.25">
      <c r="A48" s="464" t="s">
        <v>206</v>
      </c>
      <c r="C48" s="335" t="s">
        <v>354</v>
      </c>
      <c r="D48" s="266" t="s">
        <v>359</v>
      </c>
      <c r="E48" s="301">
        <f>J48+N48+O48+P48+Q48+R48</f>
        <v>194000</v>
      </c>
      <c r="F48" s="268">
        <v>257000</v>
      </c>
      <c r="G48" s="268">
        <v>0</v>
      </c>
      <c r="H48" s="268">
        <v>160000</v>
      </c>
      <c r="I48" s="268">
        <f t="shared" ref="I48:I49" si="16">SUM(F48-(G48+H48))</f>
        <v>97000</v>
      </c>
      <c r="J48" s="268">
        <f>I48</f>
        <v>97000</v>
      </c>
      <c r="K48" s="336"/>
      <c r="L48" s="302" t="s">
        <v>12</v>
      </c>
      <c r="M48" s="302"/>
      <c r="N48" s="337">
        <f>J48</f>
        <v>97000</v>
      </c>
      <c r="O48" s="271"/>
      <c r="P48" s="271"/>
      <c r="Q48" s="271"/>
      <c r="R48" s="271"/>
      <c r="S48" s="271"/>
      <c r="T48" s="272">
        <f>SUM(N48:S48)</f>
        <v>97000</v>
      </c>
      <c r="U48" s="291"/>
      <c r="W48" s="292"/>
      <c r="X48" s="293"/>
      <c r="Y48" s="277"/>
      <c r="Z48" s="278"/>
      <c r="AA48" s="279"/>
      <c r="AB48" s="280">
        <f>N48</f>
        <v>97000</v>
      </c>
      <c r="AC48" s="279"/>
      <c r="AD48" s="279"/>
      <c r="AE48" s="279"/>
      <c r="AF48" s="279"/>
      <c r="AG48" s="279"/>
      <c r="AH48" s="279"/>
      <c r="AI48" s="279"/>
      <c r="AJ48" s="279"/>
      <c r="AK48" s="279"/>
      <c r="AL48" s="279"/>
      <c r="AM48" s="279"/>
      <c r="AN48" s="279"/>
      <c r="AO48" s="281"/>
      <c r="AP48" s="282">
        <f t="shared" si="12"/>
        <v>97000</v>
      </c>
      <c r="AQ48" s="320">
        <f>J48-AP48</f>
        <v>0</v>
      </c>
    </row>
    <row r="49" spans="1:43" ht="14.7" customHeight="1" x14ac:dyDescent="0.3">
      <c r="A49" s="464"/>
      <c r="C49" s="284" t="s">
        <v>216</v>
      </c>
      <c r="D49" s="266" t="s">
        <v>384</v>
      </c>
      <c r="E49" s="301">
        <f t="shared" ref="E49:E51" si="17">J49+N49+O49+P49+Q49+R49</f>
        <v>15899820</v>
      </c>
      <c r="F49" s="296">
        <v>5910210</v>
      </c>
      <c r="G49" s="268">
        <v>338112</v>
      </c>
      <c r="H49" s="268"/>
      <c r="I49" s="268">
        <f t="shared" si="16"/>
        <v>5572098</v>
      </c>
      <c r="J49" s="505">
        <v>7949910</v>
      </c>
      <c r="K49" s="288"/>
      <c r="L49" s="302" t="s">
        <v>315</v>
      </c>
      <c r="M49" s="302">
        <v>4000000</v>
      </c>
      <c r="N49" s="271">
        <f>J49</f>
        <v>7949910</v>
      </c>
      <c r="O49" s="271"/>
      <c r="P49" s="271"/>
      <c r="Q49" s="271"/>
      <c r="R49" s="271"/>
      <c r="S49" s="271"/>
      <c r="T49" s="272">
        <f>SUM(N49:S49)</f>
        <v>7949910</v>
      </c>
      <c r="U49" s="291">
        <v>99910</v>
      </c>
      <c r="V49" s="274" t="s">
        <v>395</v>
      </c>
      <c r="W49" s="292" t="s">
        <v>155</v>
      </c>
      <c r="X49" s="293"/>
      <c r="Y49" s="277"/>
      <c r="Z49" s="278"/>
      <c r="AA49" s="280">
        <v>1810300</v>
      </c>
      <c r="AB49" s="279"/>
      <c r="AC49" s="279"/>
      <c r="AD49" s="279"/>
      <c r="AE49" s="279"/>
      <c r="AF49" s="279"/>
      <c r="AG49" s="279"/>
      <c r="AH49" s="279"/>
      <c r="AI49" s="279"/>
      <c r="AJ49" s="279"/>
      <c r="AK49" s="280">
        <v>2000000</v>
      </c>
      <c r="AL49" s="279"/>
      <c r="AM49" s="279"/>
      <c r="AN49" s="279"/>
      <c r="AO49" s="294">
        <v>3000000</v>
      </c>
      <c r="AP49" s="282">
        <f t="shared" si="12"/>
        <v>6810300</v>
      </c>
      <c r="AQ49" s="320">
        <f>J49-AP49</f>
        <v>1139610</v>
      </c>
    </row>
    <row r="50" spans="1:43" ht="14.7" customHeight="1" x14ac:dyDescent="0.25">
      <c r="A50" s="464"/>
      <c r="B50" s="264" t="s">
        <v>218</v>
      </c>
      <c r="C50" s="284" t="s">
        <v>219</v>
      </c>
      <c r="D50" s="285" t="s">
        <v>358</v>
      </c>
      <c r="E50" s="301">
        <f t="shared" si="17"/>
        <v>6326192</v>
      </c>
      <c r="F50" s="296">
        <v>3163096</v>
      </c>
      <c r="G50" s="290">
        <v>194520</v>
      </c>
      <c r="H50" s="290"/>
      <c r="I50" s="268">
        <f>SUM(F50-(G50+H50))</f>
        <v>2968576</v>
      </c>
      <c r="J50" s="268">
        <v>3163096</v>
      </c>
      <c r="K50" s="288"/>
      <c r="L50" s="302" t="s">
        <v>316</v>
      </c>
      <c r="M50" s="302">
        <v>2482622</v>
      </c>
      <c r="N50" s="271">
        <f>J50</f>
        <v>3163096</v>
      </c>
      <c r="O50" s="271"/>
      <c r="P50" s="271"/>
      <c r="Q50" s="271"/>
      <c r="R50" s="271"/>
      <c r="S50" s="271"/>
      <c r="T50" s="272">
        <f>SUM(N50:S50)</f>
        <v>3163096</v>
      </c>
      <c r="U50" s="291">
        <v>764000</v>
      </c>
      <c r="V50" s="274" t="s">
        <v>221</v>
      </c>
      <c r="W50" s="292" t="s">
        <v>222</v>
      </c>
      <c r="X50" s="293"/>
      <c r="Y50" s="277"/>
      <c r="Z50" s="278"/>
      <c r="AA50" s="280">
        <v>680000</v>
      </c>
      <c r="AB50" s="279"/>
      <c r="AC50" s="279"/>
      <c r="AD50" s="279"/>
      <c r="AE50" s="279"/>
      <c r="AF50" s="279"/>
      <c r="AG50" s="279"/>
      <c r="AH50" s="279"/>
      <c r="AI50" s="279"/>
      <c r="AJ50" s="279"/>
      <c r="AK50" s="280">
        <v>1000000</v>
      </c>
      <c r="AL50" s="279"/>
      <c r="AM50" s="279"/>
      <c r="AN50" s="279"/>
      <c r="AO50" s="281"/>
      <c r="AP50" s="282">
        <f t="shared" si="12"/>
        <v>1680000</v>
      </c>
      <c r="AQ50" s="320">
        <f>J50-AP50</f>
        <v>1483096</v>
      </c>
    </row>
    <row r="51" spans="1:43" ht="14.7" customHeight="1" x14ac:dyDescent="0.25">
      <c r="A51" s="464"/>
      <c r="B51" s="264" t="s">
        <v>238</v>
      </c>
      <c r="C51" s="284" t="s">
        <v>239</v>
      </c>
      <c r="D51" s="285" t="s">
        <v>240</v>
      </c>
      <c r="E51" s="301">
        <f t="shared" si="17"/>
        <v>2000000</v>
      </c>
      <c r="F51" s="268"/>
      <c r="G51" s="268">
        <v>0</v>
      </c>
      <c r="H51" s="268"/>
      <c r="I51" s="268">
        <f>F51-G51</f>
        <v>0</v>
      </c>
      <c r="J51" s="268"/>
      <c r="K51" s="288"/>
      <c r="L51" s="302" t="s">
        <v>12</v>
      </c>
      <c r="M51" s="302"/>
      <c r="N51" s="271"/>
      <c r="O51" s="271"/>
      <c r="P51" s="271"/>
      <c r="Q51" s="271"/>
      <c r="R51" s="271">
        <v>2000000</v>
      </c>
      <c r="S51" s="271"/>
      <c r="T51" s="272">
        <f>SUM(N51:S51)</f>
        <v>2000000</v>
      </c>
      <c r="U51" s="291"/>
      <c r="W51" s="292"/>
      <c r="X51" s="293"/>
      <c r="Y51" s="277"/>
      <c r="Z51" s="278"/>
      <c r="AA51" s="279"/>
      <c r="AB51" s="279"/>
      <c r="AC51" s="279"/>
      <c r="AD51" s="279"/>
      <c r="AE51" s="279"/>
      <c r="AF51" s="279"/>
      <c r="AG51" s="279"/>
      <c r="AH51" s="279"/>
      <c r="AI51" s="279"/>
      <c r="AJ51" s="279"/>
      <c r="AK51" s="279"/>
      <c r="AL51" s="279"/>
      <c r="AM51" s="279"/>
      <c r="AN51" s="279"/>
      <c r="AO51" s="281"/>
      <c r="AP51" s="282">
        <f t="shared" si="12"/>
        <v>0</v>
      </c>
      <c r="AQ51" s="320">
        <f>J51-AP51</f>
        <v>0</v>
      </c>
    </row>
    <row r="52" spans="1:43" s="26" customFormat="1" ht="14.7" customHeight="1" x14ac:dyDescent="0.3">
      <c r="A52" s="465"/>
      <c r="B52" s="338"/>
      <c r="C52" s="339" t="s">
        <v>392</v>
      </c>
      <c r="D52" s="407" t="s">
        <v>333</v>
      </c>
      <c r="E52" s="340">
        <f>SUM(E48:E51)</f>
        <v>24420012</v>
      </c>
      <c r="F52" s="340">
        <f>SUM(F48:F51)</f>
        <v>9330306</v>
      </c>
      <c r="G52" s="340">
        <f>SUM(G48:G51)</f>
        <v>532632</v>
      </c>
      <c r="H52" s="340"/>
      <c r="I52" s="340">
        <f>SUM(I48:I51)</f>
        <v>8637674</v>
      </c>
      <c r="J52" s="340">
        <f>SUM(J48:J51)</f>
        <v>11210006</v>
      </c>
      <c r="K52" s="341"/>
      <c r="L52" s="342"/>
      <c r="M52" s="342"/>
      <c r="N52" s="340">
        <f>SUM(N48:N51)</f>
        <v>11210006</v>
      </c>
      <c r="O52" s="340">
        <f>SUM(O48:O51)</f>
        <v>0</v>
      </c>
      <c r="P52" s="340">
        <f>SUM(P48:P51)</f>
        <v>0</v>
      </c>
      <c r="Q52" s="340">
        <f>SUM(Q48:Q51)</f>
        <v>0</v>
      </c>
      <c r="R52" s="340">
        <f>SUM(R48:R51)</f>
        <v>2000000</v>
      </c>
      <c r="S52" s="340"/>
      <c r="T52" s="343">
        <f>SUM(N52:S52)</f>
        <v>13210006</v>
      </c>
      <c r="U52" s="344">
        <f>SUM(U48:U51)</f>
        <v>863910</v>
      </c>
      <c r="V52" s="345"/>
      <c r="W52" s="346"/>
      <c r="X52" s="347">
        <f t="shared" ref="X52" si="18">SUM(X47:X51)</f>
        <v>0</v>
      </c>
      <c r="Y52" s="348">
        <f t="shared" ref="Y52" si="19">SUM(Y47:Y51)</f>
        <v>0</v>
      </c>
      <c r="Z52" s="349">
        <f t="shared" ref="Z52" si="20">SUM(Z47:Z51)</f>
        <v>0</v>
      </c>
      <c r="AA52" s="349">
        <f t="shared" ref="AA52" si="21">SUM(AA47:AA51)</f>
        <v>2490300</v>
      </c>
      <c r="AB52" s="349">
        <f t="shared" ref="AB52" si="22">SUM(AB47:AB51)</f>
        <v>97000</v>
      </c>
      <c r="AC52" s="349">
        <f t="shared" ref="AC52" si="23">SUM(AC47:AC51)</f>
        <v>0</v>
      </c>
      <c r="AD52" s="349">
        <f t="shared" ref="AD52" si="24">SUM(AD47:AD51)</f>
        <v>0</v>
      </c>
      <c r="AE52" s="349">
        <f t="shared" ref="AE52" si="25">SUM(AE47:AE51)</f>
        <v>0</v>
      </c>
      <c r="AF52" s="349">
        <f t="shared" ref="AF52" si="26">SUM(AF47:AF51)</f>
        <v>0</v>
      </c>
      <c r="AG52" s="349">
        <f t="shared" ref="AG52" si="27">SUM(AG47:AG51)</f>
        <v>0</v>
      </c>
      <c r="AH52" s="349">
        <f t="shared" ref="AH52" si="28">SUM(AH47:AH51)</f>
        <v>0</v>
      </c>
      <c r="AI52" s="349">
        <f t="shared" ref="AI52:AK52" si="29">SUM(AI47:AI51)</f>
        <v>0</v>
      </c>
      <c r="AJ52" s="349">
        <f t="shared" si="29"/>
        <v>0</v>
      </c>
      <c r="AK52" s="349">
        <f t="shared" si="29"/>
        <v>3000000</v>
      </c>
      <c r="AL52" s="349">
        <f>SUM(AL47:AL51)</f>
        <v>0</v>
      </c>
      <c r="AM52" s="349">
        <f>SUM(AM47:AM51)</f>
        <v>0</v>
      </c>
      <c r="AN52" s="349">
        <f>SUM(AN47:AN51)</f>
        <v>0</v>
      </c>
      <c r="AO52" s="348">
        <f>SUM(AO47:AO51)</f>
        <v>3000000</v>
      </c>
      <c r="AP52" s="282">
        <f t="shared" si="12"/>
        <v>8587300</v>
      </c>
      <c r="AQ52" s="320"/>
    </row>
    <row r="53" spans="1:43" ht="14.7" customHeight="1" x14ac:dyDescent="0.3">
      <c r="A53" s="318"/>
      <c r="E53" s="301"/>
      <c r="F53" s="268"/>
      <c r="G53" s="268"/>
      <c r="H53" s="268"/>
      <c r="I53" s="268"/>
      <c r="J53" s="271"/>
      <c r="K53" s="271"/>
      <c r="L53" s="271"/>
      <c r="M53" s="271"/>
      <c r="N53" s="271"/>
      <c r="O53" s="271"/>
      <c r="P53" s="271"/>
      <c r="Q53" s="271"/>
      <c r="R53" s="271"/>
      <c r="S53" s="271"/>
      <c r="T53" s="272"/>
      <c r="U53" s="291"/>
      <c r="W53" s="292"/>
      <c r="X53" s="293"/>
      <c r="Y53" s="277"/>
      <c r="Z53" s="278"/>
      <c r="AA53" s="279"/>
      <c r="AB53" s="279"/>
      <c r="AC53" s="279"/>
      <c r="AD53" s="279"/>
      <c r="AE53" s="279"/>
      <c r="AF53" s="279"/>
      <c r="AG53" s="279"/>
      <c r="AH53" s="279"/>
      <c r="AI53" s="279"/>
      <c r="AJ53" s="279"/>
      <c r="AK53" s="319"/>
      <c r="AL53" s="279"/>
      <c r="AM53" s="279"/>
      <c r="AN53" s="279"/>
      <c r="AO53" s="281"/>
      <c r="AP53" s="282">
        <f t="shared" si="12"/>
        <v>0</v>
      </c>
      <c r="AQ53" s="320">
        <f>J53-AP53</f>
        <v>0</v>
      </c>
    </row>
    <row r="54" spans="1:43" ht="14.7" customHeight="1" x14ac:dyDescent="0.25">
      <c r="A54" s="458" t="s">
        <v>242</v>
      </c>
      <c r="B54" s="264" t="s">
        <v>245</v>
      </c>
      <c r="C54" s="300" t="s">
        <v>246</v>
      </c>
      <c r="D54" s="350" t="s">
        <v>247</v>
      </c>
      <c r="E54" s="301">
        <v>4000000</v>
      </c>
      <c r="F54" s="351">
        <v>1353000</v>
      </c>
      <c r="G54" s="268">
        <v>60000</v>
      </c>
      <c r="H54" s="268">
        <v>180000</v>
      </c>
      <c r="I54" s="268">
        <f>F54-H54</f>
        <v>1173000</v>
      </c>
      <c r="J54" s="268">
        <f>911000-H54</f>
        <v>731000</v>
      </c>
      <c r="K54" s="288"/>
      <c r="L54" s="302" t="s">
        <v>248</v>
      </c>
      <c r="M54" s="302"/>
      <c r="N54" s="270">
        <f>J54</f>
        <v>731000</v>
      </c>
      <c r="O54" s="268"/>
      <c r="P54" s="268"/>
      <c r="Q54" s="268"/>
      <c r="R54" s="268"/>
      <c r="S54" s="268"/>
      <c r="T54" s="272">
        <f>SUM(M54:S54)</f>
        <v>731000</v>
      </c>
      <c r="U54" s="303">
        <v>911000</v>
      </c>
      <c r="V54" s="274" t="s">
        <v>388</v>
      </c>
      <c r="W54" s="292" t="s">
        <v>389</v>
      </c>
      <c r="X54" s="293"/>
      <c r="Y54" s="352">
        <f>N54</f>
        <v>731000</v>
      </c>
      <c r="Z54" s="278"/>
      <c r="AA54" s="279"/>
      <c r="AB54" s="279"/>
      <c r="AC54" s="279"/>
      <c r="AD54" s="279"/>
      <c r="AE54" s="279"/>
      <c r="AF54" s="279"/>
      <c r="AG54" s="279"/>
      <c r="AH54" s="279"/>
      <c r="AI54" s="279"/>
      <c r="AJ54" s="279"/>
      <c r="AK54" s="319"/>
      <c r="AL54" s="279"/>
      <c r="AM54" s="279"/>
      <c r="AN54" s="279">
        <f>N54-Y54</f>
        <v>0</v>
      </c>
      <c r="AO54" s="281"/>
      <c r="AP54" s="282">
        <f t="shared" si="12"/>
        <v>731000</v>
      </c>
      <c r="AQ54" s="320">
        <f>J54-AP54</f>
        <v>0</v>
      </c>
    </row>
    <row r="55" spans="1:43" ht="27.45" customHeight="1" x14ac:dyDescent="0.25">
      <c r="A55" s="458"/>
      <c r="B55" s="264" t="s">
        <v>251</v>
      </c>
      <c r="C55" s="300" t="s">
        <v>252</v>
      </c>
      <c r="D55" s="350" t="s">
        <v>253</v>
      </c>
      <c r="E55" s="301">
        <v>6500000</v>
      </c>
      <c r="F55" s="351">
        <v>780000</v>
      </c>
      <c r="G55" s="268">
        <v>0</v>
      </c>
      <c r="H55" s="268">
        <v>50000</v>
      </c>
      <c r="I55" s="268">
        <f>F55-H55</f>
        <v>730000</v>
      </c>
      <c r="J55" s="268">
        <v>1250000</v>
      </c>
      <c r="K55" s="288"/>
      <c r="L55" s="302"/>
      <c r="M55" s="302"/>
      <c r="N55" s="337">
        <f>J55</f>
        <v>1250000</v>
      </c>
      <c r="O55" s="268">
        <f>2625000</f>
        <v>2625000</v>
      </c>
      <c r="P55" s="268">
        <v>2625000</v>
      </c>
      <c r="Q55" s="268"/>
      <c r="R55" s="268"/>
      <c r="S55" s="268"/>
      <c r="T55" s="272">
        <f>SUM(M55:S55)</f>
        <v>6500000</v>
      </c>
      <c r="U55" s="303"/>
      <c r="W55" s="292"/>
      <c r="X55" s="293"/>
      <c r="Y55" s="277"/>
      <c r="Z55" s="278"/>
      <c r="AA55" s="279"/>
      <c r="AB55" s="279"/>
      <c r="AC55" s="279"/>
      <c r="AD55" s="279"/>
      <c r="AE55" s="279"/>
      <c r="AF55" s="279"/>
      <c r="AG55" s="279"/>
      <c r="AH55" s="279"/>
      <c r="AI55" s="279"/>
      <c r="AJ55" s="279"/>
      <c r="AK55" s="298"/>
      <c r="AL55" s="279"/>
      <c r="AM55" s="279"/>
      <c r="AN55" s="280">
        <f>N55</f>
        <v>1250000</v>
      </c>
      <c r="AO55" s="281"/>
      <c r="AP55" s="282">
        <f t="shared" si="12"/>
        <v>1250000</v>
      </c>
      <c r="AQ55" s="320">
        <f>J55-AP55</f>
        <v>0</v>
      </c>
    </row>
    <row r="56" spans="1:43" ht="14.7" customHeight="1" x14ac:dyDescent="0.25">
      <c r="A56" s="458"/>
      <c r="B56" s="264" t="s">
        <v>255</v>
      </c>
      <c r="C56" s="300" t="s">
        <v>256</v>
      </c>
      <c r="D56" s="350" t="s">
        <v>257</v>
      </c>
      <c r="E56" s="301">
        <v>1500000</v>
      </c>
      <c r="F56" s="301"/>
      <c r="G56" s="268">
        <v>0</v>
      </c>
      <c r="H56" s="268"/>
      <c r="I56" s="268"/>
      <c r="J56" s="268">
        <v>225000</v>
      </c>
      <c r="K56" s="324"/>
      <c r="L56" s="302"/>
      <c r="M56" s="302"/>
      <c r="N56" s="270">
        <f>J56</f>
        <v>225000</v>
      </c>
      <c r="O56" s="268"/>
      <c r="P56" s="268"/>
      <c r="Q56" s="268">
        <v>1500000</v>
      </c>
      <c r="R56" s="268"/>
      <c r="S56" s="268"/>
      <c r="T56" s="272">
        <f>SUM(M56:S56)</f>
        <v>1725000</v>
      </c>
      <c r="U56" s="303">
        <v>225000</v>
      </c>
      <c r="V56" s="274" t="s">
        <v>259</v>
      </c>
      <c r="W56" s="292" t="s">
        <v>78</v>
      </c>
      <c r="X56" s="293"/>
      <c r="Y56" s="277"/>
      <c r="Z56" s="278"/>
      <c r="AA56" s="279"/>
      <c r="AB56" s="279"/>
      <c r="AC56" s="279"/>
      <c r="AD56" s="279"/>
      <c r="AE56" s="279"/>
      <c r="AF56" s="279"/>
      <c r="AG56" s="279"/>
      <c r="AH56" s="279"/>
      <c r="AI56" s="279"/>
      <c r="AJ56" s="279"/>
      <c r="AK56" s="298"/>
      <c r="AL56" s="279"/>
      <c r="AM56" s="279"/>
      <c r="AN56" s="280">
        <f t="shared" ref="AN56:AN58" si="30">N56</f>
        <v>225000</v>
      </c>
      <c r="AO56" s="281"/>
      <c r="AP56" s="282">
        <f t="shared" si="12"/>
        <v>225000</v>
      </c>
      <c r="AQ56" s="320">
        <f>J56-AP56</f>
        <v>0</v>
      </c>
    </row>
    <row r="57" spans="1:43" ht="14.7" customHeight="1" x14ac:dyDescent="0.25">
      <c r="A57" s="458"/>
      <c r="B57" s="264" t="s">
        <v>278</v>
      </c>
      <c r="C57" s="300" t="s">
        <v>279</v>
      </c>
      <c r="D57" s="350" t="s">
        <v>368</v>
      </c>
      <c r="E57" s="301">
        <v>50000</v>
      </c>
      <c r="F57" s="301"/>
      <c r="G57" s="268">
        <v>0</v>
      </c>
      <c r="H57" s="268"/>
      <c r="I57" s="268"/>
      <c r="J57" s="268">
        <v>50000</v>
      </c>
      <c r="K57" s="288"/>
      <c r="L57" s="302" t="s">
        <v>12</v>
      </c>
      <c r="M57" s="302"/>
      <c r="N57" s="270">
        <f>J57</f>
        <v>50000</v>
      </c>
      <c r="O57" s="268"/>
      <c r="P57" s="268"/>
      <c r="Q57" s="268">
        <v>340000</v>
      </c>
      <c r="R57" s="268">
        <v>1700000</v>
      </c>
      <c r="S57" s="268"/>
      <c r="T57" s="272">
        <f>SUM(M57:S57)</f>
        <v>2090000</v>
      </c>
      <c r="U57" s="303"/>
      <c r="W57" s="292"/>
      <c r="X57" s="293"/>
      <c r="Y57" s="277"/>
      <c r="Z57" s="278"/>
      <c r="AA57" s="279"/>
      <c r="AB57" s="279"/>
      <c r="AC57" s="279"/>
      <c r="AD57" s="279"/>
      <c r="AE57" s="279"/>
      <c r="AF57" s="279"/>
      <c r="AG57" s="279"/>
      <c r="AH57" s="279"/>
      <c r="AI57" s="279"/>
      <c r="AJ57" s="279"/>
      <c r="AK57" s="279"/>
      <c r="AL57" s="279"/>
      <c r="AM57" s="279"/>
      <c r="AN57" s="280">
        <f t="shared" si="30"/>
        <v>50000</v>
      </c>
      <c r="AO57" s="281"/>
      <c r="AP57" s="282">
        <f t="shared" si="12"/>
        <v>50000</v>
      </c>
      <c r="AQ57" s="320">
        <f>J57-AP57</f>
        <v>0</v>
      </c>
    </row>
    <row r="58" spans="1:43" ht="14.7" customHeight="1" x14ac:dyDescent="0.25">
      <c r="A58" s="458"/>
      <c r="B58" s="353" t="s">
        <v>287</v>
      </c>
      <c r="C58" s="354" t="s">
        <v>286</v>
      </c>
      <c r="D58" s="355" t="s">
        <v>329</v>
      </c>
      <c r="E58" s="244"/>
      <c r="F58" s="244"/>
      <c r="G58" s="356"/>
      <c r="H58" s="356"/>
      <c r="I58" s="356"/>
      <c r="J58" s="356">
        <v>50000</v>
      </c>
      <c r="K58" s="357" t="s">
        <v>328</v>
      </c>
      <c r="L58" s="358"/>
      <c r="M58" s="358"/>
      <c r="N58" s="356">
        <f>J58</f>
        <v>50000</v>
      </c>
      <c r="O58" s="356"/>
      <c r="P58" s="356"/>
      <c r="Q58" s="356"/>
      <c r="R58" s="356"/>
      <c r="S58" s="356"/>
      <c r="T58" s="272">
        <f>SUM(M58:S58)</f>
        <v>50000</v>
      </c>
      <c r="U58" s="359"/>
      <c r="V58" s="360"/>
      <c r="W58" s="361"/>
      <c r="X58" s="293"/>
      <c r="Y58" s="277"/>
      <c r="Z58" s="278"/>
      <c r="AA58" s="279"/>
      <c r="AB58" s="279"/>
      <c r="AC58" s="279"/>
      <c r="AD58" s="279"/>
      <c r="AE58" s="279"/>
      <c r="AF58" s="279"/>
      <c r="AG58" s="279"/>
      <c r="AH58" s="279"/>
      <c r="AI58" s="279"/>
      <c r="AJ58" s="279"/>
      <c r="AK58" s="279"/>
      <c r="AL58" s="279"/>
      <c r="AM58" s="279"/>
      <c r="AN58" s="279">
        <f t="shared" si="30"/>
        <v>50000</v>
      </c>
      <c r="AO58" s="281"/>
      <c r="AP58" s="282">
        <f t="shared" si="12"/>
        <v>50000</v>
      </c>
    </row>
    <row r="59" spans="1:43" s="27" customFormat="1" ht="14.7" customHeight="1" thickBot="1" x14ac:dyDescent="0.35">
      <c r="A59" s="459"/>
      <c r="B59" s="362"/>
      <c r="C59" s="363" t="s">
        <v>393</v>
      </c>
      <c r="D59" s="408" t="s">
        <v>332</v>
      </c>
      <c r="E59" s="364">
        <f>SUM(E54:E57)</f>
        <v>12050000</v>
      </c>
      <c r="F59" s="364">
        <f>SUM(F54:F57)</f>
        <v>2133000</v>
      </c>
      <c r="G59" s="364">
        <f>SUM(G54:G57)</f>
        <v>60000</v>
      </c>
      <c r="H59" s="364"/>
      <c r="I59" s="364">
        <f>SUM(I54:I57)</f>
        <v>1903000</v>
      </c>
      <c r="J59" s="364">
        <f>SUM(J54:J57)</f>
        <v>2256000</v>
      </c>
      <c r="K59" s="364"/>
      <c r="L59" s="364">
        <f>SUM(L54:L57)</f>
        <v>0</v>
      </c>
      <c r="M59" s="364"/>
      <c r="N59" s="364">
        <f>SUM(N54:N58)</f>
        <v>2306000</v>
      </c>
      <c r="O59" s="364">
        <f>SUM(O54:O57)</f>
        <v>2625000</v>
      </c>
      <c r="P59" s="364">
        <f>SUM(P54:P57)</f>
        <v>2625000</v>
      </c>
      <c r="Q59" s="364">
        <f>SUM(Q54:Q57)</f>
        <v>1840000</v>
      </c>
      <c r="R59" s="364">
        <f>SUM(R54:R57)</f>
        <v>1700000</v>
      </c>
      <c r="S59" s="364"/>
      <c r="T59" s="365">
        <f>SUM(N59:S59)</f>
        <v>11096000</v>
      </c>
      <c r="U59" s="366">
        <f>SUM(U54:U57)</f>
        <v>1136000</v>
      </c>
      <c r="V59" s="367"/>
      <c r="W59" s="368"/>
      <c r="X59" s="369">
        <f t="shared" ref="X59" si="31">SUM(X53:X58)</f>
        <v>0</v>
      </c>
      <c r="Y59" s="370">
        <f t="shared" ref="Y59" si="32">SUM(Y53:Y58)</f>
        <v>731000</v>
      </c>
      <c r="Z59" s="371">
        <f t="shared" ref="Z59" si="33">SUM(Z53:Z58)</f>
        <v>0</v>
      </c>
      <c r="AA59" s="371">
        <f t="shared" ref="AA59" si="34">SUM(AA53:AA58)</f>
        <v>0</v>
      </c>
      <c r="AB59" s="371">
        <f t="shared" ref="AB59" si="35">SUM(AB53:AB58)</f>
        <v>0</v>
      </c>
      <c r="AC59" s="371">
        <f t="shared" ref="AC59" si="36">SUM(AC53:AC58)</f>
        <v>0</v>
      </c>
      <c r="AD59" s="371">
        <f t="shared" ref="AD59" si="37">SUM(AD53:AD58)</f>
        <v>0</v>
      </c>
      <c r="AE59" s="371">
        <f t="shared" ref="AE59" si="38">SUM(AE53:AE58)</f>
        <v>0</v>
      </c>
      <c r="AF59" s="371">
        <f t="shared" ref="AF59" si="39">SUM(AF53:AF58)</f>
        <v>0</v>
      </c>
      <c r="AG59" s="371">
        <f t="shared" ref="AG59" si="40">SUM(AG53:AG58)</f>
        <v>0</v>
      </c>
      <c r="AH59" s="371">
        <f t="shared" ref="AH59" si="41">SUM(AH53:AH58)</f>
        <v>0</v>
      </c>
      <c r="AI59" s="371">
        <f t="shared" ref="AI59:AO59" si="42">SUM(AI53:AI58)</f>
        <v>0</v>
      </c>
      <c r="AJ59" s="371">
        <f t="shared" si="42"/>
        <v>0</v>
      </c>
      <c r="AK59" s="371">
        <f t="shared" si="42"/>
        <v>0</v>
      </c>
      <c r="AL59" s="371">
        <f t="shared" si="42"/>
        <v>0</v>
      </c>
      <c r="AM59" s="371">
        <f t="shared" si="42"/>
        <v>0</v>
      </c>
      <c r="AN59" s="371">
        <f t="shared" si="42"/>
        <v>1575000</v>
      </c>
      <c r="AO59" s="370">
        <f t="shared" si="42"/>
        <v>0</v>
      </c>
      <c r="AP59" s="372"/>
      <c r="AQ59" s="372"/>
    </row>
    <row r="60" spans="1:43" s="47" customFormat="1" ht="21.45" customHeight="1" thickBot="1" x14ac:dyDescent="0.35">
      <c r="A60" s="373"/>
      <c r="B60" s="374"/>
      <c r="C60" s="374"/>
      <c r="D60" s="409" t="s">
        <v>336</v>
      </c>
      <c r="E60" s="375">
        <f>SUM(E25+E46+E52+E59)</f>
        <v>116471375</v>
      </c>
      <c r="F60" s="375">
        <f>SUM(F25+F46+F52+F59)</f>
        <v>27011522</v>
      </c>
      <c r="G60" s="375">
        <f>SUM(G25+G46+G52+G59)</f>
        <v>3517166</v>
      </c>
      <c r="H60" s="375">
        <f>SUM(H7:H24,H27:H45,H48:H51,H54:H57)</f>
        <v>6620561</v>
      </c>
      <c r="I60" s="375">
        <f>SUM(I25+I46+I52+I59)</f>
        <v>19501834</v>
      </c>
      <c r="J60" s="375">
        <f>SUM(J25+J46+J52+J59)</f>
        <v>26154577</v>
      </c>
      <c r="K60" s="375"/>
      <c r="L60" s="375">
        <f>SUM(L25+L46+L52+L59)</f>
        <v>0</v>
      </c>
      <c r="M60" s="375"/>
      <c r="N60" s="375">
        <f t="shared" ref="N60:U60" si="43">SUM(N25+N46+N52+N59)</f>
        <v>24084577</v>
      </c>
      <c r="O60" s="375">
        <f t="shared" si="43"/>
        <v>23737374</v>
      </c>
      <c r="P60" s="375">
        <f t="shared" si="43"/>
        <v>12605000</v>
      </c>
      <c r="Q60" s="375">
        <f t="shared" si="43"/>
        <v>17790000</v>
      </c>
      <c r="R60" s="375">
        <f t="shared" si="43"/>
        <v>10050000</v>
      </c>
      <c r="S60" s="375">
        <f t="shared" si="43"/>
        <v>6900001</v>
      </c>
      <c r="T60" s="375">
        <f t="shared" si="43"/>
        <v>95166952</v>
      </c>
      <c r="U60" s="376">
        <f t="shared" si="43"/>
        <v>20490851</v>
      </c>
      <c r="V60" s="377"/>
      <c r="W60" s="378"/>
      <c r="X60" s="452" t="s">
        <v>385</v>
      </c>
      <c r="Y60" s="452"/>
      <c r="Z60" s="379">
        <f t="shared" ref="Z60:AH60" si="44">SUM(Z59,Z52,Z46,Z25,)</f>
        <v>0</v>
      </c>
      <c r="AA60" s="379">
        <f t="shared" si="44"/>
        <v>2490300</v>
      </c>
      <c r="AB60" s="379">
        <f>SUM(AB59,AB52,AB46,AB25,)</f>
        <v>97000</v>
      </c>
      <c r="AC60" s="379">
        <f t="shared" si="44"/>
        <v>520000</v>
      </c>
      <c r="AD60" s="379">
        <f t="shared" si="44"/>
        <v>2842653</v>
      </c>
      <c r="AE60" s="379">
        <f t="shared" si="44"/>
        <v>134000</v>
      </c>
      <c r="AF60" s="379">
        <f t="shared" si="44"/>
        <v>0</v>
      </c>
      <c r="AG60" s="379">
        <f t="shared" si="44"/>
        <v>0</v>
      </c>
      <c r="AH60" s="379">
        <f t="shared" si="44"/>
        <v>46000</v>
      </c>
      <c r="AI60" s="379">
        <f t="shared" ref="AI60:AO60" si="45">SUM(AI59,AI52,AI46,AI25,)</f>
        <v>1480540</v>
      </c>
      <c r="AJ60" s="379">
        <f t="shared" si="45"/>
        <v>0</v>
      </c>
      <c r="AK60" s="379">
        <f t="shared" si="45"/>
        <v>4947826</v>
      </c>
      <c r="AL60" s="379">
        <f t="shared" si="45"/>
        <v>0</v>
      </c>
      <c r="AM60" s="379">
        <f t="shared" si="45"/>
        <v>200000</v>
      </c>
      <c r="AN60" s="379">
        <f t="shared" si="45"/>
        <v>2717200</v>
      </c>
      <c r="AO60" s="380">
        <f t="shared" si="45"/>
        <v>3600000</v>
      </c>
      <c r="AP60" s="381"/>
      <c r="AQ60" s="381"/>
    </row>
    <row r="61" spans="1:43" ht="15.6" x14ac:dyDescent="0.3">
      <c r="A61" s="382"/>
      <c r="B61" s="383"/>
      <c r="C61" s="384"/>
      <c r="D61" s="385"/>
      <c r="E61" s="386"/>
      <c r="F61" s="387"/>
      <c r="G61" s="387"/>
      <c r="H61" s="387"/>
      <c r="I61" s="387"/>
      <c r="J61" s="388"/>
      <c r="K61" s="388"/>
      <c r="L61" s="388"/>
      <c r="M61" s="388"/>
      <c r="N61" s="388"/>
      <c r="O61" s="388"/>
      <c r="P61" s="388"/>
      <c r="Q61" s="388"/>
      <c r="R61" s="388"/>
      <c r="S61" s="388"/>
      <c r="T61" s="388"/>
      <c r="U61" s="388"/>
      <c r="V61" s="389"/>
      <c r="W61" s="390"/>
      <c r="X61" s="453" t="s">
        <v>386</v>
      </c>
      <c r="Y61" s="453"/>
      <c r="Z61" s="391">
        <f t="shared" ref="Z61:AO61" si="46">Z1</f>
        <v>0</v>
      </c>
      <c r="AA61" s="391">
        <f t="shared" si="46"/>
        <v>0</v>
      </c>
      <c r="AB61" s="391">
        <f>AB1</f>
        <v>25000</v>
      </c>
      <c r="AC61" s="391">
        <f t="shared" si="46"/>
        <v>0</v>
      </c>
      <c r="AD61" s="391">
        <f t="shared" si="46"/>
        <v>3000000</v>
      </c>
      <c r="AE61" s="391">
        <f t="shared" si="46"/>
        <v>216000</v>
      </c>
      <c r="AF61" s="391">
        <f t="shared" si="46"/>
        <v>550000</v>
      </c>
      <c r="AG61" s="391">
        <f t="shared" si="46"/>
        <v>2800000</v>
      </c>
      <c r="AH61" s="391">
        <f t="shared" si="46"/>
        <v>350000</v>
      </c>
      <c r="AI61" s="391">
        <f t="shared" si="46"/>
        <v>1800000</v>
      </c>
      <c r="AJ61" s="391">
        <f t="shared" si="46"/>
        <v>0</v>
      </c>
      <c r="AK61" s="391">
        <f t="shared" si="46"/>
        <v>3000000</v>
      </c>
      <c r="AL61" s="391">
        <f t="shared" si="46"/>
        <v>0</v>
      </c>
      <c r="AM61" s="391">
        <f t="shared" si="46"/>
        <v>300000</v>
      </c>
      <c r="AN61" s="391">
        <f t="shared" si="46"/>
        <v>6000000</v>
      </c>
      <c r="AO61" s="392">
        <f t="shared" si="46"/>
        <v>600000</v>
      </c>
    </row>
    <row r="62" spans="1:43" ht="16.2" thickBot="1" x14ac:dyDescent="0.35">
      <c r="A62" s="393"/>
      <c r="B62" s="394"/>
      <c r="C62" s="320"/>
      <c r="D62" s="395"/>
      <c r="E62" s="249"/>
      <c r="F62" s="396"/>
      <c r="G62" s="396"/>
      <c r="H62" s="396"/>
      <c r="I62" s="396"/>
      <c r="J62" s="397"/>
      <c r="K62" s="397"/>
      <c r="L62" s="397"/>
      <c r="M62" s="397"/>
      <c r="N62" s="397"/>
      <c r="O62" s="397"/>
      <c r="P62" s="397"/>
      <c r="Q62" s="397"/>
      <c r="R62" s="397"/>
      <c r="S62" s="397"/>
      <c r="T62" s="397"/>
      <c r="U62" s="397"/>
      <c r="V62" s="398"/>
      <c r="W62" s="390"/>
      <c r="X62" s="453" t="s">
        <v>387</v>
      </c>
      <c r="Y62" s="453"/>
      <c r="Z62" s="399">
        <f t="shared" ref="Z62:AH62" si="47">Z61-Z60</f>
        <v>0</v>
      </c>
      <c r="AA62" s="399">
        <f t="shared" si="47"/>
        <v>-2490300</v>
      </c>
      <c r="AB62" s="399">
        <f t="shared" si="47"/>
        <v>-72000</v>
      </c>
      <c r="AC62" s="399">
        <f t="shared" si="47"/>
        <v>-520000</v>
      </c>
      <c r="AD62" s="399">
        <f t="shared" si="47"/>
        <v>157347</v>
      </c>
      <c r="AE62" s="399">
        <f t="shared" si="47"/>
        <v>82000</v>
      </c>
      <c r="AF62" s="399">
        <f t="shared" si="47"/>
        <v>550000</v>
      </c>
      <c r="AG62" s="399">
        <f t="shared" si="47"/>
        <v>2800000</v>
      </c>
      <c r="AH62" s="399">
        <f t="shared" si="47"/>
        <v>304000</v>
      </c>
      <c r="AI62" s="399">
        <f t="shared" ref="AI62:AO62" si="48">AI61-AI60</f>
        <v>319460</v>
      </c>
      <c r="AJ62" s="399">
        <f t="shared" si="48"/>
        <v>0</v>
      </c>
      <c r="AK62" s="399">
        <f t="shared" si="48"/>
        <v>-1947826</v>
      </c>
      <c r="AL62" s="399">
        <f t="shared" si="48"/>
        <v>0</v>
      </c>
      <c r="AM62" s="399">
        <f t="shared" si="48"/>
        <v>100000</v>
      </c>
      <c r="AN62" s="399">
        <f t="shared" si="48"/>
        <v>3282800</v>
      </c>
      <c r="AO62" s="400">
        <f t="shared" si="48"/>
        <v>-3000000</v>
      </c>
    </row>
    <row r="63" spans="1:43" x14ac:dyDescent="0.3">
      <c r="A63" s="393"/>
      <c r="B63" s="394"/>
      <c r="C63" s="320"/>
      <c r="D63" s="395"/>
      <c r="E63" s="249"/>
      <c r="F63" s="396"/>
      <c r="G63" s="396"/>
      <c r="H63" s="396"/>
      <c r="I63" s="396"/>
      <c r="J63" s="397"/>
      <c r="K63" s="397"/>
      <c r="L63" s="397"/>
      <c r="M63" s="397"/>
      <c r="N63" s="397"/>
      <c r="O63" s="397"/>
      <c r="P63" s="397"/>
      <c r="Q63" s="397"/>
      <c r="R63" s="397"/>
      <c r="S63" s="397"/>
      <c r="T63" s="397"/>
      <c r="U63" s="397"/>
      <c r="V63" s="398"/>
      <c r="W63" s="398"/>
      <c r="X63" s="397"/>
    </row>
    <row r="64" spans="1:43" x14ac:dyDescent="0.3">
      <c r="A64" s="393"/>
      <c r="B64" s="394"/>
      <c r="C64" s="320"/>
      <c r="D64" s="395"/>
      <c r="E64" s="249"/>
      <c r="F64" s="396"/>
      <c r="G64" s="396"/>
      <c r="H64" s="396"/>
      <c r="I64" s="396"/>
      <c r="J64" s="397"/>
      <c r="K64" s="397"/>
      <c r="L64" s="397"/>
      <c r="M64" s="397"/>
      <c r="N64" s="397"/>
      <c r="O64" s="397"/>
      <c r="P64" s="397"/>
      <c r="Q64" s="397"/>
      <c r="R64" s="397"/>
      <c r="S64" s="397"/>
      <c r="T64" s="397"/>
      <c r="U64" s="397"/>
      <c r="V64" s="398"/>
      <c r="W64" s="398"/>
      <c r="X64" s="397"/>
    </row>
    <row r="65" spans="1:24 16384:16384" x14ac:dyDescent="0.3">
      <c r="A65" s="393"/>
      <c r="B65" s="394"/>
      <c r="C65" s="320"/>
      <c r="D65" s="395"/>
      <c r="E65" s="249"/>
      <c r="F65" s="396"/>
      <c r="G65" s="396"/>
      <c r="H65" s="396"/>
      <c r="I65" s="396"/>
      <c r="J65" s="397"/>
      <c r="K65" s="397"/>
      <c r="L65" s="397"/>
      <c r="M65" s="397"/>
      <c r="N65" s="397"/>
      <c r="O65" s="397"/>
      <c r="P65" s="397"/>
      <c r="Q65" s="397"/>
      <c r="R65" s="397"/>
      <c r="S65" s="397"/>
      <c r="T65" s="397"/>
      <c r="U65" s="397"/>
      <c r="V65" s="398"/>
      <c r="W65" s="398"/>
      <c r="X65" s="397"/>
    </row>
    <row r="66" spans="1:24 16384:16384" x14ac:dyDescent="0.3">
      <c r="A66" s="393"/>
      <c r="B66" s="394"/>
      <c r="C66" s="320"/>
      <c r="D66" s="395"/>
      <c r="E66" s="249"/>
      <c r="F66" s="396"/>
      <c r="G66" s="396"/>
      <c r="H66" s="396"/>
      <c r="I66" s="396"/>
      <c r="J66" s="397"/>
      <c r="K66" s="397"/>
      <c r="L66" s="397"/>
      <c r="M66" s="397"/>
      <c r="N66" s="397"/>
      <c r="O66" s="397"/>
      <c r="P66" s="397"/>
      <c r="Q66" s="397"/>
      <c r="R66" s="397"/>
      <c r="S66" s="397"/>
      <c r="T66" s="397"/>
      <c r="U66" s="397"/>
      <c r="V66" s="398"/>
      <c r="W66" s="398"/>
      <c r="X66" s="397"/>
    </row>
    <row r="67" spans="1:24 16384:16384" x14ac:dyDescent="0.3">
      <c r="A67" s="393"/>
      <c r="B67" s="394"/>
      <c r="C67" s="320"/>
      <c r="D67" s="395"/>
      <c r="E67" s="249"/>
      <c r="F67" s="396"/>
      <c r="G67" s="396"/>
      <c r="H67" s="396"/>
      <c r="I67" s="396"/>
      <c r="J67" s="397"/>
      <c r="K67" s="397"/>
      <c r="L67" s="397"/>
      <c r="M67" s="397"/>
      <c r="N67" s="397"/>
      <c r="O67" s="397"/>
      <c r="P67" s="397"/>
      <c r="Q67" s="397"/>
      <c r="R67" s="397"/>
      <c r="S67" s="397"/>
      <c r="T67" s="397"/>
      <c r="U67" s="397"/>
      <c r="V67" s="398"/>
      <c r="W67" s="398"/>
      <c r="X67" s="397"/>
    </row>
    <row r="68" spans="1:24 16384:16384" x14ac:dyDescent="0.3">
      <c r="A68" s="393"/>
      <c r="B68" s="394"/>
      <c r="C68" s="320"/>
      <c r="D68" s="395"/>
      <c r="E68" s="249"/>
      <c r="F68" s="396"/>
      <c r="G68" s="396"/>
      <c r="H68" s="396"/>
      <c r="I68" s="396"/>
      <c r="J68" s="397"/>
      <c r="K68" s="397"/>
      <c r="L68" s="397"/>
      <c r="M68" s="397"/>
      <c r="N68" s="397"/>
      <c r="O68" s="397"/>
      <c r="P68" s="397"/>
      <c r="Q68" s="397"/>
      <c r="R68" s="397"/>
      <c r="S68" s="397"/>
      <c r="T68" s="397"/>
      <c r="U68" s="397"/>
      <c r="V68" s="398"/>
      <c r="W68" s="398"/>
      <c r="X68" s="397"/>
    </row>
    <row r="69" spans="1:24 16384:16384" x14ac:dyDescent="0.3">
      <c r="A69" s="393"/>
      <c r="B69" s="394"/>
      <c r="C69" s="320"/>
      <c r="D69" s="395"/>
      <c r="E69" s="249"/>
      <c r="F69" s="396"/>
      <c r="G69" s="396"/>
      <c r="H69" s="396"/>
      <c r="I69" s="396"/>
      <c r="J69" s="397"/>
      <c r="K69" s="397"/>
      <c r="L69" s="397"/>
      <c r="M69" s="397"/>
      <c r="N69" s="397"/>
      <c r="O69" s="397"/>
      <c r="P69" s="397"/>
      <c r="Q69" s="397"/>
      <c r="R69" s="397"/>
      <c r="S69" s="397"/>
      <c r="T69" s="397"/>
      <c r="U69" s="397"/>
      <c r="V69" s="398"/>
      <c r="W69" s="398"/>
      <c r="X69" s="397"/>
    </row>
    <row r="70" spans="1:24 16384:16384" x14ac:dyDescent="0.3">
      <c r="A70" s="393"/>
      <c r="B70" s="394"/>
      <c r="C70" s="320"/>
      <c r="D70" s="395"/>
      <c r="E70" s="249"/>
      <c r="F70" s="396"/>
      <c r="G70" s="396"/>
      <c r="H70" s="396"/>
      <c r="I70" s="396"/>
      <c r="J70" s="397"/>
      <c r="K70" s="397"/>
      <c r="L70" s="397"/>
      <c r="M70" s="397"/>
      <c r="N70" s="397"/>
      <c r="O70" s="397"/>
      <c r="P70" s="397"/>
      <c r="Q70" s="397"/>
      <c r="R70" s="397"/>
      <c r="S70" s="397"/>
      <c r="T70" s="397"/>
      <c r="U70" s="397"/>
      <c r="V70" s="398"/>
      <c r="W70" s="398"/>
      <c r="X70" s="397"/>
    </row>
    <row r="71" spans="1:24 16384:16384" x14ac:dyDescent="0.3">
      <c r="A71" s="393"/>
      <c r="B71" s="394"/>
      <c r="C71" s="320"/>
      <c r="D71" s="395"/>
      <c r="E71" s="249"/>
      <c r="F71" s="396"/>
      <c r="G71" s="396"/>
      <c r="H71" s="396"/>
      <c r="I71" s="396"/>
      <c r="J71" s="397"/>
      <c r="K71" s="397"/>
      <c r="L71" s="397"/>
      <c r="M71" s="397"/>
      <c r="N71" s="397"/>
      <c r="O71" s="397"/>
      <c r="P71" s="397"/>
      <c r="Q71" s="397"/>
      <c r="R71" s="397"/>
      <c r="S71" s="397"/>
      <c r="T71" s="397"/>
      <c r="U71" s="397"/>
      <c r="V71" s="398"/>
      <c r="W71" s="398"/>
      <c r="X71" s="397"/>
    </row>
    <row r="72" spans="1:24 16384:16384" x14ac:dyDescent="0.3">
      <c r="A72" s="393"/>
      <c r="B72" s="394"/>
      <c r="C72" s="320"/>
      <c r="D72" s="395"/>
      <c r="E72" s="249"/>
      <c r="F72" s="396"/>
      <c r="G72" s="396"/>
      <c r="H72" s="396"/>
      <c r="I72" s="396"/>
      <c r="J72" s="397"/>
      <c r="K72" s="397"/>
      <c r="L72" s="397"/>
      <c r="M72" s="397"/>
      <c r="N72" s="397"/>
      <c r="O72" s="397"/>
      <c r="P72" s="397"/>
      <c r="Q72" s="397"/>
      <c r="R72" s="397"/>
      <c r="S72" s="397"/>
      <c r="T72" s="397"/>
      <c r="U72" s="397"/>
      <c r="V72" s="398"/>
      <c r="W72" s="398"/>
      <c r="X72" s="397"/>
    </row>
    <row r="73" spans="1:24 16384:16384" x14ac:dyDescent="0.3">
      <c r="A73" s="393"/>
      <c r="B73" s="394"/>
      <c r="C73" s="320"/>
      <c r="D73" s="395"/>
      <c r="E73" s="249"/>
      <c r="F73" s="396"/>
      <c r="G73" s="396"/>
      <c r="H73" s="396"/>
      <c r="I73" s="396"/>
      <c r="J73" s="397"/>
      <c r="K73" s="397"/>
      <c r="L73" s="397"/>
      <c r="M73" s="397"/>
      <c r="N73" s="397"/>
      <c r="O73" s="397"/>
      <c r="P73" s="397"/>
      <c r="Q73" s="397"/>
      <c r="R73" s="397"/>
      <c r="S73" s="397"/>
      <c r="T73" s="397"/>
      <c r="U73" s="397"/>
      <c r="V73" s="398"/>
      <c r="W73" s="398"/>
      <c r="X73" s="397"/>
    </row>
    <row r="74" spans="1:24 16384:16384" x14ac:dyDescent="0.3">
      <c r="A74" s="393"/>
      <c r="B74" s="394"/>
      <c r="C74" s="320"/>
      <c r="D74" s="395"/>
      <c r="E74" s="249"/>
      <c r="F74" s="396"/>
      <c r="G74" s="396"/>
      <c r="H74" s="396"/>
      <c r="I74" s="396"/>
      <c r="J74" s="397"/>
      <c r="K74" s="397"/>
      <c r="L74" s="397"/>
      <c r="M74" s="397"/>
      <c r="N74" s="397"/>
      <c r="O74" s="397"/>
      <c r="P74" s="397"/>
      <c r="Q74" s="397"/>
      <c r="R74" s="397"/>
      <c r="S74" s="397"/>
      <c r="T74" s="397"/>
      <c r="U74" s="397"/>
      <c r="V74" s="398"/>
      <c r="W74" s="398"/>
      <c r="X74" s="397"/>
    </row>
    <row r="75" spans="1:24 16384:16384" x14ac:dyDescent="0.3">
      <c r="A75" s="393"/>
      <c r="B75" s="394"/>
      <c r="C75" s="320"/>
      <c r="D75" s="395"/>
      <c r="E75" s="249"/>
      <c r="F75" s="396"/>
      <c r="G75" s="396"/>
      <c r="H75" s="396"/>
      <c r="I75" s="396"/>
      <c r="J75" s="397"/>
      <c r="K75" s="397"/>
      <c r="L75" s="397"/>
      <c r="M75" s="397"/>
      <c r="N75" s="397"/>
      <c r="O75" s="397"/>
      <c r="P75" s="397"/>
      <c r="Q75" s="397"/>
      <c r="R75" s="397"/>
      <c r="S75" s="397"/>
      <c r="T75" s="397"/>
      <c r="U75" s="397"/>
      <c r="V75" s="398"/>
      <c r="W75" s="398"/>
      <c r="X75" s="397"/>
      <c r="XFD75" s="16">
        <f>+XCT39</f>
        <v>0</v>
      </c>
    </row>
    <row r="76" spans="1:24 16384:16384" x14ac:dyDescent="0.3">
      <c r="A76" s="393"/>
      <c r="B76" s="394"/>
      <c r="C76" s="320"/>
      <c r="D76" s="395"/>
      <c r="E76" s="249"/>
      <c r="F76" s="396"/>
      <c r="G76" s="396"/>
      <c r="H76" s="396"/>
      <c r="I76" s="396"/>
      <c r="J76" s="397"/>
      <c r="K76" s="397"/>
      <c r="L76" s="397"/>
      <c r="M76" s="397"/>
      <c r="N76" s="397"/>
      <c r="O76" s="397"/>
      <c r="P76" s="397"/>
      <c r="Q76" s="397"/>
      <c r="R76" s="397"/>
      <c r="S76" s="397"/>
      <c r="T76" s="397"/>
      <c r="U76" s="397"/>
      <c r="V76" s="398"/>
      <c r="W76" s="398"/>
      <c r="X76" s="397"/>
    </row>
    <row r="77" spans="1:24 16384:16384" x14ac:dyDescent="0.3">
      <c r="A77" s="393"/>
      <c r="B77" s="394"/>
      <c r="C77" s="320"/>
      <c r="D77" s="395"/>
      <c r="E77" s="249"/>
      <c r="F77" s="396"/>
      <c r="G77" s="396"/>
      <c r="H77" s="396"/>
      <c r="I77" s="396"/>
      <c r="J77" s="397"/>
      <c r="K77" s="397"/>
      <c r="L77" s="397"/>
      <c r="M77" s="397"/>
      <c r="N77" s="397"/>
      <c r="O77" s="397"/>
      <c r="P77" s="397"/>
      <c r="Q77" s="397"/>
      <c r="R77" s="397"/>
      <c r="S77" s="397"/>
      <c r="T77" s="397"/>
      <c r="U77" s="397"/>
      <c r="V77" s="398"/>
      <c r="W77" s="398"/>
      <c r="X77" s="397"/>
    </row>
    <row r="78" spans="1:24 16384:16384" x14ac:dyDescent="0.3">
      <c r="A78" s="393"/>
      <c r="B78" s="394"/>
      <c r="C78" s="320"/>
      <c r="D78" s="395"/>
      <c r="E78" s="249"/>
      <c r="F78" s="396"/>
      <c r="G78" s="396"/>
      <c r="H78" s="396"/>
      <c r="I78" s="396"/>
      <c r="J78" s="397"/>
      <c r="K78" s="397"/>
      <c r="L78" s="397"/>
      <c r="M78" s="397"/>
      <c r="N78" s="397"/>
      <c r="O78" s="397"/>
      <c r="P78" s="397"/>
      <c r="Q78" s="397"/>
      <c r="R78" s="397"/>
      <c r="S78" s="397"/>
      <c r="T78" s="397"/>
      <c r="U78" s="397"/>
      <c r="V78" s="398"/>
      <c r="W78" s="398"/>
      <c r="X78" s="397"/>
    </row>
    <row r="79" spans="1:24 16384:16384" x14ac:dyDescent="0.3">
      <c r="A79" s="393"/>
      <c r="B79" s="394"/>
      <c r="C79" s="320"/>
      <c r="D79" s="395"/>
      <c r="E79" s="249"/>
      <c r="F79" s="396"/>
      <c r="G79" s="396"/>
      <c r="H79" s="396"/>
      <c r="I79" s="396"/>
      <c r="J79" s="397"/>
      <c r="K79" s="397"/>
      <c r="L79" s="397"/>
      <c r="M79" s="397"/>
      <c r="N79" s="397"/>
      <c r="O79" s="397"/>
      <c r="P79" s="397"/>
      <c r="Q79" s="397"/>
      <c r="R79" s="397"/>
      <c r="S79" s="397"/>
      <c r="T79" s="397"/>
      <c r="U79" s="397"/>
      <c r="V79" s="398"/>
      <c r="W79" s="398"/>
      <c r="X79" s="397"/>
    </row>
    <row r="80" spans="1:24 16384:16384" x14ac:dyDescent="0.3">
      <c r="A80" s="393"/>
      <c r="B80" s="394"/>
      <c r="C80" s="320"/>
      <c r="D80" s="395"/>
      <c r="E80" s="249"/>
      <c r="F80" s="396"/>
      <c r="G80" s="396"/>
      <c r="H80" s="396"/>
      <c r="I80" s="396"/>
      <c r="J80" s="397"/>
      <c r="K80" s="397"/>
      <c r="L80" s="397"/>
      <c r="M80" s="397"/>
      <c r="N80" s="397"/>
      <c r="O80" s="397"/>
      <c r="P80" s="397"/>
      <c r="Q80" s="397"/>
      <c r="R80" s="397"/>
      <c r="S80" s="397"/>
      <c r="T80" s="397"/>
      <c r="U80" s="397"/>
      <c r="V80" s="398"/>
      <c r="W80" s="398"/>
      <c r="X80" s="397"/>
    </row>
    <row r="81" spans="1:24" x14ac:dyDescent="0.3">
      <c r="A81" s="393"/>
      <c r="B81" s="394"/>
      <c r="C81" s="320"/>
      <c r="D81" s="395"/>
      <c r="E81" s="249"/>
      <c r="F81" s="396"/>
      <c r="G81" s="396"/>
      <c r="H81" s="396"/>
      <c r="I81" s="396"/>
      <c r="J81" s="397"/>
      <c r="K81" s="397"/>
      <c r="L81" s="397"/>
      <c r="M81" s="397"/>
      <c r="N81" s="397"/>
      <c r="O81" s="397"/>
      <c r="P81" s="397"/>
      <c r="Q81" s="397"/>
      <c r="R81" s="397"/>
      <c r="S81" s="397"/>
      <c r="T81" s="397"/>
      <c r="U81" s="397"/>
      <c r="V81" s="398"/>
      <c r="W81" s="398"/>
      <c r="X81" s="397"/>
    </row>
    <row r="82" spans="1:24" x14ac:dyDescent="0.3">
      <c r="A82" s="393"/>
      <c r="B82" s="394"/>
      <c r="C82" s="320"/>
      <c r="D82" s="395"/>
      <c r="E82" s="249"/>
      <c r="F82" s="396"/>
      <c r="G82" s="396"/>
      <c r="H82" s="396"/>
      <c r="I82" s="396"/>
      <c r="J82" s="397"/>
      <c r="K82" s="397"/>
      <c r="L82" s="397"/>
      <c r="M82" s="397"/>
      <c r="N82" s="397"/>
      <c r="O82" s="397"/>
      <c r="P82" s="397"/>
      <c r="Q82" s="397"/>
      <c r="R82" s="397"/>
      <c r="S82" s="397"/>
      <c r="T82" s="397"/>
      <c r="U82" s="397"/>
      <c r="V82" s="398"/>
      <c r="W82" s="398"/>
      <c r="X82" s="397"/>
    </row>
    <row r="83" spans="1:24" x14ac:dyDescent="0.3">
      <c r="A83" s="393"/>
      <c r="B83" s="394"/>
      <c r="C83" s="320"/>
      <c r="D83" s="395"/>
      <c r="E83" s="249"/>
      <c r="F83" s="396"/>
      <c r="G83" s="396"/>
      <c r="H83" s="396"/>
      <c r="I83" s="396"/>
      <c r="J83" s="397"/>
      <c r="K83" s="397"/>
      <c r="L83" s="397"/>
      <c r="M83" s="397"/>
      <c r="N83" s="397"/>
      <c r="O83" s="397"/>
      <c r="P83" s="397"/>
      <c r="Q83" s="397"/>
      <c r="R83" s="397"/>
      <c r="S83" s="397"/>
      <c r="T83" s="397"/>
      <c r="U83" s="397"/>
      <c r="V83" s="398"/>
      <c r="W83" s="398"/>
      <c r="X83" s="397"/>
    </row>
    <row r="84" spans="1:24" x14ac:dyDescent="0.3">
      <c r="A84" s="393"/>
      <c r="B84" s="394"/>
      <c r="C84" s="320"/>
      <c r="D84" s="395"/>
      <c r="E84" s="249"/>
      <c r="F84" s="396"/>
      <c r="G84" s="396"/>
      <c r="H84" s="396"/>
      <c r="I84" s="396"/>
      <c r="J84" s="397"/>
      <c r="K84" s="397"/>
      <c r="L84" s="397"/>
      <c r="M84" s="397"/>
      <c r="N84" s="397"/>
      <c r="O84" s="397"/>
      <c r="P84" s="397"/>
      <c r="Q84" s="397"/>
      <c r="R84" s="397"/>
      <c r="S84" s="397"/>
      <c r="T84" s="397"/>
      <c r="U84" s="397"/>
      <c r="V84" s="398"/>
      <c r="W84" s="398"/>
      <c r="X84" s="397"/>
    </row>
    <row r="85" spans="1:24" x14ac:dyDescent="0.3">
      <c r="A85" s="393"/>
      <c r="B85" s="394"/>
      <c r="C85" s="320"/>
      <c r="D85" s="395"/>
      <c r="E85" s="249"/>
      <c r="F85" s="396"/>
      <c r="G85" s="396"/>
      <c r="H85" s="396"/>
      <c r="I85" s="396"/>
      <c r="J85" s="397"/>
      <c r="K85" s="397"/>
      <c r="L85" s="397"/>
      <c r="M85" s="397"/>
      <c r="N85" s="397"/>
      <c r="O85" s="397"/>
      <c r="P85" s="397"/>
      <c r="Q85" s="397"/>
      <c r="R85" s="397"/>
      <c r="S85" s="397"/>
      <c r="T85" s="397"/>
      <c r="U85" s="397"/>
      <c r="V85" s="398"/>
      <c r="W85" s="398"/>
      <c r="X85" s="397"/>
    </row>
    <row r="86" spans="1:24" x14ac:dyDescent="0.3">
      <c r="A86" s="393"/>
      <c r="B86" s="394"/>
      <c r="C86" s="320"/>
      <c r="D86" s="395"/>
      <c r="E86" s="249"/>
      <c r="F86" s="396"/>
      <c r="G86" s="396"/>
      <c r="H86" s="396"/>
      <c r="I86" s="396"/>
      <c r="J86" s="397"/>
      <c r="K86" s="397"/>
      <c r="L86" s="397"/>
      <c r="M86" s="397"/>
      <c r="N86" s="397"/>
      <c r="O86" s="397"/>
      <c r="P86" s="397"/>
      <c r="Q86" s="397"/>
      <c r="R86" s="397"/>
      <c r="S86" s="397"/>
      <c r="T86" s="397"/>
      <c r="U86" s="397"/>
      <c r="V86" s="398"/>
      <c r="W86" s="398"/>
      <c r="X86" s="397"/>
    </row>
    <row r="87" spans="1:24" x14ac:dyDescent="0.3">
      <c r="A87" s="393"/>
      <c r="B87" s="394"/>
      <c r="C87" s="320"/>
      <c r="D87" s="395"/>
      <c r="E87" s="249"/>
      <c r="F87" s="396"/>
      <c r="G87" s="396"/>
      <c r="H87" s="396"/>
      <c r="I87" s="396"/>
      <c r="J87" s="397"/>
      <c r="K87" s="397"/>
      <c r="L87" s="397"/>
      <c r="M87" s="397"/>
      <c r="N87" s="397"/>
      <c r="O87" s="397"/>
      <c r="P87" s="397"/>
      <c r="Q87" s="397"/>
      <c r="R87" s="397"/>
      <c r="S87" s="397"/>
      <c r="T87" s="397"/>
      <c r="U87" s="397"/>
      <c r="V87" s="398"/>
      <c r="W87" s="398"/>
      <c r="X87" s="397"/>
    </row>
    <row r="88" spans="1:24" x14ac:dyDescent="0.3">
      <c r="A88" s="393"/>
      <c r="B88" s="394"/>
      <c r="C88" s="320"/>
      <c r="D88" s="395"/>
      <c r="E88" s="249"/>
      <c r="F88" s="396"/>
      <c r="G88" s="396"/>
      <c r="H88" s="396"/>
      <c r="I88" s="396"/>
      <c r="J88" s="397"/>
      <c r="K88" s="397"/>
      <c r="L88" s="397"/>
      <c r="M88" s="397"/>
      <c r="N88" s="397"/>
      <c r="O88" s="397"/>
      <c r="P88" s="397"/>
      <c r="Q88" s="397"/>
      <c r="R88" s="397"/>
      <c r="S88" s="397"/>
      <c r="T88" s="397"/>
      <c r="U88" s="397"/>
      <c r="V88" s="398"/>
      <c r="W88" s="398"/>
      <c r="X88" s="397"/>
    </row>
    <row r="89" spans="1:24" x14ac:dyDescent="0.3">
      <c r="A89" s="393"/>
      <c r="B89" s="394"/>
      <c r="C89" s="320"/>
      <c r="D89" s="395"/>
      <c r="E89" s="249"/>
      <c r="F89" s="396"/>
      <c r="G89" s="396"/>
      <c r="H89" s="396"/>
      <c r="I89" s="396"/>
      <c r="J89" s="397"/>
      <c r="K89" s="397"/>
      <c r="L89" s="397"/>
      <c r="M89" s="397"/>
      <c r="N89" s="397"/>
      <c r="O89" s="397"/>
      <c r="P89" s="397"/>
      <c r="Q89" s="397"/>
      <c r="R89" s="397"/>
      <c r="S89" s="397"/>
      <c r="T89" s="397"/>
      <c r="U89" s="397"/>
      <c r="V89" s="398"/>
      <c r="W89" s="398"/>
      <c r="X89" s="397"/>
    </row>
    <row r="90" spans="1:24" x14ac:dyDescent="0.3">
      <c r="A90" s="393"/>
      <c r="B90" s="394"/>
      <c r="C90" s="320"/>
      <c r="D90" s="395"/>
      <c r="E90" s="249"/>
      <c r="F90" s="396"/>
      <c r="G90" s="396"/>
      <c r="H90" s="396"/>
      <c r="I90" s="396"/>
      <c r="J90" s="397"/>
      <c r="K90" s="397"/>
      <c r="L90" s="397"/>
      <c r="M90" s="397"/>
      <c r="N90" s="397"/>
      <c r="O90" s="397"/>
      <c r="P90" s="397"/>
      <c r="Q90" s="397"/>
      <c r="R90" s="397"/>
      <c r="S90" s="397"/>
      <c r="T90" s="397"/>
      <c r="U90" s="397"/>
      <c r="V90" s="398"/>
      <c r="W90" s="398"/>
      <c r="X90" s="397"/>
    </row>
    <row r="91" spans="1:24" x14ac:dyDescent="0.3">
      <c r="A91" s="393"/>
      <c r="B91" s="394"/>
      <c r="C91" s="320"/>
      <c r="D91" s="395"/>
      <c r="E91" s="249"/>
      <c r="F91" s="396"/>
      <c r="G91" s="396"/>
      <c r="H91" s="396"/>
      <c r="I91" s="396"/>
      <c r="J91" s="397"/>
      <c r="K91" s="397"/>
      <c r="L91" s="397"/>
      <c r="M91" s="397"/>
      <c r="N91" s="397"/>
      <c r="O91" s="397"/>
      <c r="P91" s="397"/>
      <c r="Q91" s="397"/>
      <c r="R91" s="397"/>
      <c r="S91" s="397"/>
      <c r="T91" s="397"/>
      <c r="U91" s="397"/>
      <c r="V91" s="398"/>
      <c r="W91" s="398"/>
      <c r="X91" s="397"/>
    </row>
    <row r="92" spans="1:24" x14ac:dyDescent="0.3">
      <c r="A92" s="393"/>
      <c r="B92" s="394"/>
      <c r="C92" s="320"/>
      <c r="D92" s="395"/>
      <c r="E92" s="249"/>
      <c r="F92" s="396"/>
      <c r="G92" s="396"/>
      <c r="H92" s="396"/>
      <c r="I92" s="396"/>
      <c r="J92" s="397"/>
      <c r="K92" s="397"/>
      <c r="L92" s="397"/>
      <c r="M92" s="397"/>
      <c r="N92" s="397"/>
      <c r="O92" s="397"/>
      <c r="P92" s="397"/>
      <c r="Q92" s="397"/>
      <c r="R92" s="397"/>
      <c r="S92" s="397"/>
      <c r="T92" s="397"/>
      <c r="U92" s="397"/>
      <c r="V92" s="398"/>
      <c r="W92" s="398"/>
      <c r="X92" s="397"/>
    </row>
    <row r="93" spans="1:24" x14ac:dyDescent="0.3">
      <c r="A93" s="393"/>
      <c r="B93" s="394"/>
      <c r="C93" s="320"/>
      <c r="D93" s="395"/>
      <c r="E93" s="249"/>
      <c r="F93" s="396"/>
      <c r="G93" s="396"/>
      <c r="H93" s="396"/>
      <c r="I93" s="396"/>
      <c r="J93" s="397"/>
      <c r="K93" s="397"/>
      <c r="L93" s="397"/>
      <c r="M93" s="397"/>
      <c r="N93" s="397"/>
      <c r="O93" s="397"/>
      <c r="P93" s="397"/>
      <c r="Q93" s="397"/>
      <c r="R93" s="397"/>
      <c r="S93" s="397"/>
      <c r="T93" s="397"/>
      <c r="U93" s="397"/>
      <c r="V93" s="398"/>
      <c r="W93" s="398"/>
      <c r="X93" s="397"/>
    </row>
    <row r="94" spans="1:24" x14ac:dyDescent="0.3">
      <c r="A94" s="393"/>
      <c r="B94" s="394"/>
      <c r="C94" s="320"/>
      <c r="D94" s="395"/>
      <c r="E94" s="249"/>
      <c r="F94" s="396"/>
      <c r="G94" s="396"/>
      <c r="H94" s="396"/>
      <c r="I94" s="396"/>
      <c r="J94" s="397"/>
      <c r="K94" s="397"/>
      <c r="L94" s="397"/>
      <c r="M94" s="397"/>
      <c r="N94" s="397"/>
      <c r="O94" s="397"/>
      <c r="P94" s="397"/>
      <c r="Q94" s="397"/>
      <c r="R94" s="397"/>
      <c r="S94" s="397"/>
      <c r="T94" s="397"/>
      <c r="U94" s="397"/>
      <c r="V94" s="398"/>
      <c r="W94" s="398"/>
      <c r="X94" s="397"/>
    </row>
    <row r="95" spans="1:24" x14ac:dyDescent="0.3">
      <c r="A95" s="393"/>
      <c r="B95" s="394"/>
      <c r="C95" s="320"/>
      <c r="D95" s="395"/>
      <c r="E95" s="249"/>
      <c r="F95" s="396"/>
      <c r="G95" s="396"/>
      <c r="H95" s="396"/>
      <c r="I95" s="396"/>
      <c r="J95" s="397"/>
      <c r="K95" s="397"/>
      <c r="L95" s="397"/>
      <c r="M95" s="397"/>
      <c r="N95" s="397"/>
      <c r="O95" s="397"/>
      <c r="P95" s="397"/>
      <c r="Q95" s="397"/>
      <c r="R95" s="397"/>
      <c r="S95" s="397"/>
      <c r="T95" s="397"/>
      <c r="U95" s="397"/>
      <c r="V95" s="398"/>
      <c r="W95" s="398"/>
      <c r="X95" s="397"/>
    </row>
    <row r="96" spans="1:24" x14ac:dyDescent="0.3">
      <c r="A96" s="393"/>
      <c r="B96" s="394"/>
      <c r="C96" s="320"/>
      <c r="D96" s="395"/>
      <c r="E96" s="249"/>
      <c r="F96" s="396"/>
      <c r="G96" s="396"/>
      <c r="H96" s="396"/>
      <c r="I96" s="396"/>
      <c r="J96" s="397"/>
      <c r="K96" s="397"/>
      <c r="L96" s="397"/>
      <c r="M96" s="397"/>
      <c r="N96" s="397"/>
      <c r="O96" s="397"/>
      <c r="P96" s="397"/>
      <c r="Q96" s="397"/>
      <c r="R96" s="397"/>
      <c r="S96" s="397"/>
      <c r="T96" s="397"/>
      <c r="U96" s="397"/>
      <c r="V96" s="398"/>
      <c r="W96" s="398"/>
      <c r="X96" s="397"/>
    </row>
    <row r="97" spans="1:24" x14ac:dyDescent="0.3">
      <c r="A97" s="393"/>
      <c r="B97" s="394"/>
      <c r="C97" s="320"/>
      <c r="D97" s="395"/>
      <c r="E97" s="249"/>
      <c r="F97" s="396"/>
      <c r="G97" s="396"/>
      <c r="H97" s="396"/>
      <c r="I97" s="396"/>
      <c r="J97" s="397"/>
      <c r="K97" s="397"/>
      <c r="L97" s="397"/>
      <c r="M97" s="397"/>
      <c r="N97" s="397"/>
      <c r="O97" s="397"/>
      <c r="P97" s="397"/>
      <c r="Q97" s="397"/>
      <c r="R97" s="397"/>
      <c r="S97" s="397"/>
      <c r="T97" s="397"/>
      <c r="U97" s="397"/>
      <c r="V97" s="398"/>
      <c r="W97" s="398"/>
      <c r="X97" s="397"/>
    </row>
    <row r="98" spans="1:24" x14ac:dyDescent="0.3">
      <c r="A98" s="393"/>
      <c r="B98" s="394"/>
      <c r="C98" s="320"/>
      <c r="D98" s="395"/>
      <c r="E98" s="249"/>
      <c r="F98" s="396"/>
      <c r="G98" s="396"/>
      <c r="H98" s="396"/>
      <c r="I98" s="396"/>
      <c r="J98" s="397"/>
      <c r="K98" s="397"/>
      <c r="L98" s="397"/>
      <c r="M98" s="397"/>
      <c r="N98" s="397"/>
      <c r="O98" s="397"/>
      <c r="P98" s="397"/>
      <c r="Q98" s="397"/>
      <c r="R98" s="397"/>
      <c r="S98" s="397"/>
      <c r="T98" s="397"/>
      <c r="U98" s="397"/>
      <c r="V98" s="398"/>
      <c r="W98" s="398"/>
      <c r="X98" s="397"/>
    </row>
    <row r="99" spans="1:24" x14ac:dyDescent="0.3">
      <c r="A99" s="393"/>
      <c r="B99" s="394"/>
      <c r="C99" s="320"/>
      <c r="D99" s="395"/>
      <c r="E99" s="249"/>
      <c r="F99" s="396"/>
      <c r="G99" s="396"/>
      <c r="H99" s="396"/>
      <c r="I99" s="396"/>
      <c r="J99" s="397"/>
      <c r="K99" s="397"/>
      <c r="L99" s="397"/>
      <c r="M99" s="397"/>
      <c r="N99" s="397"/>
      <c r="O99" s="397"/>
      <c r="P99" s="397"/>
      <c r="Q99" s="397"/>
      <c r="R99" s="397"/>
      <c r="S99" s="397"/>
      <c r="T99" s="397"/>
      <c r="U99" s="397"/>
      <c r="V99" s="398"/>
      <c r="W99" s="398"/>
      <c r="X99" s="397"/>
    </row>
    <row r="100" spans="1:24" x14ac:dyDescent="0.3">
      <c r="A100" s="393"/>
      <c r="B100" s="394"/>
      <c r="C100" s="320"/>
      <c r="D100" s="395"/>
      <c r="E100" s="249"/>
      <c r="F100" s="396"/>
      <c r="G100" s="396"/>
      <c r="H100" s="396"/>
      <c r="I100" s="396"/>
      <c r="J100" s="397"/>
      <c r="K100" s="397"/>
      <c r="L100" s="397"/>
      <c r="M100" s="397"/>
      <c r="N100" s="397"/>
      <c r="O100" s="397"/>
      <c r="P100" s="397"/>
      <c r="Q100" s="397"/>
      <c r="R100" s="397"/>
      <c r="S100" s="397"/>
      <c r="T100" s="397"/>
      <c r="U100" s="397"/>
      <c r="V100" s="398"/>
      <c r="W100" s="398"/>
      <c r="X100" s="397"/>
    </row>
    <row r="101" spans="1:24" x14ac:dyDescent="0.3">
      <c r="A101" s="393"/>
      <c r="B101" s="394"/>
      <c r="C101" s="320"/>
      <c r="D101" s="395"/>
      <c r="E101" s="249"/>
      <c r="F101" s="396"/>
      <c r="G101" s="396"/>
      <c r="H101" s="396"/>
      <c r="I101" s="396"/>
      <c r="J101" s="397"/>
      <c r="K101" s="397"/>
      <c r="L101" s="397"/>
      <c r="M101" s="397"/>
      <c r="N101" s="397"/>
      <c r="O101" s="397"/>
      <c r="P101" s="397"/>
      <c r="Q101" s="397"/>
      <c r="R101" s="397"/>
      <c r="S101" s="397"/>
      <c r="T101" s="397"/>
      <c r="U101" s="397"/>
      <c r="V101" s="398"/>
      <c r="W101" s="398"/>
      <c r="X101" s="397"/>
    </row>
    <row r="102" spans="1:24" x14ac:dyDescent="0.3">
      <c r="A102" s="393"/>
      <c r="B102" s="394"/>
      <c r="C102" s="320"/>
      <c r="D102" s="395"/>
      <c r="E102" s="249"/>
      <c r="F102" s="396"/>
      <c r="G102" s="396"/>
      <c r="H102" s="396"/>
      <c r="I102" s="396"/>
      <c r="J102" s="397"/>
      <c r="K102" s="397"/>
      <c r="L102" s="397"/>
      <c r="M102" s="397"/>
      <c r="N102" s="397"/>
      <c r="O102" s="397"/>
      <c r="P102" s="397"/>
      <c r="Q102" s="397"/>
      <c r="R102" s="397"/>
      <c r="S102" s="397"/>
      <c r="T102" s="397"/>
      <c r="U102" s="397"/>
      <c r="V102" s="398"/>
      <c r="W102" s="398"/>
      <c r="X102" s="397"/>
    </row>
    <row r="103" spans="1:24" x14ac:dyDescent="0.3">
      <c r="A103" s="393"/>
      <c r="B103" s="394"/>
      <c r="C103" s="320"/>
      <c r="D103" s="395"/>
      <c r="E103" s="249"/>
      <c r="F103" s="396"/>
      <c r="G103" s="396"/>
      <c r="H103" s="396"/>
      <c r="I103" s="396"/>
      <c r="J103" s="397"/>
      <c r="K103" s="397"/>
      <c r="L103" s="397"/>
      <c r="M103" s="397"/>
      <c r="N103" s="397"/>
      <c r="O103" s="397"/>
      <c r="P103" s="397"/>
      <c r="Q103" s="397"/>
      <c r="R103" s="397"/>
      <c r="S103" s="397"/>
      <c r="T103" s="397"/>
      <c r="U103" s="397"/>
      <c r="V103" s="398"/>
      <c r="W103" s="398"/>
      <c r="X103" s="397"/>
    </row>
    <row r="104" spans="1:24" x14ac:dyDescent="0.3">
      <c r="A104" s="393"/>
      <c r="B104" s="394"/>
      <c r="C104" s="320"/>
      <c r="D104" s="395"/>
      <c r="E104" s="249"/>
      <c r="F104" s="396"/>
      <c r="G104" s="396"/>
      <c r="H104" s="396"/>
      <c r="I104" s="396"/>
      <c r="J104" s="397"/>
      <c r="K104" s="397"/>
      <c r="L104" s="397"/>
      <c r="M104" s="397"/>
      <c r="N104" s="397"/>
      <c r="O104" s="397"/>
      <c r="P104" s="397"/>
      <c r="Q104" s="397"/>
      <c r="R104" s="397"/>
      <c r="S104" s="397"/>
      <c r="T104" s="397"/>
      <c r="U104" s="397"/>
      <c r="V104" s="398"/>
      <c r="W104" s="398"/>
      <c r="X104" s="397"/>
    </row>
    <row r="105" spans="1:24" x14ac:dyDescent="0.3">
      <c r="A105" s="393"/>
      <c r="B105" s="394"/>
      <c r="C105" s="320"/>
      <c r="D105" s="395"/>
      <c r="E105" s="249"/>
      <c r="F105" s="396"/>
      <c r="G105" s="396"/>
      <c r="H105" s="396"/>
      <c r="I105" s="396"/>
      <c r="J105" s="397"/>
      <c r="K105" s="397"/>
      <c r="L105" s="397"/>
      <c r="M105" s="397"/>
      <c r="N105" s="397"/>
      <c r="O105" s="397"/>
      <c r="P105" s="397"/>
      <c r="Q105" s="397"/>
      <c r="R105" s="397"/>
      <c r="S105" s="397"/>
      <c r="T105" s="397"/>
      <c r="U105" s="397"/>
      <c r="V105" s="398"/>
      <c r="W105" s="398"/>
      <c r="X105" s="397"/>
    </row>
    <row r="106" spans="1:24" x14ac:dyDescent="0.3">
      <c r="A106" s="393"/>
      <c r="B106" s="394"/>
      <c r="C106" s="320"/>
      <c r="D106" s="395"/>
      <c r="E106" s="249"/>
      <c r="F106" s="396"/>
      <c r="G106" s="396"/>
      <c r="H106" s="396"/>
      <c r="I106" s="396"/>
      <c r="J106" s="397"/>
      <c r="K106" s="397"/>
      <c r="L106" s="397"/>
      <c r="M106" s="397"/>
      <c r="N106" s="397"/>
      <c r="O106" s="397"/>
      <c r="P106" s="397"/>
      <c r="Q106" s="397"/>
      <c r="R106" s="397"/>
      <c r="S106" s="397"/>
      <c r="T106" s="397"/>
      <c r="U106" s="397"/>
      <c r="V106" s="398"/>
      <c r="W106" s="398"/>
      <c r="X106" s="397"/>
    </row>
    <row r="107" spans="1:24" x14ac:dyDescent="0.3">
      <c r="A107" s="393"/>
      <c r="B107" s="394"/>
      <c r="C107" s="320"/>
      <c r="D107" s="395"/>
      <c r="E107" s="249"/>
      <c r="F107" s="396"/>
      <c r="G107" s="396"/>
      <c r="H107" s="396"/>
      <c r="I107" s="396"/>
      <c r="J107" s="397"/>
      <c r="K107" s="397"/>
      <c r="L107" s="397"/>
      <c r="M107" s="397"/>
      <c r="N107" s="397"/>
      <c r="O107" s="397"/>
      <c r="P107" s="397"/>
      <c r="Q107" s="397"/>
      <c r="R107" s="397"/>
      <c r="S107" s="397"/>
      <c r="T107" s="397"/>
      <c r="U107" s="397"/>
      <c r="V107" s="398"/>
      <c r="W107" s="398"/>
      <c r="X107" s="397"/>
    </row>
    <row r="108" spans="1:24" x14ac:dyDescent="0.3">
      <c r="A108" s="393"/>
      <c r="B108" s="394"/>
      <c r="C108" s="320"/>
      <c r="D108" s="395"/>
      <c r="E108" s="249"/>
      <c r="F108" s="396"/>
      <c r="G108" s="396"/>
      <c r="H108" s="396"/>
      <c r="I108" s="396"/>
      <c r="J108" s="397"/>
      <c r="K108" s="397"/>
      <c r="L108" s="397"/>
      <c r="M108" s="397"/>
      <c r="N108" s="397"/>
      <c r="O108" s="397"/>
      <c r="P108" s="397"/>
      <c r="Q108" s="397"/>
      <c r="R108" s="397"/>
      <c r="S108" s="397"/>
      <c r="T108" s="397"/>
      <c r="U108" s="397"/>
      <c r="V108" s="398"/>
      <c r="W108" s="398"/>
      <c r="X108" s="397"/>
    </row>
    <row r="109" spans="1:24" x14ac:dyDescent="0.3">
      <c r="A109" s="393"/>
      <c r="B109" s="394"/>
      <c r="C109" s="320"/>
      <c r="D109" s="395"/>
      <c r="E109" s="249"/>
      <c r="F109" s="396"/>
      <c r="G109" s="396"/>
      <c r="H109" s="396"/>
      <c r="I109" s="396"/>
      <c r="J109" s="397"/>
      <c r="K109" s="397"/>
      <c r="L109" s="397"/>
      <c r="M109" s="397"/>
      <c r="N109" s="397"/>
      <c r="O109" s="397"/>
      <c r="P109" s="397"/>
      <c r="Q109" s="397"/>
      <c r="R109" s="397"/>
      <c r="S109" s="397"/>
      <c r="T109" s="397"/>
      <c r="U109" s="397"/>
      <c r="V109" s="398"/>
      <c r="W109" s="398"/>
      <c r="X109" s="397"/>
    </row>
    <row r="110" spans="1:24" x14ac:dyDescent="0.3">
      <c r="A110" s="393"/>
      <c r="B110" s="394"/>
      <c r="C110" s="320"/>
      <c r="D110" s="395"/>
      <c r="E110" s="249"/>
      <c r="F110" s="396"/>
      <c r="G110" s="396"/>
      <c r="H110" s="396"/>
      <c r="I110" s="396"/>
      <c r="J110" s="397"/>
      <c r="K110" s="397"/>
      <c r="L110" s="397"/>
      <c r="M110" s="397"/>
      <c r="N110" s="397"/>
      <c r="O110" s="397"/>
      <c r="P110" s="397"/>
      <c r="Q110" s="397"/>
      <c r="R110" s="397"/>
      <c r="S110" s="397"/>
      <c r="T110" s="397"/>
      <c r="U110" s="397"/>
      <c r="V110" s="398"/>
      <c r="W110" s="398"/>
      <c r="X110" s="397"/>
    </row>
    <row r="111" spans="1:24" x14ac:dyDescent="0.3">
      <c r="A111" s="393"/>
      <c r="B111" s="394"/>
      <c r="C111" s="320"/>
      <c r="D111" s="395"/>
      <c r="E111" s="249"/>
      <c r="F111" s="396"/>
      <c r="G111" s="396"/>
      <c r="H111" s="396"/>
      <c r="I111" s="396"/>
      <c r="J111" s="397"/>
      <c r="K111" s="397"/>
      <c r="L111" s="397"/>
      <c r="M111" s="397"/>
      <c r="N111" s="397"/>
      <c r="O111" s="397"/>
      <c r="P111" s="397"/>
      <c r="Q111" s="397"/>
      <c r="R111" s="397"/>
      <c r="S111" s="397"/>
      <c r="T111" s="397"/>
      <c r="U111" s="397"/>
      <c r="V111" s="398"/>
      <c r="W111" s="398"/>
      <c r="X111" s="397"/>
    </row>
    <row r="112" spans="1:24" x14ac:dyDescent="0.3">
      <c r="A112" s="393"/>
      <c r="B112" s="394"/>
      <c r="C112" s="320"/>
      <c r="D112" s="395"/>
      <c r="E112" s="249"/>
      <c r="F112" s="396"/>
      <c r="G112" s="396"/>
      <c r="H112" s="396"/>
      <c r="I112" s="396"/>
      <c r="J112" s="397"/>
      <c r="K112" s="397"/>
      <c r="L112" s="397"/>
      <c r="M112" s="397"/>
      <c r="N112" s="397"/>
      <c r="O112" s="397"/>
      <c r="P112" s="397"/>
      <c r="Q112" s="397"/>
      <c r="R112" s="397"/>
      <c r="S112" s="397"/>
      <c r="T112" s="397"/>
      <c r="U112" s="397"/>
      <c r="V112" s="398"/>
      <c r="W112" s="398"/>
      <c r="X112" s="397"/>
    </row>
    <row r="113" spans="1:24" x14ac:dyDescent="0.3">
      <c r="A113" s="393"/>
      <c r="B113" s="394"/>
      <c r="C113" s="320"/>
      <c r="D113" s="395"/>
      <c r="E113" s="249"/>
      <c r="F113" s="396"/>
      <c r="G113" s="396"/>
      <c r="H113" s="396"/>
      <c r="I113" s="396"/>
      <c r="J113" s="397"/>
      <c r="K113" s="397"/>
      <c r="L113" s="397"/>
      <c r="M113" s="397"/>
      <c r="N113" s="397"/>
      <c r="O113" s="397"/>
      <c r="P113" s="397"/>
      <c r="Q113" s="397"/>
      <c r="R113" s="397"/>
      <c r="S113" s="397"/>
      <c r="T113" s="397"/>
      <c r="U113" s="397"/>
      <c r="V113" s="398"/>
      <c r="W113" s="398"/>
      <c r="X113" s="397"/>
    </row>
    <row r="114" spans="1:24" x14ac:dyDescent="0.3">
      <c r="A114" s="393"/>
      <c r="B114" s="394"/>
      <c r="C114" s="320"/>
      <c r="D114" s="395"/>
      <c r="E114" s="249"/>
      <c r="F114" s="396"/>
      <c r="G114" s="396"/>
      <c r="H114" s="396"/>
      <c r="I114" s="396"/>
      <c r="J114" s="397"/>
      <c r="K114" s="397"/>
      <c r="L114" s="397"/>
      <c r="M114" s="397"/>
      <c r="N114" s="397"/>
      <c r="O114" s="397"/>
      <c r="P114" s="397"/>
      <c r="Q114" s="397"/>
      <c r="R114" s="397"/>
      <c r="S114" s="397"/>
      <c r="T114" s="397"/>
      <c r="U114" s="397"/>
      <c r="V114" s="398"/>
      <c r="W114" s="398"/>
      <c r="X114" s="397"/>
    </row>
    <row r="115" spans="1:24" x14ac:dyDescent="0.3">
      <c r="A115" s="393"/>
      <c r="B115" s="394"/>
      <c r="C115" s="320"/>
      <c r="D115" s="395"/>
      <c r="E115" s="249"/>
      <c r="F115" s="396"/>
      <c r="G115" s="396"/>
      <c r="H115" s="396"/>
      <c r="I115" s="396"/>
      <c r="J115" s="397"/>
      <c r="K115" s="397"/>
      <c r="L115" s="397"/>
      <c r="M115" s="397"/>
      <c r="N115" s="397"/>
      <c r="O115" s="397"/>
      <c r="P115" s="397"/>
      <c r="Q115" s="397"/>
      <c r="R115" s="397"/>
      <c r="S115" s="397"/>
      <c r="T115" s="397"/>
      <c r="U115" s="397"/>
      <c r="V115" s="398"/>
      <c r="W115" s="398"/>
      <c r="X115" s="397"/>
    </row>
    <row r="116" spans="1:24" x14ac:dyDescent="0.3">
      <c r="A116" s="393"/>
      <c r="B116" s="394"/>
      <c r="C116" s="320"/>
      <c r="D116" s="395"/>
      <c r="E116" s="249"/>
      <c r="F116" s="396"/>
      <c r="G116" s="396"/>
      <c r="H116" s="396"/>
      <c r="I116" s="396"/>
      <c r="J116" s="397"/>
      <c r="K116" s="397"/>
      <c r="L116" s="397"/>
      <c r="M116" s="397"/>
      <c r="N116" s="397"/>
      <c r="O116" s="397"/>
      <c r="P116" s="397"/>
      <c r="Q116" s="397"/>
      <c r="R116" s="397"/>
      <c r="S116" s="397"/>
      <c r="T116" s="397"/>
      <c r="U116" s="397"/>
      <c r="V116" s="398"/>
      <c r="W116" s="398"/>
      <c r="X116" s="397"/>
    </row>
    <row r="117" spans="1:24" x14ac:dyDescent="0.3">
      <c r="A117" s="393"/>
      <c r="B117" s="394"/>
      <c r="C117" s="320"/>
      <c r="D117" s="395"/>
      <c r="E117" s="249"/>
      <c r="F117" s="396"/>
      <c r="G117" s="396"/>
      <c r="H117" s="396"/>
      <c r="I117" s="396"/>
      <c r="J117" s="397"/>
      <c r="K117" s="397"/>
      <c r="L117" s="397"/>
      <c r="M117" s="397"/>
      <c r="N117" s="397"/>
      <c r="O117" s="397"/>
      <c r="P117" s="397"/>
      <c r="Q117" s="397"/>
      <c r="R117" s="397"/>
      <c r="S117" s="397"/>
      <c r="T117" s="397"/>
      <c r="U117" s="397"/>
      <c r="V117" s="398"/>
      <c r="W117" s="398"/>
      <c r="X117" s="397"/>
    </row>
    <row r="118" spans="1:24" x14ac:dyDescent="0.3">
      <c r="A118" s="393"/>
      <c r="B118" s="394"/>
      <c r="C118" s="320"/>
      <c r="D118" s="395"/>
      <c r="E118" s="249"/>
      <c r="F118" s="396"/>
      <c r="G118" s="396"/>
      <c r="H118" s="396"/>
      <c r="I118" s="396"/>
      <c r="J118" s="397"/>
      <c r="K118" s="397"/>
      <c r="L118" s="397"/>
      <c r="M118" s="397"/>
      <c r="N118" s="397"/>
      <c r="O118" s="397"/>
      <c r="P118" s="397"/>
      <c r="Q118" s="397"/>
      <c r="R118" s="397"/>
      <c r="S118" s="397"/>
      <c r="T118" s="397"/>
      <c r="U118" s="397"/>
      <c r="V118" s="398"/>
      <c r="W118" s="398"/>
      <c r="X118" s="397"/>
    </row>
    <row r="119" spans="1:24" x14ac:dyDescent="0.3">
      <c r="A119" s="393"/>
      <c r="B119" s="394"/>
      <c r="C119" s="320"/>
      <c r="D119" s="395"/>
      <c r="E119" s="249"/>
      <c r="F119" s="396"/>
      <c r="G119" s="396"/>
      <c r="H119" s="396"/>
      <c r="I119" s="396"/>
      <c r="J119" s="397"/>
      <c r="K119" s="397"/>
      <c r="L119" s="397"/>
      <c r="M119" s="397"/>
      <c r="N119" s="397"/>
      <c r="O119" s="397"/>
      <c r="P119" s="397"/>
      <c r="Q119" s="397"/>
      <c r="R119" s="397"/>
      <c r="S119" s="397"/>
      <c r="T119" s="397"/>
      <c r="U119" s="397"/>
      <c r="V119" s="398"/>
      <c r="W119" s="398"/>
      <c r="X119" s="397"/>
    </row>
    <row r="120" spans="1:24" x14ac:dyDescent="0.3">
      <c r="A120" s="393"/>
      <c r="B120" s="394"/>
      <c r="C120" s="320"/>
      <c r="D120" s="395"/>
      <c r="E120" s="249"/>
      <c r="F120" s="396"/>
      <c r="G120" s="396"/>
      <c r="H120" s="396"/>
      <c r="I120" s="396"/>
      <c r="J120" s="397"/>
      <c r="K120" s="397"/>
      <c r="L120" s="397"/>
      <c r="M120" s="397"/>
      <c r="N120" s="397"/>
      <c r="O120" s="397"/>
      <c r="P120" s="397"/>
      <c r="Q120" s="397"/>
      <c r="R120" s="397"/>
      <c r="S120" s="397"/>
      <c r="T120" s="397"/>
      <c r="U120" s="397"/>
      <c r="V120" s="398"/>
      <c r="W120" s="398"/>
      <c r="X120" s="397"/>
    </row>
    <row r="121" spans="1:24" x14ac:dyDescent="0.3">
      <c r="A121" s="393"/>
      <c r="B121" s="394"/>
      <c r="C121" s="320"/>
      <c r="D121" s="395"/>
      <c r="E121" s="249"/>
      <c r="F121" s="396"/>
      <c r="G121" s="396"/>
      <c r="H121" s="396"/>
      <c r="I121" s="396"/>
      <c r="J121" s="397"/>
      <c r="K121" s="397"/>
      <c r="L121" s="397"/>
      <c r="M121" s="397"/>
      <c r="N121" s="397"/>
      <c r="O121" s="397"/>
      <c r="P121" s="397"/>
      <c r="Q121" s="397"/>
      <c r="R121" s="397"/>
      <c r="S121" s="397"/>
      <c r="T121" s="397"/>
      <c r="U121" s="397"/>
      <c r="V121" s="398"/>
      <c r="W121" s="398"/>
      <c r="X121" s="397"/>
    </row>
    <row r="122" spans="1:24" x14ac:dyDescent="0.3">
      <c r="A122" s="393"/>
      <c r="B122" s="394"/>
      <c r="C122" s="320"/>
      <c r="D122" s="395"/>
      <c r="E122" s="249"/>
      <c r="F122" s="396"/>
      <c r="G122" s="396"/>
      <c r="H122" s="396"/>
      <c r="I122" s="396"/>
      <c r="J122" s="397"/>
      <c r="K122" s="397"/>
      <c r="L122" s="397"/>
      <c r="M122" s="397"/>
      <c r="N122" s="397"/>
      <c r="O122" s="397"/>
      <c r="P122" s="397"/>
      <c r="Q122" s="397"/>
      <c r="R122" s="397"/>
      <c r="S122" s="397"/>
      <c r="T122" s="397"/>
      <c r="U122" s="397"/>
      <c r="V122" s="398"/>
      <c r="W122" s="398"/>
      <c r="X122" s="397"/>
    </row>
    <row r="123" spans="1:24" x14ac:dyDescent="0.3">
      <c r="A123" s="393"/>
      <c r="B123" s="394"/>
      <c r="C123" s="320"/>
      <c r="D123" s="395"/>
      <c r="E123" s="249"/>
      <c r="F123" s="396"/>
      <c r="G123" s="396"/>
      <c r="H123" s="396"/>
      <c r="I123" s="396"/>
      <c r="J123" s="397"/>
      <c r="K123" s="397"/>
      <c r="L123" s="397"/>
      <c r="M123" s="397"/>
      <c r="N123" s="397"/>
      <c r="O123" s="397"/>
      <c r="P123" s="397"/>
      <c r="Q123" s="397"/>
      <c r="R123" s="397"/>
      <c r="S123" s="397"/>
      <c r="T123" s="397"/>
      <c r="U123" s="397"/>
      <c r="V123" s="398"/>
      <c r="W123" s="398"/>
      <c r="X123" s="397"/>
    </row>
    <row r="124" spans="1:24" x14ac:dyDescent="0.3">
      <c r="A124" s="393"/>
      <c r="B124" s="394"/>
      <c r="C124" s="320"/>
      <c r="D124" s="395"/>
      <c r="E124" s="249"/>
      <c r="F124" s="396"/>
      <c r="G124" s="396"/>
      <c r="H124" s="396"/>
      <c r="I124" s="396"/>
      <c r="J124" s="397"/>
      <c r="K124" s="397"/>
      <c r="L124" s="397"/>
      <c r="M124" s="397"/>
      <c r="N124" s="397"/>
      <c r="O124" s="397"/>
      <c r="P124" s="397"/>
      <c r="Q124" s="397"/>
      <c r="R124" s="397"/>
      <c r="S124" s="397"/>
      <c r="T124" s="397"/>
      <c r="U124" s="397"/>
      <c r="V124" s="398"/>
      <c r="W124" s="398"/>
      <c r="X124" s="397"/>
    </row>
    <row r="125" spans="1:24" x14ac:dyDescent="0.3">
      <c r="A125" s="393"/>
      <c r="B125" s="394"/>
      <c r="C125" s="320"/>
      <c r="D125" s="395"/>
      <c r="E125" s="249"/>
      <c r="F125" s="396"/>
      <c r="G125" s="396"/>
      <c r="H125" s="396"/>
      <c r="I125" s="396"/>
      <c r="J125" s="397"/>
      <c r="K125" s="397"/>
      <c r="L125" s="397"/>
      <c r="M125" s="397"/>
      <c r="N125" s="397"/>
      <c r="O125" s="397"/>
      <c r="P125" s="397"/>
      <c r="Q125" s="397"/>
      <c r="R125" s="397"/>
      <c r="S125" s="397"/>
      <c r="T125" s="397"/>
      <c r="U125" s="397"/>
      <c r="V125" s="398"/>
      <c r="W125" s="398"/>
      <c r="X125" s="397"/>
    </row>
    <row r="126" spans="1:24" x14ac:dyDescent="0.3">
      <c r="A126" s="393"/>
      <c r="B126" s="394"/>
      <c r="C126" s="320"/>
      <c r="D126" s="395"/>
      <c r="E126" s="249"/>
      <c r="F126" s="396"/>
      <c r="G126" s="396"/>
      <c r="H126" s="396"/>
      <c r="I126" s="396"/>
      <c r="J126" s="397"/>
      <c r="K126" s="397"/>
      <c r="L126" s="397"/>
      <c r="M126" s="397"/>
      <c r="N126" s="397"/>
      <c r="O126" s="397"/>
      <c r="P126" s="397"/>
      <c r="Q126" s="397"/>
      <c r="R126" s="397"/>
      <c r="S126" s="397"/>
      <c r="T126" s="397"/>
      <c r="U126" s="397"/>
      <c r="V126" s="398"/>
      <c r="W126" s="398"/>
      <c r="X126" s="397"/>
    </row>
    <row r="127" spans="1:24" x14ac:dyDescent="0.3">
      <c r="A127" s="393"/>
      <c r="B127" s="394"/>
      <c r="C127" s="320"/>
      <c r="D127" s="395"/>
      <c r="E127" s="249"/>
      <c r="F127" s="396"/>
      <c r="G127" s="396"/>
      <c r="H127" s="396"/>
      <c r="I127" s="396"/>
      <c r="J127" s="397"/>
      <c r="K127" s="397"/>
      <c r="L127" s="397"/>
      <c r="M127" s="397"/>
      <c r="N127" s="397"/>
      <c r="O127" s="397"/>
      <c r="P127" s="397"/>
      <c r="Q127" s="397"/>
      <c r="R127" s="397"/>
      <c r="S127" s="397"/>
      <c r="T127" s="397"/>
      <c r="U127" s="397"/>
      <c r="V127" s="398"/>
      <c r="W127" s="398"/>
      <c r="X127" s="397"/>
    </row>
    <row r="128" spans="1:24" x14ac:dyDescent="0.3">
      <c r="A128" s="393"/>
      <c r="B128" s="394"/>
      <c r="C128" s="320"/>
      <c r="D128" s="395"/>
      <c r="E128" s="249"/>
      <c r="F128" s="396"/>
      <c r="G128" s="396"/>
      <c r="H128" s="396"/>
      <c r="I128" s="396"/>
      <c r="J128" s="397"/>
      <c r="K128" s="397"/>
      <c r="L128" s="397"/>
      <c r="M128" s="397"/>
      <c r="N128" s="397"/>
      <c r="O128" s="397"/>
      <c r="P128" s="397"/>
      <c r="Q128" s="397"/>
      <c r="R128" s="397"/>
      <c r="S128" s="397"/>
      <c r="T128" s="397"/>
      <c r="U128" s="397"/>
      <c r="V128" s="398"/>
      <c r="W128" s="398"/>
      <c r="X128" s="397"/>
    </row>
    <row r="129" spans="1:24" x14ac:dyDescent="0.3">
      <c r="A129" s="393"/>
      <c r="B129" s="394"/>
      <c r="C129" s="320"/>
      <c r="D129" s="395"/>
      <c r="E129" s="249"/>
      <c r="F129" s="396"/>
      <c r="G129" s="396"/>
      <c r="H129" s="396"/>
      <c r="I129" s="396"/>
      <c r="J129" s="397"/>
      <c r="K129" s="397"/>
      <c r="L129" s="397"/>
      <c r="M129" s="397"/>
      <c r="N129" s="397"/>
      <c r="O129" s="397"/>
      <c r="P129" s="397"/>
      <c r="Q129" s="397"/>
      <c r="R129" s="397"/>
      <c r="S129" s="397"/>
      <c r="T129" s="397"/>
      <c r="U129" s="397"/>
      <c r="V129" s="398"/>
      <c r="W129" s="398"/>
      <c r="X129" s="397"/>
    </row>
    <row r="130" spans="1:24" x14ac:dyDescent="0.3">
      <c r="A130" s="393"/>
      <c r="B130" s="394"/>
      <c r="C130" s="320"/>
      <c r="D130" s="395"/>
      <c r="E130" s="249"/>
      <c r="F130" s="396"/>
      <c r="G130" s="396"/>
      <c r="H130" s="396"/>
      <c r="I130" s="396"/>
      <c r="J130" s="397"/>
      <c r="K130" s="397"/>
      <c r="L130" s="397"/>
      <c r="M130" s="397"/>
      <c r="N130" s="397"/>
      <c r="O130" s="397"/>
      <c r="P130" s="397"/>
      <c r="Q130" s="397"/>
      <c r="R130" s="397"/>
      <c r="S130" s="397"/>
      <c r="T130" s="397"/>
      <c r="U130" s="397"/>
      <c r="V130" s="398"/>
      <c r="W130" s="398"/>
      <c r="X130" s="397"/>
    </row>
    <row r="131" spans="1:24" x14ac:dyDescent="0.3">
      <c r="A131" s="393"/>
      <c r="B131" s="394"/>
      <c r="C131" s="320"/>
      <c r="D131" s="395"/>
      <c r="E131" s="249"/>
      <c r="F131" s="396"/>
      <c r="G131" s="396"/>
      <c r="H131" s="396"/>
      <c r="I131" s="396"/>
      <c r="J131" s="397"/>
      <c r="K131" s="397"/>
      <c r="L131" s="397"/>
      <c r="M131" s="397"/>
      <c r="N131" s="397"/>
      <c r="O131" s="397"/>
      <c r="P131" s="397"/>
      <c r="Q131" s="397"/>
      <c r="R131" s="397"/>
      <c r="S131" s="397"/>
      <c r="T131" s="397"/>
      <c r="U131" s="397"/>
      <c r="V131" s="398"/>
      <c r="W131" s="398"/>
      <c r="X131" s="397"/>
    </row>
    <row r="132" spans="1:24" x14ac:dyDescent="0.3">
      <c r="A132" s="393"/>
      <c r="B132" s="394"/>
      <c r="C132" s="320"/>
      <c r="D132" s="395"/>
      <c r="E132" s="249"/>
      <c r="F132" s="396"/>
      <c r="G132" s="396"/>
      <c r="H132" s="396"/>
      <c r="I132" s="396"/>
      <c r="J132" s="397"/>
      <c r="K132" s="397"/>
      <c r="L132" s="397"/>
      <c r="M132" s="397"/>
      <c r="N132" s="397"/>
      <c r="O132" s="397"/>
      <c r="P132" s="397"/>
      <c r="Q132" s="397"/>
      <c r="R132" s="397"/>
      <c r="S132" s="397"/>
      <c r="T132" s="397"/>
      <c r="U132" s="397"/>
      <c r="V132" s="398"/>
      <c r="W132" s="398"/>
      <c r="X132" s="397"/>
    </row>
    <row r="133" spans="1:24" x14ac:dyDescent="0.3">
      <c r="A133" s="393"/>
      <c r="B133" s="394"/>
      <c r="C133" s="320"/>
      <c r="D133" s="395"/>
      <c r="E133" s="249"/>
      <c r="F133" s="396"/>
      <c r="G133" s="396"/>
      <c r="H133" s="396"/>
      <c r="I133" s="396"/>
      <c r="J133" s="397"/>
      <c r="K133" s="397"/>
      <c r="L133" s="397"/>
      <c r="M133" s="397"/>
      <c r="N133" s="397"/>
      <c r="O133" s="397"/>
      <c r="P133" s="397"/>
      <c r="Q133" s="397"/>
      <c r="R133" s="397"/>
      <c r="S133" s="397"/>
      <c r="T133" s="397"/>
      <c r="U133" s="397"/>
      <c r="V133" s="398"/>
      <c r="W133" s="398"/>
      <c r="X133" s="397"/>
    </row>
    <row r="134" spans="1:24" x14ac:dyDescent="0.3">
      <c r="A134" s="393"/>
      <c r="B134" s="394"/>
      <c r="C134" s="320"/>
      <c r="D134" s="395"/>
      <c r="E134" s="249"/>
      <c r="F134" s="396"/>
      <c r="G134" s="396"/>
      <c r="H134" s="396"/>
      <c r="I134" s="396"/>
      <c r="J134" s="397"/>
      <c r="K134" s="397"/>
      <c r="L134" s="397"/>
      <c r="M134" s="397"/>
      <c r="N134" s="397"/>
      <c r="O134" s="397"/>
      <c r="P134" s="397"/>
      <c r="Q134" s="397"/>
      <c r="R134" s="397"/>
      <c r="S134" s="397"/>
      <c r="T134" s="397"/>
      <c r="U134" s="397"/>
      <c r="V134" s="398"/>
      <c r="W134" s="398"/>
      <c r="X134" s="397"/>
    </row>
    <row r="135" spans="1:24" x14ac:dyDescent="0.3">
      <c r="A135" s="393"/>
      <c r="B135" s="394"/>
      <c r="C135" s="320"/>
      <c r="D135" s="395"/>
      <c r="E135" s="249"/>
      <c r="F135" s="396"/>
      <c r="G135" s="396"/>
      <c r="H135" s="396"/>
      <c r="I135" s="396"/>
      <c r="J135" s="397"/>
      <c r="K135" s="397"/>
      <c r="L135" s="397"/>
      <c r="M135" s="397"/>
      <c r="N135" s="397"/>
      <c r="O135" s="397"/>
      <c r="P135" s="397"/>
      <c r="Q135" s="397"/>
      <c r="R135" s="397"/>
      <c r="S135" s="397"/>
      <c r="T135" s="397"/>
      <c r="U135" s="397"/>
      <c r="V135" s="398"/>
      <c r="W135" s="398"/>
      <c r="X135" s="397"/>
    </row>
    <row r="136" spans="1:24" x14ac:dyDescent="0.3">
      <c r="A136" s="393"/>
      <c r="B136" s="394"/>
      <c r="C136" s="320"/>
      <c r="D136" s="395"/>
      <c r="E136" s="249"/>
      <c r="F136" s="396"/>
      <c r="G136" s="396"/>
      <c r="H136" s="396"/>
      <c r="I136" s="396"/>
      <c r="J136" s="397"/>
      <c r="K136" s="397"/>
      <c r="L136" s="397"/>
      <c r="M136" s="397"/>
      <c r="N136" s="397"/>
      <c r="O136" s="397"/>
      <c r="P136" s="397"/>
      <c r="Q136" s="397"/>
      <c r="R136" s="397"/>
      <c r="S136" s="397"/>
      <c r="T136" s="397"/>
      <c r="U136" s="397"/>
      <c r="V136" s="398"/>
      <c r="W136" s="398"/>
      <c r="X136" s="397"/>
    </row>
    <row r="137" spans="1:24" x14ac:dyDescent="0.3">
      <c r="A137" s="393"/>
      <c r="B137" s="394"/>
      <c r="C137" s="320"/>
      <c r="D137" s="395"/>
      <c r="E137" s="249"/>
      <c r="F137" s="396"/>
      <c r="G137" s="396"/>
      <c r="H137" s="396"/>
      <c r="I137" s="396"/>
      <c r="J137" s="397"/>
      <c r="K137" s="397"/>
      <c r="L137" s="397"/>
      <c r="M137" s="397"/>
      <c r="N137" s="397"/>
      <c r="O137" s="397"/>
      <c r="P137" s="397"/>
      <c r="Q137" s="397"/>
      <c r="R137" s="397"/>
      <c r="S137" s="397"/>
      <c r="T137" s="397"/>
      <c r="U137" s="397"/>
      <c r="V137" s="398"/>
      <c r="W137" s="398"/>
      <c r="X137" s="397"/>
    </row>
    <row r="138" spans="1:24" x14ac:dyDescent="0.3">
      <c r="A138" s="393"/>
      <c r="B138" s="394"/>
      <c r="C138" s="320"/>
      <c r="D138" s="395"/>
      <c r="E138" s="249"/>
      <c r="F138" s="396"/>
      <c r="G138" s="396"/>
      <c r="H138" s="396"/>
      <c r="I138" s="396"/>
      <c r="J138" s="397"/>
      <c r="K138" s="397"/>
      <c r="L138" s="397"/>
      <c r="M138" s="397"/>
      <c r="N138" s="397"/>
      <c r="O138" s="397"/>
      <c r="P138" s="397"/>
      <c r="Q138" s="397"/>
      <c r="R138" s="397"/>
      <c r="S138" s="397"/>
      <c r="T138" s="397"/>
      <c r="U138" s="397"/>
      <c r="V138" s="398"/>
      <c r="W138" s="398"/>
      <c r="X138" s="397"/>
    </row>
    <row r="139" spans="1:24" x14ac:dyDescent="0.3">
      <c r="A139" s="393"/>
      <c r="B139" s="394"/>
      <c r="C139" s="320"/>
      <c r="D139" s="395"/>
      <c r="E139" s="249"/>
      <c r="F139" s="396"/>
      <c r="G139" s="396"/>
      <c r="H139" s="396"/>
      <c r="I139" s="396"/>
      <c r="J139" s="397"/>
      <c r="K139" s="397"/>
      <c r="L139" s="397"/>
      <c r="M139" s="397"/>
      <c r="N139" s="397"/>
      <c r="O139" s="397"/>
      <c r="P139" s="397"/>
      <c r="Q139" s="397"/>
      <c r="R139" s="397"/>
      <c r="S139" s="397"/>
      <c r="T139" s="397"/>
      <c r="U139" s="397"/>
      <c r="V139" s="398"/>
      <c r="W139" s="398"/>
      <c r="X139" s="397"/>
    </row>
    <row r="140" spans="1:24" x14ac:dyDescent="0.3">
      <c r="A140" s="393"/>
      <c r="B140" s="394"/>
      <c r="C140" s="320"/>
      <c r="D140" s="395"/>
      <c r="E140" s="249"/>
      <c r="F140" s="396"/>
      <c r="G140" s="396"/>
      <c r="H140" s="396"/>
      <c r="I140" s="396"/>
      <c r="J140" s="397"/>
      <c r="K140" s="397"/>
      <c r="L140" s="397"/>
      <c r="M140" s="397"/>
      <c r="N140" s="397"/>
      <c r="O140" s="397"/>
      <c r="P140" s="397"/>
      <c r="Q140" s="397"/>
      <c r="R140" s="397"/>
      <c r="S140" s="397"/>
      <c r="T140" s="397"/>
      <c r="U140" s="397"/>
      <c r="V140" s="398"/>
      <c r="W140" s="398"/>
      <c r="X140" s="397"/>
    </row>
    <row r="141" spans="1:24" x14ac:dyDescent="0.3">
      <c r="A141" s="393"/>
      <c r="B141" s="394"/>
      <c r="C141" s="320"/>
      <c r="D141" s="395"/>
      <c r="E141" s="249"/>
      <c r="F141" s="396"/>
      <c r="G141" s="396"/>
      <c r="H141" s="396"/>
      <c r="I141" s="396"/>
      <c r="J141" s="397"/>
      <c r="K141" s="397"/>
      <c r="L141" s="397"/>
      <c r="M141" s="397"/>
      <c r="N141" s="397"/>
      <c r="O141" s="397"/>
      <c r="P141" s="397"/>
      <c r="Q141" s="397"/>
      <c r="R141" s="397"/>
      <c r="S141" s="397"/>
      <c r="T141" s="397"/>
      <c r="U141" s="397"/>
      <c r="V141" s="398"/>
      <c r="W141" s="398"/>
      <c r="X141" s="397"/>
    </row>
    <row r="142" spans="1:24" x14ac:dyDescent="0.3">
      <c r="A142" s="393"/>
      <c r="B142" s="394"/>
      <c r="C142" s="320"/>
      <c r="D142" s="395"/>
      <c r="E142" s="249"/>
      <c r="F142" s="396"/>
      <c r="G142" s="396"/>
      <c r="H142" s="396"/>
      <c r="I142" s="396"/>
      <c r="J142" s="397"/>
      <c r="K142" s="397"/>
      <c r="L142" s="397"/>
      <c r="M142" s="397"/>
      <c r="N142" s="397"/>
      <c r="O142" s="397"/>
      <c r="P142" s="397"/>
      <c r="Q142" s="397"/>
      <c r="R142" s="397"/>
      <c r="S142" s="397"/>
      <c r="T142" s="397"/>
      <c r="U142" s="397"/>
      <c r="V142" s="398"/>
      <c r="W142" s="398"/>
      <c r="X142" s="397"/>
    </row>
    <row r="143" spans="1:24" x14ac:dyDescent="0.3">
      <c r="A143" s="393"/>
      <c r="B143" s="394"/>
      <c r="C143" s="320"/>
      <c r="D143" s="395"/>
      <c r="E143" s="249"/>
      <c r="F143" s="396"/>
      <c r="G143" s="396"/>
      <c r="H143" s="396"/>
      <c r="I143" s="396"/>
      <c r="J143" s="397"/>
      <c r="K143" s="397"/>
      <c r="L143" s="397"/>
      <c r="M143" s="397"/>
      <c r="N143" s="397"/>
      <c r="O143" s="397"/>
      <c r="P143" s="397"/>
      <c r="Q143" s="397"/>
      <c r="R143" s="397"/>
      <c r="S143" s="397"/>
      <c r="T143" s="397"/>
      <c r="U143" s="397"/>
      <c r="V143" s="398"/>
      <c r="W143" s="398"/>
      <c r="X143" s="397"/>
    </row>
    <row r="144" spans="1:24" x14ac:dyDescent="0.3">
      <c r="A144" s="393"/>
      <c r="B144" s="394"/>
      <c r="C144" s="320"/>
      <c r="D144" s="395"/>
      <c r="E144" s="249"/>
      <c r="F144" s="396"/>
      <c r="G144" s="396"/>
      <c r="H144" s="396"/>
      <c r="I144" s="396"/>
      <c r="J144" s="397"/>
      <c r="K144" s="397"/>
      <c r="L144" s="397"/>
      <c r="M144" s="397"/>
      <c r="N144" s="397"/>
      <c r="O144" s="397"/>
      <c r="P144" s="397"/>
      <c r="Q144" s="397"/>
      <c r="R144" s="397"/>
      <c r="S144" s="397"/>
      <c r="T144" s="397"/>
      <c r="U144" s="397"/>
      <c r="V144" s="398"/>
      <c r="W144" s="398"/>
      <c r="X144" s="397"/>
    </row>
    <row r="145" spans="1:24" x14ac:dyDescent="0.3">
      <c r="A145" s="393"/>
      <c r="B145" s="394"/>
      <c r="C145" s="320"/>
      <c r="D145" s="395"/>
      <c r="E145" s="249"/>
      <c r="F145" s="396"/>
      <c r="G145" s="396"/>
      <c r="H145" s="396"/>
      <c r="I145" s="396"/>
      <c r="J145" s="397"/>
      <c r="K145" s="397"/>
      <c r="L145" s="397"/>
      <c r="M145" s="397"/>
      <c r="N145" s="397"/>
      <c r="O145" s="397"/>
      <c r="P145" s="397"/>
      <c r="Q145" s="397"/>
      <c r="R145" s="397"/>
      <c r="S145" s="397"/>
      <c r="T145" s="397"/>
      <c r="U145" s="397"/>
      <c r="V145" s="398"/>
      <c r="W145" s="398"/>
      <c r="X145" s="397"/>
    </row>
    <row r="146" spans="1:24" x14ac:dyDescent="0.3">
      <c r="A146" s="393"/>
      <c r="B146" s="394"/>
      <c r="C146" s="320"/>
      <c r="D146" s="395"/>
      <c r="E146" s="249"/>
      <c r="F146" s="396"/>
      <c r="G146" s="396"/>
      <c r="H146" s="396"/>
      <c r="I146" s="396"/>
      <c r="J146" s="397"/>
      <c r="K146" s="397"/>
      <c r="L146" s="397"/>
      <c r="M146" s="397"/>
      <c r="N146" s="397"/>
      <c r="O146" s="397"/>
      <c r="P146" s="397"/>
      <c r="Q146" s="397"/>
      <c r="R146" s="397"/>
      <c r="S146" s="397"/>
      <c r="T146" s="397"/>
      <c r="U146" s="397"/>
      <c r="V146" s="398"/>
      <c r="W146" s="398"/>
      <c r="X146" s="397"/>
    </row>
    <row r="147" spans="1:24" x14ac:dyDescent="0.3">
      <c r="A147" s="393"/>
      <c r="B147" s="394"/>
      <c r="C147" s="320"/>
      <c r="D147" s="395"/>
      <c r="E147" s="249"/>
      <c r="F147" s="396"/>
      <c r="G147" s="396"/>
      <c r="H147" s="396"/>
      <c r="I147" s="396"/>
      <c r="J147" s="397"/>
      <c r="K147" s="397"/>
      <c r="L147" s="397"/>
      <c r="M147" s="397"/>
      <c r="N147" s="397"/>
      <c r="O147" s="397"/>
      <c r="P147" s="397"/>
      <c r="Q147" s="397"/>
      <c r="R147" s="397"/>
      <c r="S147" s="397"/>
      <c r="T147" s="397"/>
      <c r="U147" s="397"/>
      <c r="V147" s="398"/>
      <c r="W147" s="398"/>
      <c r="X147" s="397"/>
    </row>
    <row r="148" spans="1:24" x14ac:dyDescent="0.3">
      <c r="A148" s="393"/>
      <c r="B148" s="394"/>
      <c r="C148" s="320"/>
      <c r="D148" s="395"/>
      <c r="E148" s="249"/>
      <c r="F148" s="396"/>
      <c r="G148" s="396"/>
      <c r="H148" s="396"/>
      <c r="I148" s="396"/>
      <c r="J148" s="397"/>
      <c r="K148" s="397"/>
      <c r="L148" s="397"/>
      <c r="M148" s="397"/>
      <c r="N148" s="397"/>
      <c r="O148" s="397"/>
      <c r="P148" s="397"/>
      <c r="Q148" s="397"/>
      <c r="R148" s="397"/>
      <c r="S148" s="397"/>
      <c r="T148" s="397"/>
      <c r="U148" s="397"/>
      <c r="V148" s="398"/>
      <c r="W148" s="398"/>
      <c r="X148" s="397"/>
    </row>
    <row r="149" spans="1:24" x14ac:dyDescent="0.3">
      <c r="A149" s="393"/>
      <c r="B149" s="394"/>
      <c r="C149" s="320"/>
      <c r="D149" s="395"/>
      <c r="E149" s="249"/>
      <c r="F149" s="396"/>
      <c r="G149" s="396"/>
      <c r="H149" s="396"/>
      <c r="I149" s="396"/>
      <c r="J149" s="397"/>
      <c r="K149" s="397"/>
      <c r="L149" s="397"/>
      <c r="M149" s="397"/>
      <c r="N149" s="397"/>
      <c r="O149" s="397"/>
      <c r="P149" s="397"/>
      <c r="Q149" s="397"/>
      <c r="R149" s="397"/>
      <c r="S149" s="397"/>
      <c r="T149" s="397"/>
      <c r="U149" s="397"/>
      <c r="V149" s="398"/>
      <c r="W149" s="398"/>
      <c r="X149" s="397"/>
    </row>
    <row r="150" spans="1:24" x14ac:dyDescent="0.3">
      <c r="A150" s="393"/>
      <c r="B150" s="394"/>
      <c r="C150" s="320"/>
      <c r="D150" s="395"/>
      <c r="E150" s="249"/>
      <c r="F150" s="396"/>
      <c r="G150" s="396"/>
      <c r="H150" s="396"/>
      <c r="I150" s="396"/>
      <c r="J150" s="397"/>
      <c r="K150" s="397"/>
      <c r="L150" s="397"/>
      <c r="M150" s="397"/>
      <c r="N150" s="397"/>
      <c r="O150" s="397"/>
      <c r="P150" s="397"/>
      <c r="Q150" s="397"/>
      <c r="R150" s="397"/>
      <c r="S150" s="397"/>
      <c r="T150" s="397"/>
      <c r="U150" s="397"/>
      <c r="V150" s="398"/>
      <c r="W150" s="398"/>
      <c r="X150" s="397"/>
    </row>
    <row r="151" spans="1:24" x14ac:dyDescent="0.3">
      <c r="A151" s="393"/>
      <c r="B151" s="394"/>
      <c r="C151" s="320"/>
      <c r="D151" s="395"/>
      <c r="E151" s="249"/>
      <c r="F151" s="396"/>
      <c r="G151" s="396"/>
      <c r="H151" s="396"/>
      <c r="I151" s="396"/>
      <c r="J151" s="397"/>
      <c r="K151" s="397"/>
      <c r="L151" s="397"/>
      <c r="M151" s="397"/>
      <c r="N151" s="397"/>
      <c r="O151" s="397"/>
      <c r="P151" s="397"/>
      <c r="Q151" s="397"/>
      <c r="R151" s="397"/>
      <c r="S151" s="397"/>
      <c r="T151" s="397"/>
      <c r="U151" s="397"/>
      <c r="V151" s="398"/>
      <c r="W151" s="398"/>
      <c r="X151" s="397"/>
    </row>
    <row r="152" spans="1:24" x14ac:dyDescent="0.3">
      <c r="A152" s="393"/>
      <c r="B152" s="394"/>
      <c r="C152" s="320"/>
      <c r="D152" s="395"/>
      <c r="E152" s="249"/>
      <c r="F152" s="396"/>
      <c r="G152" s="396"/>
      <c r="H152" s="396"/>
      <c r="I152" s="396"/>
      <c r="J152" s="397"/>
      <c r="K152" s="397"/>
      <c r="L152" s="397"/>
      <c r="M152" s="397"/>
      <c r="N152" s="397"/>
      <c r="O152" s="397"/>
      <c r="P152" s="397"/>
      <c r="Q152" s="397"/>
      <c r="R152" s="397"/>
      <c r="S152" s="397"/>
      <c r="T152" s="397"/>
      <c r="U152" s="397"/>
      <c r="V152" s="398"/>
      <c r="W152" s="398"/>
      <c r="X152" s="397"/>
    </row>
    <row r="153" spans="1:24" x14ac:dyDescent="0.3">
      <c r="A153" s="393"/>
      <c r="B153" s="394"/>
      <c r="C153" s="320"/>
      <c r="D153" s="395"/>
      <c r="E153" s="249"/>
      <c r="F153" s="396"/>
      <c r="G153" s="396"/>
      <c r="H153" s="396"/>
      <c r="I153" s="396"/>
      <c r="J153" s="397"/>
      <c r="K153" s="397"/>
      <c r="L153" s="397"/>
      <c r="M153" s="397"/>
      <c r="N153" s="397"/>
      <c r="O153" s="397"/>
      <c r="P153" s="397"/>
      <c r="Q153" s="397"/>
      <c r="R153" s="397"/>
      <c r="S153" s="397"/>
      <c r="T153" s="397"/>
      <c r="U153" s="397"/>
      <c r="V153" s="398"/>
      <c r="W153" s="398"/>
      <c r="X153" s="397"/>
    </row>
    <row r="154" spans="1:24" x14ac:dyDescent="0.3">
      <c r="A154" s="393"/>
      <c r="B154" s="394"/>
      <c r="C154" s="320"/>
      <c r="D154" s="395"/>
      <c r="E154" s="249"/>
      <c r="F154" s="396"/>
      <c r="G154" s="396"/>
      <c r="H154" s="396"/>
      <c r="I154" s="396"/>
      <c r="J154" s="397"/>
      <c r="K154" s="397"/>
      <c r="L154" s="397"/>
      <c r="M154" s="397"/>
      <c r="N154" s="397"/>
      <c r="O154" s="397"/>
      <c r="P154" s="397"/>
      <c r="Q154" s="397"/>
      <c r="R154" s="397"/>
      <c r="S154" s="397"/>
      <c r="T154" s="397"/>
      <c r="U154" s="397"/>
      <c r="V154" s="398"/>
      <c r="W154" s="398"/>
      <c r="X154" s="397"/>
    </row>
    <row r="155" spans="1:24" x14ac:dyDescent="0.3">
      <c r="A155" s="393"/>
      <c r="B155" s="394"/>
      <c r="C155" s="320"/>
      <c r="D155" s="395"/>
      <c r="E155" s="249"/>
      <c r="F155" s="396"/>
      <c r="G155" s="396"/>
      <c r="H155" s="396"/>
      <c r="I155" s="396"/>
      <c r="J155" s="397"/>
      <c r="K155" s="397"/>
      <c r="L155" s="397"/>
      <c r="M155" s="397"/>
      <c r="N155" s="397"/>
      <c r="O155" s="397"/>
      <c r="P155" s="397"/>
      <c r="Q155" s="397"/>
      <c r="R155" s="397"/>
      <c r="S155" s="397"/>
      <c r="T155" s="397"/>
      <c r="U155" s="397"/>
      <c r="V155" s="398"/>
      <c r="W155" s="398"/>
      <c r="X155" s="397"/>
    </row>
    <row r="156" spans="1:24" x14ac:dyDescent="0.3">
      <c r="A156" s="393"/>
      <c r="B156" s="394"/>
      <c r="C156" s="320"/>
      <c r="D156" s="395"/>
      <c r="E156" s="249"/>
      <c r="F156" s="396"/>
      <c r="G156" s="396"/>
      <c r="H156" s="396"/>
      <c r="I156" s="396"/>
      <c r="J156" s="397"/>
      <c r="K156" s="397"/>
      <c r="L156" s="397"/>
      <c r="M156" s="397"/>
      <c r="N156" s="397"/>
      <c r="O156" s="397"/>
      <c r="P156" s="397"/>
      <c r="Q156" s="397"/>
      <c r="R156" s="397"/>
      <c r="S156" s="397"/>
      <c r="T156" s="397"/>
      <c r="U156" s="397"/>
      <c r="V156" s="398"/>
      <c r="W156" s="398"/>
      <c r="X156" s="397"/>
    </row>
    <row r="157" spans="1:24" x14ac:dyDescent="0.3">
      <c r="A157" s="393"/>
      <c r="B157" s="394"/>
      <c r="C157" s="320"/>
      <c r="D157" s="395"/>
      <c r="E157" s="249"/>
      <c r="F157" s="396"/>
      <c r="G157" s="396"/>
      <c r="H157" s="396"/>
      <c r="I157" s="396"/>
      <c r="J157" s="397"/>
      <c r="K157" s="397"/>
      <c r="L157" s="397"/>
      <c r="M157" s="397"/>
      <c r="N157" s="397"/>
      <c r="O157" s="397"/>
      <c r="P157" s="397"/>
      <c r="Q157" s="397"/>
      <c r="R157" s="397"/>
      <c r="S157" s="397"/>
      <c r="T157" s="397"/>
      <c r="U157" s="397"/>
      <c r="V157" s="398"/>
      <c r="W157" s="398"/>
      <c r="X157" s="397"/>
    </row>
    <row r="158" spans="1:24" x14ac:dyDescent="0.3">
      <c r="A158" s="393"/>
      <c r="B158" s="394"/>
      <c r="C158" s="320"/>
      <c r="D158" s="395"/>
      <c r="E158" s="249"/>
      <c r="F158" s="396"/>
      <c r="G158" s="396"/>
      <c r="H158" s="396"/>
      <c r="I158" s="396"/>
      <c r="J158" s="397"/>
      <c r="K158" s="397"/>
      <c r="L158" s="397"/>
      <c r="M158" s="397"/>
      <c r="N158" s="397"/>
      <c r="O158" s="397"/>
      <c r="P158" s="397"/>
      <c r="Q158" s="397"/>
      <c r="R158" s="397"/>
      <c r="S158" s="397"/>
      <c r="T158" s="397"/>
      <c r="U158" s="397"/>
      <c r="V158" s="398"/>
      <c r="W158" s="398"/>
      <c r="X158" s="397"/>
    </row>
    <row r="159" spans="1:24" x14ac:dyDescent="0.3">
      <c r="A159" s="393"/>
      <c r="B159" s="394"/>
      <c r="C159" s="320"/>
      <c r="D159" s="395"/>
      <c r="E159" s="249"/>
      <c r="F159" s="396"/>
      <c r="G159" s="396"/>
      <c r="H159" s="396"/>
      <c r="I159" s="396"/>
      <c r="J159" s="397"/>
      <c r="K159" s="397"/>
      <c r="L159" s="397"/>
      <c r="M159" s="397"/>
      <c r="N159" s="397"/>
      <c r="O159" s="397"/>
      <c r="P159" s="397"/>
      <c r="Q159" s="397"/>
      <c r="R159" s="397"/>
      <c r="S159" s="397"/>
      <c r="T159" s="397"/>
      <c r="U159" s="397"/>
      <c r="V159" s="398"/>
      <c r="W159" s="398"/>
      <c r="X159" s="397"/>
    </row>
    <row r="160" spans="1:24" x14ac:dyDescent="0.3">
      <c r="A160" s="393"/>
      <c r="B160" s="394"/>
      <c r="C160" s="320"/>
      <c r="D160" s="395"/>
      <c r="E160" s="249"/>
      <c r="F160" s="396"/>
      <c r="G160" s="396"/>
      <c r="H160" s="396"/>
      <c r="I160" s="396"/>
      <c r="J160" s="397"/>
      <c r="K160" s="397"/>
      <c r="L160" s="397"/>
      <c r="M160" s="397"/>
      <c r="N160" s="397"/>
      <c r="O160" s="397"/>
      <c r="P160" s="397"/>
      <c r="Q160" s="397"/>
      <c r="R160" s="397"/>
      <c r="S160" s="397"/>
      <c r="T160" s="397"/>
      <c r="U160" s="397"/>
      <c r="V160" s="398"/>
      <c r="W160" s="398"/>
      <c r="X160" s="397"/>
    </row>
    <row r="161" spans="1:24" x14ac:dyDescent="0.3">
      <c r="A161" s="393"/>
      <c r="B161" s="394"/>
      <c r="C161" s="320"/>
      <c r="D161" s="395"/>
      <c r="E161" s="249"/>
      <c r="F161" s="396"/>
      <c r="G161" s="396"/>
      <c r="H161" s="396"/>
      <c r="I161" s="396"/>
      <c r="J161" s="397"/>
      <c r="K161" s="397"/>
      <c r="L161" s="397"/>
      <c r="M161" s="397"/>
      <c r="N161" s="397"/>
      <c r="O161" s="397"/>
      <c r="P161" s="397"/>
      <c r="Q161" s="397"/>
      <c r="R161" s="397"/>
      <c r="S161" s="397"/>
      <c r="T161" s="397"/>
      <c r="U161" s="397"/>
      <c r="V161" s="398"/>
      <c r="W161" s="398"/>
      <c r="X161" s="397"/>
    </row>
    <row r="162" spans="1:24" x14ac:dyDescent="0.3">
      <c r="A162" s="393"/>
      <c r="B162" s="394"/>
      <c r="C162" s="320"/>
      <c r="D162" s="395"/>
      <c r="E162" s="249"/>
      <c r="F162" s="396"/>
      <c r="G162" s="396"/>
      <c r="H162" s="396"/>
      <c r="I162" s="396"/>
      <c r="J162" s="397"/>
      <c r="K162" s="397"/>
      <c r="L162" s="397"/>
      <c r="M162" s="397"/>
      <c r="N162" s="397"/>
      <c r="O162" s="397"/>
      <c r="P162" s="397"/>
      <c r="Q162" s="397"/>
      <c r="R162" s="397"/>
      <c r="S162" s="397"/>
      <c r="T162" s="397"/>
      <c r="U162" s="397"/>
      <c r="V162" s="398"/>
      <c r="W162" s="398"/>
      <c r="X162" s="397"/>
    </row>
    <row r="163" spans="1:24" x14ac:dyDescent="0.3">
      <c r="A163" s="393"/>
      <c r="B163" s="394"/>
      <c r="C163" s="320"/>
      <c r="D163" s="395"/>
      <c r="E163" s="249"/>
      <c r="F163" s="396"/>
      <c r="G163" s="396"/>
      <c r="H163" s="396"/>
      <c r="I163" s="396"/>
      <c r="J163" s="397"/>
      <c r="K163" s="397"/>
      <c r="L163" s="397"/>
      <c r="M163" s="397"/>
      <c r="N163" s="397"/>
      <c r="O163" s="397"/>
      <c r="P163" s="397"/>
      <c r="Q163" s="397"/>
      <c r="R163" s="397"/>
      <c r="S163" s="397"/>
      <c r="T163" s="397"/>
      <c r="U163" s="397"/>
      <c r="V163" s="398"/>
      <c r="W163" s="398"/>
      <c r="X163" s="397"/>
    </row>
    <row r="164" spans="1:24" x14ac:dyDescent="0.3">
      <c r="A164" s="393"/>
      <c r="B164" s="394"/>
      <c r="C164" s="320"/>
      <c r="D164" s="395"/>
      <c r="E164" s="249"/>
      <c r="F164" s="396"/>
      <c r="G164" s="396"/>
      <c r="H164" s="396"/>
      <c r="I164" s="396"/>
      <c r="J164" s="397"/>
      <c r="K164" s="397"/>
      <c r="L164" s="397"/>
      <c r="M164" s="397"/>
      <c r="N164" s="397"/>
      <c r="O164" s="397"/>
      <c r="P164" s="397"/>
      <c r="Q164" s="397"/>
      <c r="R164" s="397"/>
      <c r="S164" s="397"/>
      <c r="T164" s="397"/>
      <c r="U164" s="397"/>
      <c r="V164" s="398"/>
      <c r="W164" s="398"/>
      <c r="X164" s="397"/>
    </row>
    <row r="165" spans="1:24" x14ac:dyDescent="0.3">
      <c r="A165" s="393"/>
      <c r="B165" s="394"/>
      <c r="C165" s="320"/>
      <c r="D165" s="395"/>
      <c r="E165" s="249"/>
      <c r="F165" s="396"/>
      <c r="G165" s="396"/>
      <c r="H165" s="396"/>
      <c r="I165" s="396"/>
      <c r="J165" s="397"/>
      <c r="K165" s="397"/>
      <c r="L165" s="397"/>
      <c r="M165" s="397"/>
      <c r="N165" s="397"/>
      <c r="O165" s="397"/>
      <c r="P165" s="397"/>
      <c r="Q165" s="397"/>
      <c r="R165" s="397"/>
      <c r="S165" s="397"/>
      <c r="T165" s="397"/>
      <c r="U165" s="397"/>
      <c r="V165" s="398"/>
      <c r="W165" s="398"/>
      <c r="X165" s="397"/>
    </row>
    <row r="166" spans="1:24" x14ac:dyDescent="0.3">
      <c r="A166" s="393"/>
      <c r="B166" s="394"/>
      <c r="C166" s="320"/>
      <c r="D166" s="395"/>
      <c r="E166" s="249"/>
      <c r="F166" s="396"/>
      <c r="G166" s="396"/>
      <c r="H166" s="396"/>
      <c r="I166" s="396"/>
      <c r="J166" s="397"/>
      <c r="K166" s="397"/>
      <c r="L166" s="397"/>
      <c r="M166" s="397"/>
      <c r="N166" s="397"/>
      <c r="O166" s="397"/>
      <c r="P166" s="397"/>
      <c r="Q166" s="397"/>
      <c r="R166" s="397"/>
      <c r="S166" s="397"/>
      <c r="T166" s="397"/>
      <c r="U166" s="397"/>
      <c r="V166" s="398"/>
      <c r="W166" s="398"/>
      <c r="X166" s="397"/>
    </row>
    <row r="167" spans="1:24" x14ac:dyDescent="0.3">
      <c r="A167" s="393"/>
      <c r="B167" s="394"/>
      <c r="C167" s="320"/>
      <c r="D167" s="395"/>
      <c r="E167" s="249"/>
      <c r="F167" s="396"/>
      <c r="G167" s="396"/>
      <c r="H167" s="396"/>
      <c r="I167" s="396"/>
      <c r="J167" s="397"/>
      <c r="K167" s="397"/>
      <c r="L167" s="397"/>
      <c r="M167" s="397"/>
      <c r="N167" s="397"/>
      <c r="O167" s="397"/>
      <c r="P167" s="397"/>
      <c r="Q167" s="397"/>
      <c r="R167" s="397"/>
      <c r="S167" s="397"/>
      <c r="T167" s="397"/>
      <c r="U167" s="397"/>
      <c r="V167" s="398"/>
      <c r="W167" s="398"/>
      <c r="X167" s="397"/>
    </row>
    <row r="168" spans="1:24" x14ac:dyDescent="0.3">
      <c r="A168" s="393"/>
      <c r="B168" s="394"/>
      <c r="C168" s="320"/>
      <c r="D168" s="395"/>
      <c r="E168" s="249"/>
      <c r="F168" s="396"/>
      <c r="G168" s="396"/>
      <c r="H168" s="396"/>
      <c r="I168" s="396"/>
      <c r="J168" s="397"/>
      <c r="K168" s="397"/>
      <c r="L168" s="397"/>
      <c r="M168" s="397"/>
      <c r="N168" s="397"/>
      <c r="O168" s="397"/>
      <c r="P168" s="397"/>
      <c r="Q168" s="397"/>
      <c r="R168" s="397"/>
      <c r="S168" s="397"/>
      <c r="T168" s="397"/>
      <c r="U168" s="397"/>
      <c r="V168" s="398"/>
      <c r="W168" s="398"/>
      <c r="X168" s="397"/>
    </row>
    <row r="169" spans="1:24" x14ac:dyDescent="0.3">
      <c r="A169" s="393"/>
      <c r="B169" s="394"/>
      <c r="C169" s="320"/>
      <c r="D169" s="395"/>
      <c r="E169" s="249"/>
      <c r="F169" s="396"/>
      <c r="G169" s="396"/>
      <c r="H169" s="396"/>
      <c r="I169" s="396"/>
      <c r="J169" s="397"/>
      <c r="K169" s="397"/>
      <c r="L169" s="397"/>
      <c r="M169" s="397"/>
      <c r="N169" s="397"/>
      <c r="O169" s="397"/>
      <c r="P169" s="397"/>
      <c r="Q169" s="397"/>
      <c r="R169" s="397"/>
      <c r="S169" s="397"/>
      <c r="T169" s="397"/>
      <c r="U169" s="397"/>
      <c r="V169" s="398"/>
      <c r="W169" s="398"/>
      <c r="X169" s="397"/>
    </row>
    <row r="170" spans="1:24" x14ac:dyDescent="0.3">
      <c r="A170" s="393"/>
      <c r="B170" s="394"/>
      <c r="C170" s="320"/>
      <c r="D170" s="395"/>
      <c r="E170" s="249"/>
      <c r="F170" s="396"/>
      <c r="G170" s="396"/>
      <c r="H170" s="396"/>
      <c r="I170" s="396"/>
      <c r="J170" s="397"/>
      <c r="K170" s="397"/>
      <c r="L170" s="397"/>
      <c r="M170" s="397"/>
      <c r="N170" s="397"/>
      <c r="O170" s="397"/>
      <c r="P170" s="397"/>
      <c r="Q170" s="397"/>
      <c r="R170" s="397"/>
      <c r="S170" s="397"/>
      <c r="T170" s="397"/>
      <c r="U170" s="397"/>
      <c r="V170" s="398"/>
      <c r="W170" s="398"/>
      <c r="X170" s="397"/>
    </row>
    <row r="171" spans="1:24" x14ac:dyDescent="0.3">
      <c r="A171" s="393"/>
      <c r="B171" s="394"/>
      <c r="C171" s="320"/>
      <c r="D171" s="395"/>
      <c r="E171" s="249"/>
      <c r="F171" s="396"/>
      <c r="G171" s="396"/>
      <c r="H171" s="396"/>
      <c r="I171" s="396"/>
      <c r="J171" s="397"/>
      <c r="K171" s="397"/>
      <c r="L171" s="397"/>
      <c r="M171" s="397"/>
      <c r="N171" s="397"/>
      <c r="O171" s="397"/>
      <c r="P171" s="397"/>
      <c r="Q171" s="397"/>
      <c r="R171" s="397"/>
      <c r="S171" s="397"/>
      <c r="T171" s="397"/>
      <c r="U171" s="397"/>
      <c r="V171" s="398"/>
      <c r="W171" s="398"/>
      <c r="X171" s="397"/>
    </row>
    <row r="172" spans="1:24" x14ac:dyDescent="0.3">
      <c r="A172" s="393"/>
      <c r="B172" s="394"/>
      <c r="C172" s="320"/>
      <c r="D172" s="395"/>
      <c r="E172" s="249"/>
      <c r="F172" s="396"/>
      <c r="G172" s="396"/>
      <c r="H172" s="396"/>
      <c r="I172" s="396"/>
      <c r="J172" s="397"/>
      <c r="K172" s="397"/>
      <c r="L172" s="397"/>
      <c r="M172" s="397"/>
      <c r="N172" s="397"/>
      <c r="O172" s="397"/>
      <c r="P172" s="397"/>
      <c r="Q172" s="397"/>
      <c r="R172" s="397"/>
      <c r="S172" s="397"/>
      <c r="T172" s="397"/>
      <c r="U172" s="397"/>
      <c r="V172" s="398"/>
      <c r="W172" s="398"/>
      <c r="X172" s="397"/>
    </row>
    <row r="173" spans="1:24" x14ac:dyDescent="0.3">
      <c r="A173" s="393"/>
      <c r="B173" s="394"/>
      <c r="C173" s="320"/>
      <c r="D173" s="395"/>
      <c r="E173" s="249"/>
      <c r="F173" s="396"/>
      <c r="G173" s="396"/>
      <c r="H173" s="396"/>
      <c r="I173" s="396"/>
      <c r="J173" s="397"/>
      <c r="K173" s="397"/>
      <c r="L173" s="397"/>
      <c r="M173" s="397"/>
      <c r="N173" s="397"/>
      <c r="O173" s="397"/>
      <c r="P173" s="397"/>
      <c r="Q173" s="397"/>
      <c r="R173" s="397"/>
      <c r="S173" s="397"/>
      <c r="T173" s="397"/>
      <c r="U173" s="397"/>
      <c r="V173" s="398"/>
      <c r="W173" s="398"/>
      <c r="X173" s="397"/>
    </row>
    <row r="174" spans="1:24" x14ac:dyDescent="0.3">
      <c r="A174" s="393"/>
      <c r="B174" s="394"/>
      <c r="C174" s="320"/>
      <c r="D174" s="395"/>
      <c r="E174" s="249"/>
      <c r="F174" s="396"/>
      <c r="G174" s="396"/>
      <c r="H174" s="396"/>
      <c r="I174" s="396"/>
      <c r="J174" s="397"/>
      <c r="K174" s="397"/>
      <c r="L174" s="397"/>
      <c r="M174" s="397"/>
      <c r="N174" s="397"/>
      <c r="O174" s="397"/>
      <c r="P174" s="397"/>
      <c r="Q174" s="397"/>
      <c r="R174" s="397"/>
      <c r="S174" s="397"/>
      <c r="T174" s="397"/>
      <c r="U174" s="397"/>
      <c r="V174" s="398"/>
      <c r="W174" s="398"/>
      <c r="X174" s="397"/>
    </row>
    <row r="175" spans="1:24" x14ac:dyDescent="0.3">
      <c r="A175" s="393"/>
      <c r="B175" s="394"/>
      <c r="C175" s="320"/>
      <c r="D175" s="395"/>
      <c r="E175" s="249"/>
      <c r="F175" s="396"/>
      <c r="G175" s="396"/>
      <c r="H175" s="396"/>
      <c r="I175" s="396"/>
      <c r="J175" s="397"/>
      <c r="K175" s="397"/>
      <c r="L175" s="397"/>
      <c r="M175" s="397"/>
      <c r="N175" s="397"/>
      <c r="O175" s="397"/>
      <c r="P175" s="397"/>
      <c r="Q175" s="397"/>
      <c r="R175" s="397"/>
      <c r="S175" s="397"/>
      <c r="T175" s="397"/>
      <c r="U175" s="397"/>
      <c r="V175" s="398"/>
      <c r="W175" s="398"/>
      <c r="X175" s="397"/>
    </row>
    <row r="176" spans="1:24" x14ac:dyDescent="0.3">
      <c r="A176" s="393"/>
      <c r="B176" s="394"/>
      <c r="C176" s="320"/>
      <c r="D176" s="395"/>
      <c r="E176" s="249"/>
      <c r="F176" s="396"/>
      <c r="G176" s="396"/>
      <c r="H176" s="396"/>
      <c r="I176" s="396"/>
      <c r="J176" s="397"/>
      <c r="K176" s="397"/>
      <c r="L176" s="397"/>
      <c r="M176" s="397"/>
      <c r="N176" s="397"/>
      <c r="O176" s="397"/>
      <c r="P176" s="397"/>
      <c r="Q176" s="397"/>
      <c r="R176" s="397"/>
      <c r="S176" s="397"/>
      <c r="T176" s="397"/>
      <c r="U176" s="397"/>
      <c r="V176" s="398"/>
      <c r="W176" s="398"/>
      <c r="X176" s="397"/>
    </row>
    <row r="177" spans="1:24" x14ac:dyDescent="0.3">
      <c r="A177" s="393"/>
      <c r="B177" s="394"/>
      <c r="C177" s="320"/>
      <c r="D177" s="395"/>
      <c r="E177" s="249"/>
      <c r="F177" s="396"/>
      <c r="G177" s="396"/>
      <c r="H177" s="396"/>
      <c r="I177" s="396"/>
      <c r="J177" s="397"/>
      <c r="K177" s="397"/>
      <c r="L177" s="397"/>
      <c r="M177" s="397"/>
      <c r="N177" s="397"/>
      <c r="O177" s="397"/>
      <c r="P177" s="397"/>
      <c r="Q177" s="397"/>
      <c r="R177" s="397"/>
      <c r="S177" s="397"/>
      <c r="T177" s="397"/>
      <c r="U177" s="397"/>
      <c r="V177" s="398"/>
      <c r="W177" s="398"/>
      <c r="X177" s="397"/>
    </row>
    <row r="178" spans="1:24" x14ac:dyDescent="0.3">
      <c r="A178" s="393"/>
      <c r="B178" s="394"/>
      <c r="C178" s="320"/>
      <c r="D178" s="395"/>
      <c r="E178" s="249"/>
      <c r="F178" s="396"/>
      <c r="G178" s="396"/>
      <c r="H178" s="396"/>
      <c r="I178" s="396"/>
      <c r="J178" s="397"/>
      <c r="K178" s="397"/>
      <c r="L178" s="397"/>
      <c r="M178" s="397"/>
      <c r="N178" s="397"/>
      <c r="O178" s="397"/>
      <c r="P178" s="397"/>
      <c r="Q178" s="397"/>
      <c r="R178" s="397"/>
      <c r="S178" s="397"/>
      <c r="T178" s="397"/>
      <c r="U178" s="397"/>
      <c r="V178" s="398"/>
      <c r="W178" s="398"/>
      <c r="X178" s="397"/>
    </row>
    <row r="179" spans="1:24" x14ac:dyDescent="0.3">
      <c r="A179" s="393"/>
      <c r="B179" s="394"/>
      <c r="C179" s="320"/>
      <c r="D179" s="395"/>
      <c r="E179" s="249"/>
      <c r="F179" s="396"/>
      <c r="G179" s="396"/>
      <c r="H179" s="396"/>
      <c r="I179" s="396"/>
      <c r="J179" s="397"/>
      <c r="K179" s="397"/>
      <c r="L179" s="397"/>
      <c r="M179" s="397"/>
      <c r="N179" s="397"/>
      <c r="O179" s="397"/>
      <c r="P179" s="397"/>
      <c r="Q179" s="397"/>
      <c r="R179" s="397"/>
      <c r="S179" s="397"/>
      <c r="T179" s="397"/>
      <c r="U179" s="397"/>
      <c r="V179" s="398"/>
      <c r="W179" s="398"/>
      <c r="X179" s="397"/>
    </row>
    <row r="180" spans="1:24" x14ac:dyDescent="0.3">
      <c r="A180" s="393"/>
      <c r="B180" s="394"/>
      <c r="C180" s="320"/>
      <c r="D180" s="395"/>
      <c r="E180" s="249"/>
      <c r="F180" s="396"/>
      <c r="G180" s="396"/>
      <c r="H180" s="396"/>
      <c r="I180" s="396"/>
      <c r="J180" s="397"/>
      <c r="K180" s="397"/>
      <c r="L180" s="397"/>
      <c r="M180" s="397"/>
      <c r="N180" s="397"/>
      <c r="O180" s="397"/>
      <c r="P180" s="397"/>
      <c r="Q180" s="397"/>
      <c r="R180" s="397"/>
      <c r="S180" s="397"/>
      <c r="T180" s="397"/>
      <c r="U180" s="397"/>
      <c r="V180" s="398"/>
      <c r="W180" s="398"/>
      <c r="X180" s="397"/>
    </row>
    <row r="181" spans="1:24" x14ac:dyDescent="0.3">
      <c r="A181" s="393"/>
      <c r="B181" s="394"/>
      <c r="C181" s="320"/>
      <c r="D181" s="395"/>
      <c r="E181" s="249"/>
      <c r="F181" s="396"/>
      <c r="G181" s="396"/>
      <c r="H181" s="396"/>
      <c r="I181" s="396"/>
      <c r="J181" s="397"/>
      <c r="K181" s="397"/>
      <c r="L181" s="397"/>
      <c r="M181" s="397"/>
      <c r="N181" s="397"/>
      <c r="O181" s="397"/>
      <c r="P181" s="397"/>
      <c r="Q181" s="397"/>
      <c r="R181" s="397"/>
      <c r="S181" s="397"/>
      <c r="T181" s="397"/>
      <c r="U181" s="397"/>
      <c r="V181" s="398"/>
      <c r="W181" s="398"/>
      <c r="X181" s="397"/>
    </row>
    <row r="182" spans="1:24" x14ac:dyDescent="0.3">
      <c r="A182" s="393"/>
      <c r="B182" s="394"/>
      <c r="C182" s="320"/>
      <c r="D182" s="395"/>
      <c r="E182" s="249"/>
      <c r="F182" s="396"/>
      <c r="G182" s="396"/>
      <c r="H182" s="396"/>
      <c r="I182" s="396"/>
      <c r="J182" s="397"/>
      <c r="K182" s="397"/>
      <c r="L182" s="397"/>
      <c r="M182" s="397"/>
      <c r="N182" s="397"/>
      <c r="O182" s="397"/>
      <c r="P182" s="397"/>
      <c r="Q182" s="397"/>
      <c r="R182" s="397"/>
      <c r="S182" s="397"/>
      <c r="T182" s="397"/>
      <c r="U182" s="397"/>
      <c r="V182" s="398"/>
      <c r="W182" s="398"/>
      <c r="X182" s="397"/>
    </row>
    <row r="183" spans="1:24" x14ac:dyDescent="0.3">
      <c r="A183" s="393"/>
      <c r="B183" s="394"/>
      <c r="C183" s="320"/>
      <c r="D183" s="395"/>
      <c r="E183" s="249"/>
      <c r="F183" s="396"/>
      <c r="G183" s="396"/>
      <c r="H183" s="396"/>
      <c r="I183" s="396"/>
      <c r="J183" s="397"/>
      <c r="K183" s="397"/>
      <c r="L183" s="397"/>
      <c r="M183" s="397"/>
      <c r="N183" s="397"/>
      <c r="O183" s="397"/>
      <c r="P183" s="397"/>
      <c r="Q183" s="397"/>
      <c r="R183" s="397"/>
      <c r="S183" s="397"/>
      <c r="T183" s="397"/>
      <c r="U183" s="397"/>
      <c r="V183" s="398"/>
      <c r="W183" s="398"/>
      <c r="X183" s="397"/>
    </row>
    <row r="184" spans="1:24" x14ac:dyDescent="0.3">
      <c r="A184" s="393"/>
      <c r="B184" s="394"/>
      <c r="C184" s="320"/>
      <c r="D184" s="395"/>
      <c r="E184" s="249"/>
      <c r="F184" s="396"/>
      <c r="G184" s="396"/>
      <c r="H184" s="396"/>
      <c r="I184" s="396"/>
      <c r="J184" s="397"/>
      <c r="K184" s="397"/>
      <c r="L184" s="397"/>
      <c r="M184" s="397"/>
      <c r="N184" s="397"/>
      <c r="O184" s="397"/>
      <c r="P184" s="397"/>
      <c r="Q184" s="397"/>
      <c r="R184" s="397"/>
      <c r="S184" s="397"/>
      <c r="T184" s="397"/>
      <c r="U184" s="397"/>
      <c r="V184" s="398"/>
      <c r="W184" s="398"/>
      <c r="X184" s="397"/>
    </row>
    <row r="185" spans="1:24" x14ac:dyDescent="0.3">
      <c r="A185" s="393"/>
      <c r="B185" s="394"/>
      <c r="C185" s="320"/>
      <c r="D185" s="395"/>
      <c r="E185" s="249"/>
      <c r="F185" s="396"/>
      <c r="G185" s="396"/>
      <c r="H185" s="396"/>
      <c r="I185" s="396"/>
      <c r="J185" s="397"/>
      <c r="K185" s="397"/>
      <c r="L185" s="397"/>
      <c r="M185" s="397"/>
      <c r="N185" s="397"/>
      <c r="O185" s="397"/>
      <c r="P185" s="397"/>
      <c r="Q185" s="397"/>
      <c r="R185" s="397"/>
      <c r="S185" s="397"/>
      <c r="T185" s="397"/>
      <c r="U185" s="397"/>
      <c r="V185" s="398"/>
      <c r="W185" s="398"/>
      <c r="X185" s="397"/>
    </row>
    <row r="186" spans="1:24" x14ac:dyDescent="0.3">
      <c r="A186" s="393"/>
      <c r="B186" s="394"/>
      <c r="C186" s="320"/>
      <c r="D186" s="395"/>
      <c r="E186" s="249"/>
      <c r="F186" s="396"/>
      <c r="G186" s="396"/>
      <c r="H186" s="396"/>
      <c r="I186" s="396"/>
      <c r="J186" s="397"/>
      <c r="K186" s="397"/>
      <c r="L186" s="397"/>
      <c r="M186" s="397"/>
      <c r="N186" s="397"/>
      <c r="O186" s="397"/>
      <c r="P186" s="397"/>
      <c r="Q186" s="397"/>
      <c r="R186" s="397"/>
      <c r="S186" s="397"/>
      <c r="T186" s="397"/>
      <c r="U186" s="397"/>
      <c r="V186" s="398"/>
      <c r="W186" s="398"/>
      <c r="X186" s="397"/>
    </row>
    <row r="187" spans="1:24" x14ac:dyDescent="0.3">
      <c r="A187" s="393"/>
      <c r="B187" s="394"/>
      <c r="C187" s="320"/>
      <c r="D187" s="395"/>
      <c r="E187" s="249"/>
      <c r="F187" s="396"/>
      <c r="G187" s="396"/>
      <c r="H187" s="396"/>
      <c r="I187" s="396"/>
      <c r="J187" s="397"/>
      <c r="K187" s="397"/>
      <c r="L187" s="397"/>
      <c r="M187" s="397"/>
      <c r="N187" s="397"/>
      <c r="O187" s="397"/>
      <c r="P187" s="397"/>
      <c r="Q187" s="397"/>
      <c r="R187" s="397"/>
      <c r="S187" s="397"/>
      <c r="T187" s="397"/>
      <c r="U187" s="397"/>
      <c r="V187" s="398"/>
      <c r="W187" s="398"/>
      <c r="X187" s="397"/>
    </row>
    <row r="188" spans="1:24" x14ac:dyDescent="0.3">
      <c r="A188" s="393"/>
      <c r="B188" s="394"/>
      <c r="C188" s="320"/>
      <c r="D188" s="395"/>
      <c r="E188" s="249"/>
      <c r="F188" s="396"/>
      <c r="G188" s="396"/>
      <c r="H188" s="396"/>
      <c r="I188" s="396"/>
      <c r="J188" s="397"/>
      <c r="K188" s="397"/>
      <c r="L188" s="397"/>
      <c r="M188" s="397"/>
      <c r="N188" s="397"/>
      <c r="O188" s="397"/>
      <c r="P188" s="397"/>
      <c r="Q188" s="397"/>
      <c r="R188" s="397"/>
      <c r="S188" s="397"/>
      <c r="T188" s="397"/>
      <c r="U188" s="397"/>
      <c r="V188" s="398"/>
      <c r="W188" s="398"/>
      <c r="X188" s="397"/>
    </row>
    <row r="189" spans="1:24" x14ac:dyDescent="0.3">
      <c r="A189" s="393"/>
      <c r="B189" s="394"/>
      <c r="C189" s="320"/>
      <c r="D189" s="395"/>
      <c r="E189" s="249"/>
      <c r="F189" s="396"/>
      <c r="G189" s="396"/>
      <c r="H189" s="396"/>
      <c r="I189" s="396"/>
      <c r="J189" s="397"/>
      <c r="K189" s="397"/>
      <c r="L189" s="397"/>
      <c r="M189" s="397"/>
      <c r="N189" s="397"/>
      <c r="O189" s="397"/>
      <c r="P189" s="397"/>
      <c r="Q189" s="397"/>
      <c r="R189" s="397"/>
      <c r="S189" s="397"/>
      <c r="T189" s="397"/>
      <c r="U189" s="397"/>
      <c r="V189" s="398"/>
      <c r="W189" s="398"/>
      <c r="X189" s="397"/>
    </row>
    <row r="190" spans="1:24" x14ac:dyDescent="0.3">
      <c r="A190" s="393"/>
      <c r="B190" s="394"/>
      <c r="C190" s="320"/>
      <c r="D190" s="395"/>
      <c r="E190" s="249"/>
      <c r="F190" s="396"/>
      <c r="G190" s="396"/>
      <c r="H190" s="396"/>
      <c r="I190" s="396"/>
      <c r="J190" s="397"/>
      <c r="K190" s="397"/>
      <c r="L190" s="397"/>
      <c r="M190" s="397"/>
      <c r="N190" s="397"/>
      <c r="O190" s="397"/>
      <c r="P190" s="397"/>
      <c r="Q190" s="397"/>
      <c r="R190" s="397"/>
      <c r="S190" s="397"/>
      <c r="T190" s="397"/>
      <c r="U190" s="397"/>
      <c r="V190" s="398"/>
      <c r="W190" s="398"/>
      <c r="X190" s="397"/>
    </row>
    <row r="191" spans="1:24" x14ac:dyDescent="0.3">
      <c r="A191" s="393"/>
      <c r="B191" s="394"/>
      <c r="C191" s="320"/>
      <c r="D191" s="395"/>
      <c r="E191" s="249"/>
      <c r="F191" s="396"/>
      <c r="G191" s="396"/>
      <c r="H191" s="396"/>
      <c r="I191" s="396"/>
      <c r="J191" s="397"/>
      <c r="K191" s="397"/>
      <c r="L191" s="397"/>
      <c r="M191" s="397"/>
      <c r="N191" s="397"/>
      <c r="O191" s="397"/>
      <c r="P191" s="397"/>
      <c r="Q191" s="397"/>
      <c r="R191" s="397"/>
      <c r="S191" s="397"/>
      <c r="T191" s="397"/>
      <c r="U191" s="397"/>
      <c r="V191" s="398"/>
      <c r="W191" s="398"/>
      <c r="X191" s="397"/>
    </row>
    <row r="192" spans="1:24" x14ac:dyDescent="0.3">
      <c r="A192" s="393"/>
      <c r="B192" s="394"/>
      <c r="C192" s="320"/>
      <c r="D192" s="395"/>
      <c r="E192" s="249"/>
      <c r="F192" s="396"/>
      <c r="G192" s="396"/>
      <c r="H192" s="396"/>
      <c r="I192" s="396"/>
      <c r="J192" s="397"/>
      <c r="K192" s="397"/>
      <c r="L192" s="397"/>
      <c r="M192" s="397"/>
      <c r="N192" s="397"/>
      <c r="O192" s="397"/>
      <c r="P192" s="397"/>
      <c r="Q192" s="397"/>
      <c r="R192" s="397"/>
      <c r="S192" s="397"/>
      <c r="T192" s="397"/>
      <c r="U192" s="397"/>
      <c r="V192" s="398"/>
      <c r="W192" s="398"/>
      <c r="X192" s="397"/>
    </row>
    <row r="193" spans="1:24" x14ac:dyDescent="0.3">
      <c r="A193" s="393"/>
      <c r="B193" s="394"/>
      <c r="C193" s="320"/>
      <c r="D193" s="395"/>
      <c r="E193" s="249"/>
      <c r="F193" s="396"/>
      <c r="G193" s="396"/>
      <c r="H193" s="396"/>
      <c r="I193" s="396"/>
      <c r="J193" s="397"/>
      <c r="K193" s="397"/>
      <c r="L193" s="397"/>
      <c r="M193" s="397"/>
      <c r="N193" s="397"/>
      <c r="O193" s="397"/>
      <c r="P193" s="397"/>
      <c r="Q193" s="397"/>
      <c r="R193" s="397"/>
      <c r="S193" s="397"/>
      <c r="T193" s="397"/>
      <c r="U193" s="397"/>
      <c r="V193" s="398"/>
      <c r="W193" s="398"/>
      <c r="X193" s="397"/>
    </row>
    <row r="194" spans="1:24" x14ac:dyDescent="0.3">
      <c r="A194" s="393"/>
      <c r="B194" s="394"/>
      <c r="C194" s="320"/>
      <c r="D194" s="395"/>
      <c r="E194" s="249"/>
      <c r="F194" s="396"/>
      <c r="G194" s="396"/>
      <c r="H194" s="396"/>
      <c r="I194" s="396"/>
      <c r="J194" s="397"/>
      <c r="K194" s="397"/>
      <c r="L194" s="397"/>
      <c r="M194" s="397"/>
      <c r="N194" s="397"/>
      <c r="O194" s="397"/>
      <c r="P194" s="397"/>
      <c r="Q194" s="397"/>
      <c r="R194" s="397"/>
      <c r="S194" s="397"/>
      <c r="T194" s="397"/>
      <c r="U194" s="397"/>
      <c r="V194" s="398"/>
      <c r="W194" s="398"/>
      <c r="X194" s="397"/>
    </row>
    <row r="195" spans="1:24" x14ac:dyDescent="0.3">
      <c r="A195" s="393"/>
      <c r="B195" s="394"/>
      <c r="C195" s="320"/>
      <c r="D195" s="395"/>
      <c r="E195" s="249"/>
      <c r="F195" s="396"/>
      <c r="G195" s="396"/>
      <c r="H195" s="396"/>
      <c r="I195" s="396"/>
      <c r="J195" s="397"/>
      <c r="K195" s="397"/>
      <c r="L195" s="397"/>
      <c r="M195" s="397"/>
      <c r="N195" s="397"/>
      <c r="O195" s="397"/>
      <c r="P195" s="397"/>
      <c r="Q195" s="397"/>
      <c r="R195" s="397"/>
      <c r="S195" s="397"/>
      <c r="T195" s="397"/>
      <c r="U195" s="397"/>
      <c r="V195" s="398"/>
      <c r="W195" s="398"/>
      <c r="X195" s="397"/>
    </row>
    <row r="196" spans="1:24" x14ac:dyDescent="0.3">
      <c r="A196" s="393"/>
      <c r="B196" s="394"/>
      <c r="C196" s="320"/>
      <c r="D196" s="395"/>
      <c r="E196" s="249"/>
      <c r="F196" s="396"/>
      <c r="G196" s="396"/>
      <c r="H196" s="396"/>
      <c r="I196" s="396"/>
      <c r="J196" s="397"/>
      <c r="K196" s="397"/>
      <c r="L196" s="397"/>
      <c r="M196" s="397"/>
      <c r="N196" s="397"/>
      <c r="O196" s="397"/>
      <c r="P196" s="397"/>
      <c r="Q196" s="397"/>
      <c r="R196" s="397"/>
      <c r="S196" s="397"/>
      <c r="T196" s="397"/>
      <c r="U196" s="397"/>
      <c r="V196" s="398"/>
      <c r="W196" s="398"/>
      <c r="X196" s="397"/>
    </row>
    <row r="197" spans="1:24" x14ac:dyDescent="0.3">
      <c r="A197" s="393"/>
      <c r="B197" s="394"/>
      <c r="C197" s="320"/>
      <c r="D197" s="395"/>
      <c r="E197" s="249"/>
      <c r="F197" s="396"/>
      <c r="G197" s="396"/>
      <c r="H197" s="396"/>
      <c r="I197" s="396"/>
      <c r="J197" s="397"/>
      <c r="K197" s="397"/>
      <c r="L197" s="397"/>
      <c r="M197" s="397"/>
      <c r="N197" s="397"/>
      <c r="O197" s="397"/>
      <c r="P197" s="397"/>
      <c r="Q197" s="397"/>
      <c r="R197" s="397"/>
      <c r="S197" s="397"/>
      <c r="T197" s="397"/>
      <c r="U197" s="397"/>
      <c r="V197" s="398"/>
      <c r="W197" s="398"/>
      <c r="X197" s="397"/>
    </row>
    <row r="198" spans="1:24" x14ac:dyDescent="0.3">
      <c r="A198" s="393"/>
      <c r="B198" s="394"/>
      <c r="C198" s="320"/>
      <c r="D198" s="395"/>
      <c r="E198" s="249"/>
      <c r="F198" s="396"/>
      <c r="G198" s="396"/>
      <c r="H198" s="396"/>
      <c r="I198" s="396"/>
      <c r="J198" s="397"/>
      <c r="K198" s="397"/>
      <c r="L198" s="397"/>
      <c r="M198" s="397"/>
      <c r="N198" s="397"/>
      <c r="O198" s="397"/>
      <c r="P198" s="397"/>
      <c r="Q198" s="397"/>
      <c r="R198" s="397"/>
      <c r="S198" s="397"/>
      <c r="T198" s="397"/>
      <c r="U198" s="397"/>
      <c r="V198" s="398"/>
      <c r="W198" s="398"/>
      <c r="X198" s="397"/>
    </row>
    <row r="199" spans="1:24" x14ac:dyDescent="0.3">
      <c r="A199" s="393"/>
      <c r="B199" s="394"/>
      <c r="C199" s="320"/>
      <c r="D199" s="395"/>
      <c r="E199" s="249"/>
      <c r="F199" s="396"/>
      <c r="G199" s="396"/>
      <c r="H199" s="396"/>
      <c r="I199" s="396"/>
      <c r="J199" s="397"/>
      <c r="K199" s="397"/>
      <c r="L199" s="397"/>
      <c r="M199" s="397"/>
      <c r="N199" s="397"/>
      <c r="O199" s="397"/>
      <c r="P199" s="397"/>
      <c r="Q199" s="397"/>
      <c r="R199" s="397"/>
      <c r="S199" s="397"/>
      <c r="T199" s="397"/>
      <c r="U199" s="397"/>
      <c r="V199" s="398"/>
      <c r="W199" s="398"/>
      <c r="X199" s="397"/>
    </row>
    <row r="200" spans="1:24" x14ac:dyDescent="0.3">
      <c r="A200" s="393"/>
      <c r="B200" s="394"/>
      <c r="C200" s="320"/>
      <c r="D200" s="395"/>
      <c r="E200" s="249"/>
      <c r="F200" s="396"/>
      <c r="G200" s="396"/>
      <c r="H200" s="396"/>
      <c r="I200" s="396"/>
      <c r="J200" s="397"/>
      <c r="K200" s="397"/>
      <c r="L200" s="397"/>
      <c r="M200" s="397"/>
      <c r="N200" s="397"/>
      <c r="O200" s="397"/>
      <c r="P200" s="397"/>
      <c r="Q200" s="397"/>
      <c r="R200" s="397"/>
      <c r="S200" s="397"/>
      <c r="T200" s="397"/>
      <c r="U200" s="397"/>
      <c r="V200" s="398"/>
      <c r="W200" s="398"/>
      <c r="X200" s="397"/>
    </row>
    <row r="201" spans="1:24" x14ac:dyDescent="0.3">
      <c r="A201" s="393"/>
      <c r="B201" s="394"/>
      <c r="C201" s="320"/>
      <c r="D201" s="395"/>
      <c r="E201" s="249"/>
      <c r="F201" s="396"/>
      <c r="G201" s="396"/>
      <c r="H201" s="396"/>
      <c r="I201" s="396"/>
      <c r="J201" s="397"/>
      <c r="K201" s="397"/>
      <c r="L201" s="397"/>
      <c r="M201" s="397"/>
      <c r="N201" s="397"/>
      <c r="O201" s="397"/>
      <c r="P201" s="397"/>
      <c r="Q201" s="397"/>
      <c r="R201" s="397"/>
      <c r="S201" s="397"/>
      <c r="T201" s="397"/>
      <c r="U201" s="397"/>
      <c r="V201" s="398"/>
      <c r="W201" s="398"/>
      <c r="X201" s="397"/>
    </row>
    <row r="202" spans="1:24" x14ac:dyDescent="0.3">
      <c r="A202" s="393"/>
      <c r="B202" s="394"/>
      <c r="C202" s="320"/>
      <c r="D202" s="395"/>
      <c r="E202" s="249"/>
      <c r="F202" s="396"/>
      <c r="G202" s="396"/>
      <c r="H202" s="396"/>
      <c r="I202" s="396"/>
      <c r="J202" s="397"/>
      <c r="K202" s="397"/>
      <c r="L202" s="397"/>
      <c r="M202" s="397"/>
      <c r="N202" s="397"/>
      <c r="O202" s="397"/>
      <c r="P202" s="397"/>
      <c r="Q202" s="397"/>
      <c r="R202" s="397"/>
      <c r="S202" s="397"/>
      <c r="T202" s="397"/>
      <c r="U202" s="397"/>
      <c r="V202" s="398"/>
      <c r="W202" s="398"/>
      <c r="X202" s="397"/>
    </row>
    <row r="203" spans="1:24" x14ac:dyDescent="0.3">
      <c r="A203" s="393"/>
      <c r="B203" s="394"/>
      <c r="C203" s="320"/>
      <c r="D203" s="395"/>
      <c r="E203" s="249"/>
      <c r="F203" s="396"/>
      <c r="G203" s="396"/>
      <c r="H203" s="396"/>
      <c r="I203" s="396"/>
      <c r="J203" s="397"/>
      <c r="K203" s="397"/>
      <c r="L203" s="397"/>
      <c r="M203" s="397"/>
      <c r="N203" s="397"/>
      <c r="O203" s="397"/>
      <c r="P203" s="397"/>
      <c r="Q203" s="397"/>
      <c r="R203" s="397"/>
      <c r="S203" s="397"/>
      <c r="T203" s="397"/>
      <c r="U203" s="397"/>
      <c r="V203" s="398"/>
      <c r="W203" s="398"/>
      <c r="X203" s="397"/>
    </row>
    <row r="204" spans="1:24" x14ac:dyDescent="0.3">
      <c r="A204" s="393"/>
      <c r="B204" s="394"/>
      <c r="C204" s="320"/>
      <c r="D204" s="395"/>
      <c r="E204" s="249"/>
      <c r="F204" s="396"/>
      <c r="G204" s="396"/>
      <c r="H204" s="396"/>
      <c r="I204" s="396"/>
      <c r="J204" s="397"/>
      <c r="K204" s="397"/>
      <c r="L204" s="397"/>
      <c r="M204" s="397"/>
      <c r="N204" s="397"/>
      <c r="O204" s="397"/>
      <c r="P204" s="397"/>
      <c r="Q204" s="397"/>
      <c r="R204" s="397"/>
      <c r="S204" s="397"/>
      <c r="T204" s="397"/>
      <c r="U204" s="397"/>
      <c r="V204" s="398"/>
      <c r="W204" s="398"/>
      <c r="X204" s="397"/>
    </row>
    <row r="205" spans="1:24" x14ac:dyDescent="0.3">
      <c r="A205" s="393"/>
      <c r="B205" s="394"/>
      <c r="C205" s="320"/>
      <c r="D205" s="395"/>
      <c r="E205" s="249"/>
      <c r="F205" s="396"/>
      <c r="G205" s="396"/>
      <c r="H205" s="396"/>
      <c r="I205" s="396"/>
      <c r="J205" s="397"/>
      <c r="K205" s="397"/>
      <c r="L205" s="397"/>
      <c r="M205" s="397"/>
      <c r="N205" s="397"/>
      <c r="O205" s="397"/>
      <c r="P205" s="397"/>
      <c r="Q205" s="397"/>
      <c r="R205" s="397"/>
      <c r="S205" s="397"/>
      <c r="T205" s="397"/>
      <c r="U205" s="397"/>
      <c r="V205" s="398"/>
      <c r="W205" s="398"/>
      <c r="X205" s="397"/>
    </row>
    <row r="206" spans="1:24" x14ac:dyDescent="0.3">
      <c r="A206" s="393"/>
      <c r="B206" s="394"/>
      <c r="C206" s="320"/>
      <c r="D206" s="395"/>
      <c r="E206" s="249"/>
      <c r="F206" s="396"/>
      <c r="G206" s="396"/>
      <c r="H206" s="396"/>
      <c r="I206" s="396"/>
      <c r="J206" s="397"/>
      <c r="K206" s="397"/>
      <c r="L206" s="397"/>
      <c r="M206" s="397"/>
      <c r="N206" s="397"/>
      <c r="O206" s="397"/>
      <c r="P206" s="397"/>
      <c r="Q206" s="397"/>
      <c r="R206" s="397"/>
      <c r="S206" s="397"/>
      <c r="T206" s="397"/>
      <c r="U206" s="397"/>
      <c r="V206" s="398"/>
      <c r="W206" s="398"/>
      <c r="X206" s="397"/>
    </row>
    <row r="207" spans="1:24" x14ac:dyDescent="0.3">
      <c r="A207" s="393"/>
      <c r="B207" s="394"/>
      <c r="C207" s="320"/>
      <c r="D207" s="395"/>
      <c r="E207" s="249"/>
      <c r="F207" s="396"/>
      <c r="G207" s="396"/>
      <c r="H207" s="396"/>
      <c r="I207" s="396"/>
      <c r="J207" s="397"/>
      <c r="K207" s="397"/>
      <c r="L207" s="397"/>
      <c r="M207" s="397"/>
      <c r="N207" s="397"/>
      <c r="O207" s="397"/>
      <c r="P207" s="397"/>
      <c r="Q207" s="397"/>
      <c r="R207" s="397"/>
      <c r="S207" s="397"/>
      <c r="T207" s="397"/>
      <c r="U207" s="397"/>
      <c r="V207" s="398"/>
      <c r="W207" s="398"/>
      <c r="X207" s="397"/>
    </row>
    <row r="208" spans="1:24" x14ac:dyDescent="0.3">
      <c r="A208" s="393"/>
      <c r="B208" s="394"/>
      <c r="C208" s="320"/>
      <c r="D208" s="395"/>
      <c r="E208" s="249"/>
      <c r="F208" s="396"/>
      <c r="G208" s="396"/>
      <c r="H208" s="396"/>
      <c r="I208" s="396"/>
      <c r="J208" s="397"/>
      <c r="K208" s="397"/>
      <c r="L208" s="397"/>
      <c r="M208" s="397"/>
      <c r="N208" s="397"/>
      <c r="O208" s="397"/>
      <c r="P208" s="397"/>
      <c r="Q208" s="397"/>
      <c r="R208" s="397"/>
      <c r="S208" s="397"/>
      <c r="T208" s="397"/>
      <c r="U208" s="397"/>
      <c r="V208" s="398"/>
      <c r="W208" s="398"/>
      <c r="X208" s="397"/>
    </row>
    <row r="209" spans="1:24" x14ac:dyDescent="0.3">
      <c r="A209" s="393"/>
      <c r="B209" s="394"/>
      <c r="C209" s="320"/>
      <c r="D209" s="395"/>
      <c r="E209" s="249"/>
      <c r="F209" s="396"/>
      <c r="G209" s="396"/>
      <c r="H209" s="396"/>
      <c r="I209" s="396"/>
      <c r="J209" s="397"/>
      <c r="K209" s="397"/>
      <c r="L209" s="397"/>
      <c r="M209" s="397"/>
      <c r="N209" s="397"/>
      <c r="O209" s="397"/>
      <c r="P209" s="397"/>
      <c r="Q209" s="397"/>
      <c r="R209" s="397"/>
      <c r="S209" s="397"/>
      <c r="T209" s="397"/>
      <c r="U209" s="397"/>
      <c r="V209" s="398"/>
      <c r="W209" s="398"/>
      <c r="X209" s="397"/>
    </row>
    <row r="210" spans="1:24" x14ac:dyDescent="0.3">
      <c r="A210" s="393"/>
      <c r="B210" s="394"/>
      <c r="C210" s="320"/>
      <c r="D210" s="395"/>
      <c r="E210" s="249"/>
      <c r="F210" s="396"/>
      <c r="G210" s="396"/>
      <c r="H210" s="396"/>
      <c r="I210" s="396"/>
      <c r="J210" s="397"/>
      <c r="K210" s="397"/>
      <c r="L210" s="397"/>
      <c r="M210" s="397"/>
      <c r="N210" s="397"/>
      <c r="O210" s="397"/>
      <c r="P210" s="397"/>
      <c r="Q210" s="397"/>
      <c r="R210" s="397"/>
      <c r="S210" s="397"/>
      <c r="T210" s="397"/>
      <c r="U210" s="397"/>
      <c r="V210" s="398"/>
      <c r="W210" s="398"/>
      <c r="X210" s="397"/>
    </row>
    <row r="211" spans="1:24" x14ac:dyDescent="0.3">
      <c r="A211" s="393"/>
      <c r="B211" s="394"/>
      <c r="C211" s="320"/>
      <c r="D211" s="395"/>
      <c r="E211" s="249"/>
      <c r="F211" s="396"/>
      <c r="G211" s="396"/>
      <c r="H211" s="396"/>
      <c r="I211" s="396"/>
      <c r="J211" s="397"/>
      <c r="K211" s="397"/>
      <c r="L211" s="397"/>
      <c r="M211" s="397"/>
      <c r="N211" s="397"/>
      <c r="O211" s="397"/>
      <c r="P211" s="397"/>
      <c r="Q211" s="397"/>
      <c r="R211" s="397"/>
      <c r="S211" s="397"/>
      <c r="T211" s="397"/>
      <c r="U211" s="397"/>
      <c r="V211" s="398"/>
      <c r="W211" s="398"/>
      <c r="X211" s="397"/>
    </row>
    <row r="212" spans="1:24" x14ac:dyDescent="0.3">
      <c r="A212" s="393"/>
      <c r="B212" s="394"/>
      <c r="C212" s="320"/>
      <c r="D212" s="395"/>
      <c r="E212" s="249"/>
      <c r="F212" s="396"/>
      <c r="G212" s="396"/>
      <c r="H212" s="396"/>
      <c r="I212" s="396"/>
      <c r="J212" s="397"/>
      <c r="K212" s="397"/>
      <c r="L212" s="397"/>
      <c r="M212" s="397"/>
      <c r="N212" s="397"/>
      <c r="O212" s="397"/>
      <c r="P212" s="397"/>
      <c r="Q212" s="397"/>
      <c r="R212" s="397"/>
      <c r="S212" s="397"/>
      <c r="T212" s="397"/>
      <c r="U212" s="397"/>
      <c r="V212" s="398"/>
      <c r="W212" s="398"/>
      <c r="X212" s="397"/>
    </row>
    <row r="213" spans="1:24" x14ac:dyDescent="0.3">
      <c r="A213" s="393"/>
      <c r="B213" s="394"/>
      <c r="C213" s="320"/>
      <c r="D213" s="395"/>
      <c r="E213" s="249"/>
      <c r="F213" s="396"/>
      <c r="G213" s="396"/>
      <c r="H213" s="396"/>
      <c r="I213" s="396"/>
      <c r="J213" s="397"/>
      <c r="K213" s="397"/>
      <c r="L213" s="397"/>
      <c r="M213" s="397"/>
      <c r="N213" s="397"/>
      <c r="O213" s="397"/>
      <c r="P213" s="397"/>
      <c r="Q213" s="397"/>
      <c r="R213" s="397"/>
      <c r="S213" s="397"/>
      <c r="T213" s="397"/>
      <c r="U213" s="397"/>
      <c r="V213" s="398"/>
      <c r="W213" s="398"/>
      <c r="X213" s="397"/>
    </row>
    <row r="214" spans="1:24" x14ac:dyDescent="0.3">
      <c r="A214" s="393"/>
      <c r="B214" s="394"/>
      <c r="C214" s="320"/>
      <c r="D214" s="395"/>
      <c r="E214" s="249"/>
      <c r="F214" s="396"/>
      <c r="G214" s="396"/>
      <c r="H214" s="396"/>
      <c r="I214" s="396"/>
      <c r="J214" s="397"/>
      <c r="K214" s="397"/>
      <c r="L214" s="397"/>
      <c r="M214" s="397"/>
      <c r="N214" s="397"/>
      <c r="O214" s="397"/>
      <c r="P214" s="397"/>
      <c r="Q214" s="397"/>
      <c r="R214" s="397"/>
      <c r="S214" s="397"/>
      <c r="T214" s="397"/>
      <c r="U214" s="397"/>
      <c r="V214" s="398"/>
      <c r="W214" s="398"/>
      <c r="X214" s="397"/>
    </row>
    <row r="215" spans="1:24" x14ac:dyDescent="0.3">
      <c r="A215" s="393"/>
      <c r="B215" s="394"/>
      <c r="C215" s="320"/>
      <c r="D215" s="395"/>
      <c r="E215" s="249"/>
      <c r="F215" s="396"/>
      <c r="G215" s="396"/>
      <c r="H215" s="396"/>
      <c r="I215" s="396"/>
      <c r="J215" s="397"/>
      <c r="K215" s="397"/>
      <c r="L215" s="397"/>
      <c r="M215" s="397"/>
      <c r="N215" s="397"/>
      <c r="O215" s="397"/>
      <c r="P215" s="397"/>
      <c r="Q215" s="397"/>
      <c r="R215" s="397"/>
      <c r="S215" s="397"/>
      <c r="T215" s="397"/>
      <c r="U215" s="397"/>
      <c r="V215" s="398"/>
      <c r="W215" s="398"/>
      <c r="X215" s="397"/>
    </row>
    <row r="216" spans="1:24" x14ac:dyDescent="0.3">
      <c r="A216" s="393"/>
      <c r="B216" s="394"/>
      <c r="C216" s="320"/>
      <c r="D216" s="395"/>
      <c r="E216" s="249"/>
      <c r="F216" s="396"/>
      <c r="G216" s="396"/>
      <c r="H216" s="396"/>
      <c r="I216" s="396"/>
      <c r="J216" s="397"/>
      <c r="K216" s="397"/>
      <c r="L216" s="397"/>
      <c r="M216" s="397"/>
      <c r="N216" s="397"/>
      <c r="O216" s="397"/>
      <c r="P216" s="397"/>
      <c r="Q216" s="397"/>
      <c r="R216" s="397"/>
      <c r="S216" s="397"/>
      <c r="T216" s="397"/>
      <c r="U216" s="397"/>
      <c r="V216" s="398"/>
      <c r="W216" s="398"/>
      <c r="X216" s="397"/>
    </row>
    <row r="217" spans="1:24" x14ac:dyDescent="0.3">
      <c r="A217" s="393"/>
      <c r="B217" s="394"/>
      <c r="C217" s="320"/>
      <c r="D217" s="395"/>
      <c r="E217" s="249"/>
      <c r="F217" s="396"/>
      <c r="G217" s="396"/>
      <c r="H217" s="396"/>
      <c r="I217" s="396"/>
      <c r="J217" s="397"/>
      <c r="K217" s="397"/>
      <c r="L217" s="397"/>
      <c r="M217" s="397"/>
      <c r="N217" s="397"/>
      <c r="O217" s="397"/>
      <c r="P217" s="397"/>
      <c r="Q217" s="397"/>
      <c r="R217" s="397"/>
      <c r="S217" s="397"/>
      <c r="T217" s="397"/>
      <c r="U217" s="397"/>
      <c r="V217" s="398"/>
      <c r="W217" s="398"/>
      <c r="X217" s="397"/>
    </row>
    <row r="218" spans="1:24" x14ac:dyDescent="0.3">
      <c r="A218" s="393"/>
      <c r="B218" s="394"/>
      <c r="C218" s="320"/>
      <c r="D218" s="395"/>
      <c r="E218" s="249"/>
      <c r="F218" s="396"/>
      <c r="G218" s="396"/>
      <c r="H218" s="396"/>
      <c r="I218" s="396"/>
      <c r="J218" s="397"/>
      <c r="K218" s="397"/>
      <c r="L218" s="397"/>
      <c r="M218" s="397"/>
      <c r="N218" s="397"/>
      <c r="O218" s="397"/>
      <c r="P218" s="397"/>
      <c r="Q218" s="397"/>
      <c r="R218" s="397"/>
      <c r="S218" s="397"/>
      <c r="T218" s="397"/>
      <c r="U218" s="397"/>
      <c r="V218" s="398"/>
      <c r="W218" s="398"/>
      <c r="X218" s="397"/>
    </row>
    <row r="219" spans="1:24" x14ac:dyDescent="0.3">
      <c r="A219" s="393"/>
      <c r="B219" s="394"/>
      <c r="C219" s="320"/>
      <c r="D219" s="395"/>
      <c r="E219" s="249"/>
      <c r="F219" s="396"/>
      <c r="G219" s="396"/>
      <c r="H219" s="396"/>
      <c r="I219" s="396"/>
      <c r="J219" s="397"/>
      <c r="K219" s="397"/>
      <c r="L219" s="397"/>
      <c r="M219" s="397"/>
      <c r="N219" s="397"/>
      <c r="O219" s="397"/>
      <c r="P219" s="397"/>
      <c r="Q219" s="397"/>
      <c r="R219" s="397"/>
      <c r="S219" s="397"/>
      <c r="T219" s="397"/>
      <c r="U219" s="397"/>
      <c r="V219" s="398"/>
      <c r="W219" s="398"/>
      <c r="X219" s="397"/>
    </row>
    <row r="220" spans="1:24" x14ac:dyDescent="0.3">
      <c r="A220" s="393"/>
      <c r="B220" s="394"/>
      <c r="C220" s="320"/>
      <c r="D220" s="395"/>
      <c r="E220" s="249"/>
      <c r="F220" s="396"/>
      <c r="G220" s="396"/>
      <c r="H220" s="396"/>
      <c r="I220" s="396"/>
      <c r="J220" s="397"/>
      <c r="K220" s="397"/>
      <c r="L220" s="397"/>
      <c r="M220" s="397"/>
      <c r="N220" s="397"/>
      <c r="O220" s="397"/>
      <c r="P220" s="397"/>
      <c r="Q220" s="397"/>
      <c r="R220" s="397"/>
      <c r="S220" s="397"/>
      <c r="T220" s="397"/>
      <c r="U220" s="397"/>
      <c r="V220" s="398"/>
      <c r="W220" s="398"/>
      <c r="X220" s="397"/>
    </row>
    <row r="221" spans="1:24" x14ac:dyDescent="0.3">
      <c r="A221" s="393"/>
      <c r="B221" s="394"/>
      <c r="C221" s="320"/>
      <c r="D221" s="395"/>
      <c r="E221" s="249"/>
      <c r="F221" s="396"/>
      <c r="G221" s="396"/>
      <c r="H221" s="396"/>
      <c r="I221" s="396"/>
      <c r="J221" s="397"/>
      <c r="K221" s="397"/>
      <c r="L221" s="397"/>
      <c r="M221" s="397"/>
      <c r="N221" s="397"/>
      <c r="O221" s="397"/>
      <c r="P221" s="397"/>
      <c r="Q221" s="397"/>
      <c r="R221" s="397"/>
      <c r="S221" s="397"/>
      <c r="T221" s="397"/>
      <c r="U221" s="397"/>
      <c r="V221" s="398"/>
      <c r="W221" s="398"/>
      <c r="X221" s="397"/>
    </row>
    <row r="222" spans="1:24" x14ac:dyDescent="0.3">
      <c r="A222" s="393"/>
      <c r="B222" s="394"/>
      <c r="C222" s="320"/>
      <c r="D222" s="395"/>
      <c r="E222" s="249"/>
      <c r="F222" s="396"/>
      <c r="G222" s="396"/>
      <c r="H222" s="396"/>
      <c r="I222" s="396"/>
      <c r="J222" s="397"/>
      <c r="K222" s="397"/>
      <c r="L222" s="397"/>
      <c r="M222" s="397"/>
      <c r="N222" s="397"/>
      <c r="O222" s="397"/>
      <c r="P222" s="397"/>
      <c r="Q222" s="397"/>
      <c r="R222" s="397"/>
      <c r="S222" s="397"/>
      <c r="T222" s="397"/>
      <c r="U222" s="397"/>
      <c r="V222" s="398"/>
      <c r="W222" s="398"/>
      <c r="X222" s="397"/>
    </row>
    <row r="223" spans="1:24" x14ac:dyDescent="0.3">
      <c r="A223" s="393"/>
      <c r="B223" s="394"/>
      <c r="C223" s="320"/>
      <c r="D223" s="395"/>
      <c r="E223" s="249"/>
      <c r="F223" s="396"/>
      <c r="G223" s="396"/>
      <c r="H223" s="396"/>
      <c r="I223" s="396"/>
      <c r="J223" s="397"/>
      <c r="K223" s="397"/>
      <c r="L223" s="397"/>
      <c r="M223" s="397"/>
      <c r="N223" s="397"/>
      <c r="O223" s="397"/>
      <c r="P223" s="397"/>
      <c r="Q223" s="397"/>
      <c r="R223" s="397"/>
      <c r="S223" s="397"/>
      <c r="T223" s="397"/>
      <c r="U223" s="397"/>
      <c r="V223" s="398"/>
      <c r="W223" s="398"/>
      <c r="X223" s="397"/>
    </row>
    <row r="224" spans="1:24" x14ac:dyDescent="0.3">
      <c r="A224" s="393"/>
      <c r="B224" s="394"/>
      <c r="C224" s="320"/>
      <c r="D224" s="395"/>
      <c r="E224" s="249"/>
      <c r="F224" s="396"/>
      <c r="G224" s="396"/>
      <c r="H224" s="396"/>
      <c r="I224" s="396"/>
      <c r="J224" s="397"/>
      <c r="K224" s="397"/>
      <c r="L224" s="397"/>
      <c r="M224" s="397"/>
      <c r="N224" s="397"/>
      <c r="O224" s="397"/>
      <c r="P224" s="397"/>
      <c r="Q224" s="397"/>
      <c r="R224" s="397"/>
      <c r="S224" s="397"/>
      <c r="T224" s="397"/>
      <c r="U224" s="397"/>
      <c r="V224" s="398"/>
      <c r="W224" s="398"/>
      <c r="X224" s="397"/>
    </row>
    <row r="225" spans="1:24" x14ac:dyDescent="0.3">
      <c r="A225" s="393"/>
      <c r="B225" s="394"/>
      <c r="C225" s="320"/>
      <c r="D225" s="395"/>
      <c r="E225" s="249"/>
      <c r="F225" s="396"/>
      <c r="G225" s="396"/>
      <c r="H225" s="396"/>
      <c r="I225" s="396"/>
      <c r="J225" s="397"/>
      <c r="K225" s="397"/>
      <c r="L225" s="397"/>
      <c r="M225" s="397"/>
      <c r="N225" s="397"/>
      <c r="O225" s="397"/>
      <c r="P225" s="397"/>
      <c r="Q225" s="397"/>
      <c r="R225" s="397"/>
      <c r="S225" s="397"/>
      <c r="T225" s="397"/>
      <c r="U225" s="397"/>
      <c r="V225" s="398"/>
      <c r="W225" s="398"/>
      <c r="X225" s="397"/>
    </row>
    <row r="226" spans="1:24" x14ac:dyDescent="0.3">
      <c r="A226" s="393"/>
      <c r="B226" s="394"/>
      <c r="C226" s="320"/>
      <c r="D226" s="395"/>
      <c r="E226" s="249"/>
      <c r="F226" s="396"/>
      <c r="G226" s="396"/>
      <c r="H226" s="396"/>
      <c r="I226" s="396"/>
      <c r="J226" s="397"/>
      <c r="K226" s="397"/>
      <c r="L226" s="397"/>
      <c r="M226" s="397"/>
      <c r="N226" s="397"/>
      <c r="O226" s="397"/>
      <c r="P226" s="397"/>
      <c r="Q226" s="397"/>
      <c r="R226" s="397"/>
      <c r="S226" s="397"/>
      <c r="T226" s="397"/>
      <c r="U226" s="397"/>
      <c r="V226" s="398"/>
      <c r="W226" s="398"/>
      <c r="X226" s="397"/>
    </row>
    <row r="227" spans="1:24" x14ac:dyDescent="0.3">
      <c r="A227" s="393"/>
      <c r="B227" s="394"/>
      <c r="C227" s="320"/>
      <c r="D227" s="395"/>
      <c r="E227" s="249"/>
      <c r="F227" s="396"/>
      <c r="G227" s="396"/>
      <c r="H227" s="396"/>
      <c r="I227" s="396"/>
      <c r="J227" s="397"/>
      <c r="K227" s="397"/>
      <c r="L227" s="397"/>
      <c r="M227" s="397"/>
      <c r="N227" s="397"/>
      <c r="O227" s="397"/>
      <c r="P227" s="397"/>
      <c r="Q227" s="397"/>
      <c r="R227" s="397"/>
      <c r="S227" s="397"/>
      <c r="T227" s="397"/>
      <c r="U227" s="397"/>
      <c r="V227" s="398"/>
      <c r="W227" s="398"/>
      <c r="X227" s="397"/>
    </row>
    <row r="228" spans="1:24" x14ac:dyDescent="0.3">
      <c r="A228" s="393"/>
      <c r="B228" s="394"/>
      <c r="C228" s="320"/>
      <c r="D228" s="395"/>
      <c r="E228" s="249"/>
      <c r="F228" s="396"/>
      <c r="G228" s="396"/>
      <c r="H228" s="396"/>
      <c r="I228" s="396"/>
      <c r="J228" s="397"/>
      <c r="K228" s="397"/>
      <c r="L228" s="397"/>
      <c r="M228" s="397"/>
      <c r="N228" s="397"/>
      <c r="O228" s="397"/>
      <c r="P228" s="397"/>
      <c r="Q228" s="397"/>
      <c r="R228" s="397"/>
      <c r="S228" s="397"/>
      <c r="T228" s="397"/>
      <c r="U228" s="397"/>
      <c r="V228" s="398"/>
      <c r="W228" s="398"/>
      <c r="X228" s="397"/>
    </row>
    <row r="229" spans="1:24" x14ac:dyDescent="0.3">
      <c r="A229" s="393"/>
      <c r="B229" s="394"/>
      <c r="C229" s="320"/>
      <c r="D229" s="395"/>
      <c r="E229" s="249"/>
      <c r="F229" s="396"/>
      <c r="G229" s="396"/>
      <c r="H229" s="396"/>
      <c r="I229" s="396"/>
      <c r="J229" s="397"/>
      <c r="K229" s="397"/>
      <c r="L229" s="397"/>
      <c r="M229" s="397"/>
      <c r="N229" s="397"/>
      <c r="O229" s="397"/>
      <c r="P229" s="397"/>
      <c r="Q229" s="397"/>
      <c r="R229" s="397"/>
      <c r="S229" s="397"/>
      <c r="T229" s="397"/>
      <c r="U229" s="397"/>
      <c r="V229" s="398"/>
      <c r="W229" s="398"/>
      <c r="X229" s="397"/>
    </row>
    <row r="230" spans="1:24" x14ac:dyDescent="0.3">
      <c r="A230" s="393"/>
      <c r="B230" s="394"/>
      <c r="C230" s="320"/>
      <c r="D230" s="395"/>
      <c r="E230" s="249"/>
      <c r="F230" s="396"/>
      <c r="G230" s="396"/>
      <c r="H230" s="396"/>
      <c r="I230" s="396"/>
      <c r="J230" s="397"/>
      <c r="K230" s="397"/>
      <c r="L230" s="397"/>
      <c r="M230" s="397"/>
      <c r="N230" s="397"/>
      <c r="O230" s="397"/>
      <c r="P230" s="397"/>
      <c r="Q230" s="397"/>
      <c r="R230" s="397"/>
      <c r="S230" s="397"/>
      <c r="T230" s="397"/>
      <c r="U230" s="397"/>
      <c r="V230" s="398"/>
      <c r="W230" s="398"/>
      <c r="X230" s="397"/>
    </row>
    <row r="231" spans="1:24" x14ac:dyDescent="0.3">
      <c r="A231" s="393"/>
      <c r="B231" s="394"/>
      <c r="C231" s="320"/>
      <c r="D231" s="395"/>
      <c r="E231" s="249"/>
      <c r="F231" s="396"/>
      <c r="G231" s="396"/>
      <c r="H231" s="396"/>
      <c r="I231" s="396"/>
      <c r="J231" s="397"/>
      <c r="K231" s="397"/>
      <c r="L231" s="397"/>
      <c r="M231" s="397"/>
      <c r="N231" s="397"/>
      <c r="O231" s="397"/>
      <c r="P231" s="397"/>
      <c r="Q231" s="397"/>
      <c r="R231" s="397"/>
      <c r="S231" s="397"/>
      <c r="T231" s="397"/>
      <c r="U231" s="397"/>
      <c r="V231" s="398"/>
      <c r="W231" s="398"/>
      <c r="X231" s="397"/>
    </row>
    <row r="232" spans="1:24" x14ac:dyDescent="0.3">
      <c r="A232" s="393"/>
      <c r="B232" s="394"/>
      <c r="C232" s="320"/>
      <c r="D232" s="395"/>
      <c r="E232" s="249"/>
      <c r="F232" s="396"/>
      <c r="G232" s="396"/>
      <c r="H232" s="396"/>
      <c r="I232" s="396"/>
      <c r="J232" s="397"/>
      <c r="K232" s="397"/>
      <c r="L232" s="397"/>
      <c r="M232" s="397"/>
      <c r="N232" s="397"/>
      <c r="O232" s="397"/>
      <c r="P232" s="397"/>
      <c r="Q232" s="397"/>
      <c r="R232" s="397"/>
      <c r="S232" s="397"/>
      <c r="T232" s="397"/>
      <c r="U232" s="397"/>
      <c r="V232" s="398"/>
      <c r="W232" s="398"/>
      <c r="X232" s="397"/>
    </row>
    <row r="233" spans="1:24" x14ac:dyDescent="0.3">
      <c r="A233" s="393"/>
      <c r="B233" s="394"/>
      <c r="C233" s="320"/>
      <c r="D233" s="395"/>
      <c r="E233" s="249"/>
      <c r="F233" s="396"/>
      <c r="G233" s="396"/>
      <c r="H233" s="396"/>
      <c r="I233" s="396"/>
      <c r="J233" s="397"/>
      <c r="K233" s="397"/>
      <c r="L233" s="397"/>
      <c r="M233" s="397"/>
      <c r="N233" s="397"/>
      <c r="O233" s="397"/>
      <c r="P233" s="397"/>
      <c r="Q233" s="397"/>
      <c r="R233" s="397"/>
      <c r="S233" s="397"/>
      <c r="T233" s="397"/>
      <c r="U233" s="397"/>
      <c r="V233" s="398"/>
      <c r="W233" s="398"/>
      <c r="X233" s="397"/>
    </row>
    <row r="234" spans="1:24" x14ac:dyDescent="0.3">
      <c r="A234" s="393"/>
      <c r="B234" s="394"/>
      <c r="C234" s="320"/>
      <c r="D234" s="395"/>
      <c r="E234" s="249"/>
      <c r="F234" s="396"/>
      <c r="G234" s="396"/>
      <c r="H234" s="396"/>
      <c r="I234" s="396"/>
      <c r="J234" s="397"/>
      <c r="K234" s="397"/>
      <c r="L234" s="397"/>
      <c r="M234" s="397"/>
      <c r="N234" s="397"/>
      <c r="O234" s="397"/>
      <c r="P234" s="397"/>
      <c r="Q234" s="397"/>
      <c r="R234" s="397"/>
      <c r="S234" s="397"/>
      <c r="T234" s="397"/>
      <c r="U234" s="397"/>
      <c r="V234" s="398"/>
      <c r="W234" s="398"/>
      <c r="X234" s="397"/>
    </row>
    <row r="235" spans="1:24" x14ac:dyDescent="0.3">
      <c r="A235" s="393"/>
      <c r="B235" s="394"/>
      <c r="C235" s="320"/>
      <c r="D235" s="395"/>
      <c r="E235" s="249"/>
      <c r="F235" s="396"/>
      <c r="G235" s="396"/>
      <c r="H235" s="396"/>
      <c r="I235" s="396"/>
      <c r="J235" s="397"/>
      <c r="K235" s="397"/>
      <c r="L235" s="397"/>
      <c r="M235" s="397"/>
      <c r="N235" s="397"/>
      <c r="O235" s="397"/>
      <c r="P235" s="397"/>
      <c r="Q235" s="397"/>
      <c r="R235" s="397"/>
      <c r="S235" s="397"/>
      <c r="T235" s="397"/>
      <c r="U235" s="397"/>
      <c r="V235" s="398"/>
      <c r="W235" s="398"/>
      <c r="X235" s="397"/>
    </row>
    <row r="236" spans="1:24" x14ac:dyDescent="0.3">
      <c r="A236" s="393"/>
      <c r="B236" s="394"/>
      <c r="C236" s="320"/>
      <c r="D236" s="395"/>
      <c r="E236" s="249"/>
      <c r="F236" s="396"/>
      <c r="G236" s="396"/>
      <c r="H236" s="396"/>
      <c r="I236" s="396"/>
      <c r="J236" s="397"/>
      <c r="K236" s="397"/>
      <c r="L236" s="397"/>
      <c r="M236" s="397"/>
      <c r="N236" s="397"/>
      <c r="O236" s="397"/>
      <c r="P236" s="397"/>
      <c r="Q236" s="397"/>
      <c r="R236" s="397"/>
      <c r="S236" s="397"/>
      <c r="T236" s="397"/>
      <c r="U236" s="397"/>
      <c r="V236" s="398"/>
      <c r="W236" s="398"/>
      <c r="X236" s="397"/>
    </row>
    <row r="237" spans="1:24" x14ac:dyDescent="0.3">
      <c r="A237" s="393"/>
      <c r="B237" s="394"/>
      <c r="C237" s="320"/>
      <c r="D237" s="395"/>
      <c r="E237" s="249"/>
      <c r="F237" s="396"/>
      <c r="G237" s="396"/>
      <c r="H237" s="396"/>
      <c r="I237" s="396"/>
      <c r="J237" s="397"/>
      <c r="K237" s="397"/>
      <c r="L237" s="397"/>
      <c r="M237" s="397"/>
      <c r="N237" s="397"/>
      <c r="O237" s="397"/>
      <c r="P237" s="397"/>
      <c r="Q237" s="397"/>
      <c r="R237" s="397"/>
      <c r="S237" s="397"/>
      <c r="T237" s="397"/>
      <c r="U237" s="397"/>
      <c r="V237" s="398"/>
      <c r="W237" s="398"/>
      <c r="X237" s="397"/>
    </row>
    <row r="238" spans="1:24" x14ac:dyDescent="0.3">
      <c r="A238" s="393"/>
      <c r="B238" s="394"/>
      <c r="C238" s="320"/>
      <c r="D238" s="395"/>
      <c r="E238" s="249"/>
      <c r="F238" s="396"/>
      <c r="G238" s="396"/>
      <c r="H238" s="396"/>
      <c r="I238" s="396"/>
      <c r="J238" s="397"/>
      <c r="K238" s="397"/>
      <c r="L238" s="397"/>
      <c r="M238" s="397"/>
      <c r="N238" s="397"/>
      <c r="O238" s="397"/>
      <c r="P238" s="397"/>
      <c r="Q238" s="397"/>
      <c r="R238" s="397"/>
      <c r="S238" s="397"/>
      <c r="T238" s="397"/>
      <c r="U238" s="397"/>
      <c r="V238" s="398"/>
      <c r="W238" s="398"/>
      <c r="X238" s="397"/>
    </row>
    <row r="239" spans="1:24" x14ac:dyDescent="0.3">
      <c r="A239" s="393"/>
      <c r="B239" s="394"/>
      <c r="C239" s="320"/>
      <c r="D239" s="395"/>
      <c r="E239" s="249"/>
      <c r="F239" s="396"/>
      <c r="G239" s="396"/>
      <c r="H239" s="396"/>
      <c r="I239" s="396"/>
      <c r="J239" s="397"/>
      <c r="K239" s="397"/>
      <c r="L239" s="397"/>
      <c r="M239" s="397"/>
      <c r="N239" s="397"/>
      <c r="O239" s="397"/>
      <c r="P239" s="397"/>
      <c r="Q239" s="397"/>
      <c r="R239" s="397"/>
      <c r="S239" s="397"/>
      <c r="T239" s="397"/>
      <c r="U239" s="397"/>
      <c r="V239" s="398"/>
      <c r="W239" s="398"/>
      <c r="X239" s="397"/>
    </row>
    <row r="240" spans="1:24" x14ac:dyDescent="0.3">
      <c r="A240" s="393"/>
      <c r="B240" s="394"/>
      <c r="C240" s="320"/>
      <c r="D240" s="395"/>
      <c r="E240" s="249"/>
      <c r="F240" s="396"/>
      <c r="G240" s="396"/>
      <c r="H240" s="396"/>
      <c r="I240" s="396"/>
      <c r="J240" s="397"/>
      <c r="K240" s="397"/>
      <c r="L240" s="397"/>
      <c r="M240" s="397"/>
      <c r="N240" s="397"/>
      <c r="O240" s="397"/>
      <c r="P240" s="397"/>
      <c r="Q240" s="397"/>
      <c r="R240" s="397"/>
      <c r="S240" s="397"/>
      <c r="T240" s="397"/>
      <c r="U240" s="397"/>
      <c r="V240" s="398"/>
      <c r="W240" s="398"/>
      <c r="X240" s="397"/>
    </row>
    <row r="241" spans="1:24" x14ac:dyDescent="0.3">
      <c r="A241" s="393"/>
      <c r="B241" s="394"/>
      <c r="C241" s="320"/>
      <c r="D241" s="395"/>
      <c r="E241" s="249"/>
      <c r="F241" s="396"/>
      <c r="G241" s="396"/>
      <c r="H241" s="396"/>
      <c r="I241" s="396"/>
      <c r="J241" s="397"/>
      <c r="K241" s="397"/>
      <c r="L241" s="397"/>
      <c r="M241" s="397"/>
      <c r="N241" s="397"/>
      <c r="O241" s="397"/>
      <c r="P241" s="397"/>
      <c r="Q241" s="397"/>
      <c r="R241" s="397"/>
      <c r="S241" s="397"/>
      <c r="T241" s="397"/>
      <c r="U241" s="397"/>
      <c r="V241" s="398"/>
      <c r="W241" s="398"/>
      <c r="X241" s="397"/>
    </row>
    <row r="242" spans="1:24" x14ac:dyDescent="0.3">
      <c r="A242" s="393"/>
      <c r="B242" s="394"/>
      <c r="C242" s="320"/>
      <c r="D242" s="395"/>
      <c r="E242" s="249"/>
      <c r="F242" s="396"/>
      <c r="G242" s="396"/>
      <c r="H242" s="396"/>
      <c r="I242" s="396"/>
      <c r="J242" s="397"/>
      <c r="K242" s="397"/>
      <c r="L242" s="397"/>
      <c r="M242" s="397"/>
      <c r="N242" s="397"/>
      <c r="O242" s="397"/>
      <c r="P242" s="397"/>
      <c r="Q242" s="397"/>
      <c r="R242" s="397"/>
      <c r="S242" s="397"/>
      <c r="T242" s="397"/>
      <c r="U242" s="397"/>
      <c r="V242" s="398"/>
      <c r="W242" s="398"/>
      <c r="X242" s="397"/>
    </row>
    <row r="243" spans="1:24" x14ac:dyDescent="0.3">
      <c r="A243" s="393"/>
      <c r="B243" s="394"/>
      <c r="C243" s="320"/>
      <c r="D243" s="395"/>
      <c r="E243" s="249"/>
      <c r="F243" s="396"/>
      <c r="G243" s="396"/>
      <c r="H243" s="396"/>
      <c r="I243" s="396"/>
      <c r="J243" s="397"/>
      <c r="K243" s="397"/>
      <c r="L243" s="397"/>
      <c r="M243" s="397"/>
      <c r="N243" s="397"/>
      <c r="O243" s="397"/>
      <c r="P243" s="397"/>
      <c r="Q243" s="397"/>
      <c r="R243" s="397"/>
      <c r="S243" s="397"/>
      <c r="T243" s="397"/>
      <c r="U243" s="397"/>
      <c r="V243" s="398"/>
      <c r="W243" s="398"/>
      <c r="X243" s="397"/>
    </row>
    <row r="244" spans="1:24" x14ac:dyDescent="0.3">
      <c r="A244" s="393"/>
      <c r="B244" s="394"/>
      <c r="C244" s="320"/>
      <c r="D244" s="395"/>
      <c r="E244" s="249"/>
      <c r="F244" s="396"/>
      <c r="G244" s="396"/>
      <c r="H244" s="396"/>
      <c r="I244" s="396"/>
      <c r="J244" s="397"/>
      <c r="K244" s="397"/>
      <c r="L244" s="397"/>
      <c r="M244" s="397"/>
      <c r="N244" s="397"/>
      <c r="O244" s="397"/>
      <c r="P244" s="397"/>
      <c r="Q244" s="397"/>
      <c r="R244" s="397"/>
      <c r="S244" s="397"/>
      <c r="T244" s="397"/>
      <c r="U244" s="397"/>
      <c r="V244" s="398"/>
      <c r="W244" s="398"/>
      <c r="X244" s="397"/>
    </row>
    <row r="245" spans="1:24" x14ac:dyDescent="0.3">
      <c r="A245" s="393"/>
      <c r="B245" s="394"/>
      <c r="C245" s="320"/>
      <c r="D245" s="395"/>
      <c r="E245" s="249"/>
      <c r="F245" s="396"/>
      <c r="G245" s="396"/>
      <c r="H245" s="396"/>
      <c r="I245" s="396"/>
      <c r="J245" s="397"/>
      <c r="K245" s="397"/>
      <c r="L245" s="397"/>
      <c r="M245" s="397"/>
      <c r="N245" s="397"/>
      <c r="O245" s="397"/>
      <c r="P245" s="397"/>
      <c r="Q245" s="397"/>
      <c r="R245" s="397"/>
      <c r="S245" s="397"/>
      <c r="T245" s="397"/>
      <c r="U245" s="397"/>
      <c r="V245" s="398"/>
      <c r="W245" s="398"/>
      <c r="X245" s="397"/>
    </row>
    <row r="246" spans="1:24" x14ac:dyDescent="0.3">
      <c r="A246" s="393"/>
      <c r="B246" s="394"/>
      <c r="C246" s="320"/>
      <c r="D246" s="395"/>
      <c r="E246" s="249"/>
      <c r="F246" s="396"/>
      <c r="G246" s="396"/>
      <c r="H246" s="396"/>
      <c r="I246" s="396"/>
      <c r="J246" s="397"/>
      <c r="K246" s="397"/>
      <c r="L246" s="397"/>
      <c r="M246" s="397"/>
      <c r="N246" s="397"/>
      <c r="O246" s="397"/>
      <c r="P246" s="397"/>
      <c r="Q246" s="397"/>
      <c r="R246" s="397"/>
      <c r="S246" s="397"/>
      <c r="T246" s="397"/>
      <c r="U246" s="397"/>
      <c r="V246" s="398"/>
      <c r="W246" s="398"/>
      <c r="X246" s="397"/>
    </row>
    <row r="247" spans="1:24" x14ac:dyDescent="0.3">
      <c r="A247" s="393"/>
      <c r="B247" s="394"/>
      <c r="C247" s="320"/>
      <c r="D247" s="395"/>
      <c r="E247" s="249"/>
      <c r="F247" s="396"/>
      <c r="G247" s="396"/>
      <c r="H247" s="396"/>
      <c r="I247" s="396"/>
      <c r="J247" s="397"/>
      <c r="K247" s="397"/>
      <c r="L247" s="397"/>
      <c r="M247" s="397"/>
      <c r="N247" s="397"/>
      <c r="O247" s="397"/>
      <c r="P247" s="397"/>
      <c r="Q247" s="397"/>
      <c r="R247" s="397"/>
      <c r="S247" s="397"/>
      <c r="T247" s="397"/>
      <c r="U247" s="397"/>
      <c r="V247" s="398"/>
      <c r="W247" s="398"/>
      <c r="X247" s="397"/>
    </row>
    <row r="248" spans="1:24" x14ac:dyDescent="0.3">
      <c r="A248" s="393"/>
      <c r="B248" s="394"/>
      <c r="C248" s="320"/>
      <c r="D248" s="395"/>
      <c r="E248" s="249"/>
      <c r="F248" s="396"/>
      <c r="G248" s="396"/>
      <c r="H248" s="396"/>
      <c r="I248" s="396"/>
      <c r="J248" s="397"/>
      <c r="K248" s="397"/>
      <c r="L248" s="397"/>
      <c r="M248" s="397"/>
      <c r="N248" s="397"/>
      <c r="O248" s="397"/>
      <c r="P248" s="397"/>
      <c r="Q248" s="397"/>
      <c r="R248" s="397"/>
      <c r="S248" s="397"/>
      <c r="T248" s="397"/>
      <c r="U248" s="397"/>
      <c r="V248" s="398"/>
      <c r="W248" s="398"/>
      <c r="X248" s="397"/>
    </row>
    <row r="249" spans="1:24" x14ac:dyDescent="0.3">
      <c r="A249" s="393"/>
      <c r="B249" s="394"/>
      <c r="C249" s="320"/>
      <c r="D249" s="395"/>
      <c r="E249" s="249"/>
      <c r="F249" s="396"/>
      <c r="G249" s="396"/>
      <c r="H249" s="396"/>
      <c r="I249" s="396"/>
      <c r="J249" s="397"/>
      <c r="K249" s="397"/>
      <c r="L249" s="397"/>
      <c r="M249" s="397"/>
      <c r="N249" s="397"/>
      <c r="O249" s="397"/>
      <c r="P249" s="397"/>
      <c r="Q249" s="397"/>
      <c r="R249" s="397"/>
      <c r="S249" s="397"/>
      <c r="T249" s="397"/>
      <c r="U249" s="397"/>
      <c r="V249" s="398"/>
      <c r="W249" s="398"/>
      <c r="X249" s="397"/>
    </row>
    <row r="250" spans="1:24" x14ac:dyDescent="0.3">
      <c r="A250" s="393"/>
      <c r="B250" s="394"/>
      <c r="C250" s="320"/>
      <c r="D250" s="395"/>
      <c r="E250" s="249"/>
      <c r="F250" s="396"/>
      <c r="G250" s="396"/>
      <c r="H250" s="396"/>
      <c r="I250" s="396"/>
      <c r="J250" s="397"/>
      <c r="K250" s="397"/>
      <c r="L250" s="397"/>
      <c r="M250" s="397"/>
      <c r="N250" s="397"/>
      <c r="O250" s="397"/>
      <c r="P250" s="397"/>
      <c r="Q250" s="397"/>
      <c r="R250" s="397"/>
      <c r="S250" s="397"/>
      <c r="T250" s="397"/>
      <c r="U250" s="397"/>
      <c r="V250" s="398"/>
      <c r="W250" s="398"/>
      <c r="X250" s="397"/>
    </row>
    <row r="251" spans="1:24" x14ac:dyDescent="0.3">
      <c r="A251" s="393"/>
      <c r="B251" s="394"/>
      <c r="C251" s="320"/>
      <c r="D251" s="395"/>
      <c r="E251" s="249"/>
      <c r="F251" s="396"/>
      <c r="G251" s="396"/>
      <c r="H251" s="396"/>
      <c r="I251" s="396"/>
      <c r="J251" s="397"/>
      <c r="K251" s="397"/>
      <c r="L251" s="397"/>
      <c r="M251" s="397"/>
      <c r="N251" s="397"/>
      <c r="O251" s="397"/>
      <c r="P251" s="397"/>
      <c r="Q251" s="397"/>
      <c r="R251" s="397"/>
      <c r="S251" s="397"/>
      <c r="T251" s="397"/>
      <c r="U251" s="397"/>
      <c r="V251" s="398"/>
      <c r="W251" s="398"/>
      <c r="X251" s="397"/>
    </row>
    <row r="252" spans="1:24" x14ac:dyDescent="0.3">
      <c r="A252" s="393"/>
      <c r="B252" s="394"/>
      <c r="C252" s="320"/>
      <c r="D252" s="395"/>
      <c r="E252" s="249"/>
      <c r="F252" s="396"/>
      <c r="G252" s="396"/>
      <c r="H252" s="396"/>
      <c r="I252" s="396"/>
      <c r="J252" s="397"/>
      <c r="K252" s="397"/>
      <c r="L252" s="397"/>
      <c r="M252" s="397"/>
      <c r="N252" s="397"/>
      <c r="O252" s="397"/>
      <c r="P252" s="397"/>
      <c r="Q252" s="397"/>
      <c r="R252" s="397"/>
      <c r="S252" s="397"/>
      <c r="T252" s="397"/>
      <c r="U252" s="397"/>
      <c r="V252" s="398"/>
      <c r="W252" s="398"/>
      <c r="X252" s="397"/>
    </row>
    <row r="253" spans="1:24" x14ac:dyDescent="0.3">
      <c r="A253" s="393"/>
      <c r="B253" s="394"/>
      <c r="C253" s="320"/>
      <c r="D253" s="395"/>
      <c r="E253" s="249"/>
      <c r="F253" s="396"/>
      <c r="G253" s="396"/>
      <c r="H253" s="396"/>
      <c r="I253" s="396"/>
      <c r="J253" s="397"/>
      <c r="K253" s="397"/>
      <c r="L253" s="397"/>
      <c r="M253" s="397"/>
      <c r="N253" s="397"/>
      <c r="O253" s="397"/>
      <c r="P253" s="397"/>
      <c r="Q253" s="397"/>
      <c r="R253" s="397"/>
      <c r="S253" s="397"/>
      <c r="T253" s="397"/>
      <c r="U253" s="397"/>
      <c r="V253" s="398"/>
      <c r="W253" s="398"/>
      <c r="X253" s="397"/>
    </row>
    <row r="254" spans="1:24" x14ac:dyDescent="0.3">
      <c r="A254" s="393"/>
      <c r="B254" s="394"/>
      <c r="C254" s="320"/>
      <c r="D254" s="395"/>
      <c r="E254" s="249"/>
      <c r="F254" s="396"/>
      <c r="G254" s="396"/>
      <c r="H254" s="396"/>
      <c r="I254" s="396"/>
      <c r="J254" s="397"/>
      <c r="K254" s="397"/>
      <c r="L254" s="397"/>
      <c r="M254" s="397"/>
      <c r="N254" s="397"/>
      <c r="O254" s="397"/>
      <c r="P254" s="397"/>
      <c r="Q254" s="397"/>
      <c r="R254" s="397"/>
      <c r="S254" s="397"/>
      <c r="T254" s="397"/>
      <c r="U254" s="397"/>
      <c r="V254" s="398"/>
      <c r="W254" s="398"/>
      <c r="X254" s="397"/>
    </row>
    <row r="255" spans="1:24" x14ac:dyDescent="0.3">
      <c r="A255" s="393"/>
      <c r="B255" s="394"/>
      <c r="C255" s="320"/>
      <c r="D255" s="395"/>
      <c r="E255" s="249"/>
      <c r="F255" s="396"/>
      <c r="G255" s="396"/>
      <c r="H255" s="396"/>
      <c r="I255" s="396"/>
      <c r="J255" s="397"/>
      <c r="K255" s="397"/>
      <c r="L255" s="397"/>
      <c r="M255" s="397"/>
      <c r="N255" s="397"/>
      <c r="O255" s="397"/>
      <c r="P255" s="397"/>
      <c r="Q255" s="397"/>
      <c r="R255" s="397"/>
      <c r="S255" s="397"/>
      <c r="T255" s="397"/>
      <c r="U255" s="397"/>
      <c r="V255" s="398"/>
      <c r="W255" s="398"/>
      <c r="X255" s="397"/>
    </row>
    <row r="256" spans="1:24" x14ac:dyDescent="0.3">
      <c r="A256" s="393"/>
      <c r="B256" s="394"/>
      <c r="C256" s="320"/>
      <c r="D256" s="395"/>
      <c r="E256" s="249"/>
      <c r="F256" s="396"/>
      <c r="G256" s="396"/>
      <c r="H256" s="396"/>
      <c r="I256" s="396"/>
      <c r="J256" s="397"/>
      <c r="K256" s="397"/>
      <c r="L256" s="397"/>
      <c r="M256" s="397"/>
      <c r="N256" s="397"/>
      <c r="O256" s="397"/>
      <c r="P256" s="397"/>
      <c r="Q256" s="397"/>
      <c r="R256" s="397"/>
      <c r="S256" s="397"/>
      <c r="T256" s="397"/>
      <c r="U256" s="397"/>
      <c r="V256" s="398"/>
      <c r="W256" s="398"/>
      <c r="X256" s="397"/>
    </row>
    <row r="257" spans="1:24" x14ac:dyDescent="0.3">
      <c r="A257" s="393"/>
      <c r="B257" s="394"/>
      <c r="C257" s="320"/>
      <c r="D257" s="395"/>
      <c r="E257" s="249"/>
      <c r="F257" s="396"/>
      <c r="G257" s="396"/>
      <c r="H257" s="396"/>
      <c r="I257" s="396"/>
      <c r="J257" s="397"/>
      <c r="K257" s="397"/>
      <c r="L257" s="397"/>
      <c r="M257" s="397"/>
      <c r="N257" s="397"/>
      <c r="O257" s="397"/>
      <c r="P257" s="397"/>
      <c r="Q257" s="397"/>
      <c r="R257" s="397"/>
      <c r="S257" s="397"/>
      <c r="T257" s="397"/>
      <c r="U257" s="397"/>
      <c r="V257" s="398"/>
      <c r="W257" s="398"/>
      <c r="X257" s="397"/>
    </row>
    <row r="258" spans="1:24" x14ac:dyDescent="0.3">
      <c r="A258" s="393"/>
      <c r="B258" s="394"/>
      <c r="C258" s="320"/>
      <c r="D258" s="395"/>
      <c r="E258" s="249"/>
      <c r="F258" s="396"/>
      <c r="G258" s="396"/>
      <c r="H258" s="396"/>
      <c r="I258" s="396"/>
      <c r="J258" s="397"/>
      <c r="K258" s="397"/>
      <c r="L258" s="397"/>
      <c r="M258" s="397"/>
      <c r="N258" s="397"/>
      <c r="O258" s="397"/>
      <c r="P258" s="397"/>
      <c r="Q258" s="397"/>
      <c r="R258" s="397"/>
      <c r="S258" s="397"/>
      <c r="T258" s="397"/>
      <c r="U258" s="397"/>
      <c r="V258" s="398"/>
      <c r="W258" s="398"/>
      <c r="X258" s="397"/>
    </row>
    <row r="259" spans="1:24" x14ac:dyDescent="0.3">
      <c r="A259" s="393"/>
      <c r="B259" s="394"/>
      <c r="C259" s="320"/>
      <c r="D259" s="395"/>
      <c r="E259" s="249"/>
      <c r="F259" s="396"/>
      <c r="G259" s="396"/>
      <c r="H259" s="396"/>
      <c r="I259" s="396"/>
      <c r="J259" s="397"/>
      <c r="K259" s="397"/>
      <c r="L259" s="397"/>
      <c r="M259" s="397"/>
      <c r="N259" s="397"/>
      <c r="O259" s="397"/>
      <c r="P259" s="397"/>
      <c r="Q259" s="397"/>
      <c r="R259" s="397"/>
      <c r="S259" s="397"/>
      <c r="T259" s="397"/>
      <c r="U259" s="397"/>
      <c r="V259" s="398"/>
      <c r="W259" s="398"/>
      <c r="X259" s="397"/>
    </row>
    <row r="260" spans="1:24" x14ac:dyDescent="0.3">
      <c r="A260" s="393"/>
      <c r="B260" s="394"/>
      <c r="C260" s="320"/>
      <c r="D260" s="395"/>
      <c r="E260" s="249"/>
      <c r="F260" s="396"/>
      <c r="G260" s="396"/>
      <c r="H260" s="396"/>
      <c r="I260" s="396"/>
      <c r="J260" s="397"/>
      <c r="K260" s="397"/>
      <c r="L260" s="397"/>
      <c r="M260" s="397"/>
      <c r="N260" s="397"/>
      <c r="O260" s="397"/>
      <c r="P260" s="397"/>
      <c r="Q260" s="397"/>
      <c r="R260" s="397"/>
      <c r="S260" s="397"/>
      <c r="T260" s="397"/>
      <c r="U260" s="397"/>
      <c r="V260" s="398"/>
      <c r="W260" s="398"/>
      <c r="X260" s="397"/>
    </row>
    <row r="261" spans="1:24" x14ac:dyDescent="0.3">
      <c r="A261" s="393"/>
      <c r="B261" s="394"/>
      <c r="C261" s="320"/>
      <c r="D261" s="395"/>
      <c r="E261" s="249"/>
      <c r="F261" s="396"/>
      <c r="G261" s="396"/>
      <c r="H261" s="396"/>
      <c r="I261" s="396"/>
      <c r="J261" s="397"/>
      <c r="K261" s="397"/>
      <c r="L261" s="397"/>
      <c r="M261" s="397"/>
      <c r="N261" s="397"/>
      <c r="O261" s="397"/>
      <c r="P261" s="397"/>
      <c r="Q261" s="397"/>
      <c r="R261" s="397"/>
      <c r="S261" s="397"/>
      <c r="T261" s="397"/>
      <c r="U261" s="397"/>
      <c r="V261" s="398"/>
      <c r="W261" s="398"/>
      <c r="X261" s="397"/>
    </row>
    <row r="262" spans="1:24" x14ac:dyDescent="0.3">
      <c r="A262" s="393"/>
      <c r="B262" s="394"/>
      <c r="C262" s="320"/>
      <c r="D262" s="395"/>
      <c r="E262" s="249"/>
      <c r="F262" s="396"/>
      <c r="G262" s="396"/>
      <c r="H262" s="396"/>
      <c r="I262" s="396"/>
      <c r="J262" s="397"/>
      <c r="K262" s="397"/>
      <c r="L262" s="397"/>
      <c r="M262" s="397"/>
      <c r="N262" s="397"/>
      <c r="O262" s="397"/>
      <c r="P262" s="397"/>
      <c r="Q262" s="397"/>
      <c r="R262" s="397"/>
      <c r="S262" s="397"/>
      <c r="T262" s="397"/>
      <c r="U262" s="397"/>
      <c r="V262" s="398"/>
      <c r="W262" s="398"/>
      <c r="X262" s="397"/>
    </row>
    <row r="263" spans="1:24" x14ac:dyDescent="0.3">
      <c r="A263" s="393"/>
      <c r="B263" s="394"/>
      <c r="C263" s="320"/>
      <c r="D263" s="395"/>
      <c r="E263" s="249"/>
      <c r="F263" s="396"/>
      <c r="G263" s="396"/>
      <c r="H263" s="396"/>
      <c r="I263" s="396"/>
      <c r="J263" s="397"/>
      <c r="K263" s="397"/>
      <c r="L263" s="397"/>
      <c r="M263" s="397"/>
      <c r="N263" s="397"/>
      <c r="O263" s="397"/>
      <c r="P263" s="397"/>
      <c r="Q263" s="397"/>
      <c r="R263" s="397"/>
      <c r="S263" s="397"/>
      <c r="T263" s="397"/>
      <c r="U263" s="397"/>
      <c r="V263" s="398"/>
      <c r="W263" s="398"/>
      <c r="X263" s="397"/>
    </row>
    <row r="264" spans="1:24" x14ac:dyDescent="0.3">
      <c r="A264" s="393"/>
      <c r="B264" s="394"/>
      <c r="C264" s="320"/>
      <c r="D264" s="395"/>
      <c r="E264" s="249"/>
      <c r="F264" s="396"/>
      <c r="G264" s="396"/>
      <c r="H264" s="396"/>
      <c r="I264" s="396"/>
      <c r="J264" s="397"/>
      <c r="K264" s="397"/>
      <c r="L264" s="397"/>
      <c r="M264" s="397"/>
      <c r="N264" s="397"/>
      <c r="O264" s="397"/>
      <c r="P264" s="397"/>
      <c r="Q264" s="397"/>
      <c r="R264" s="397"/>
      <c r="S264" s="397"/>
      <c r="T264" s="397"/>
      <c r="U264" s="397"/>
      <c r="V264" s="398"/>
      <c r="W264" s="398"/>
      <c r="X264" s="397"/>
    </row>
    <row r="265" spans="1:24" x14ac:dyDescent="0.3">
      <c r="A265" s="393"/>
      <c r="B265" s="394"/>
      <c r="C265" s="320"/>
      <c r="D265" s="395"/>
      <c r="E265" s="249"/>
      <c r="F265" s="396"/>
      <c r="G265" s="396"/>
      <c r="H265" s="396"/>
      <c r="I265" s="396"/>
      <c r="J265" s="397"/>
      <c r="K265" s="397"/>
      <c r="L265" s="397"/>
      <c r="M265" s="397"/>
      <c r="N265" s="397"/>
      <c r="O265" s="397"/>
      <c r="P265" s="397"/>
      <c r="Q265" s="397"/>
      <c r="R265" s="397"/>
      <c r="S265" s="397"/>
      <c r="T265" s="397"/>
      <c r="U265" s="397"/>
      <c r="V265" s="398"/>
      <c r="W265" s="398"/>
      <c r="X265" s="397"/>
    </row>
    <row r="266" spans="1:24" x14ac:dyDescent="0.3">
      <c r="A266" s="393"/>
      <c r="B266" s="394"/>
      <c r="C266" s="320"/>
      <c r="D266" s="395"/>
      <c r="E266" s="249"/>
      <c r="F266" s="396"/>
      <c r="G266" s="396"/>
      <c r="H266" s="396"/>
      <c r="I266" s="396"/>
      <c r="J266" s="397"/>
      <c r="K266" s="397"/>
      <c r="L266" s="397"/>
      <c r="M266" s="397"/>
      <c r="N266" s="397"/>
      <c r="O266" s="397"/>
      <c r="P266" s="397"/>
      <c r="Q266" s="397"/>
      <c r="R266" s="397"/>
      <c r="S266" s="397"/>
      <c r="T266" s="397"/>
      <c r="U266" s="397"/>
      <c r="V266" s="398"/>
      <c r="W266" s="398"/>
      <c r="X266" s="397"/>
    </row>
    <row r="267" spans="1:24" x14ac:dyDescent="0.3">
      <c r="A267" s="393"/>
      <c r="B267" s="394"/>
      <c r="C267" s="320"/>
      <c r="D267" s="395"/>
      <c r="E267" s="249"/>
      <c r="F267" s="396"/>
      <c r="G267" s="396"/>
      <c r="H267" s="396"/>
      <c r="I267" s="396"/>
      <c r="J267" s="397"/>
      <c r="K267" s="397"/>
      <c r="L267" s="397"/>
      <c r="M267" s="397"/>
      <c r="N267" s="397"/>
      <c r="O267" s="397"/>
      <c r="P267" s="397"/>
      <c r="Q267" s="397"/>
      <c r="R267" s="397"/>
      <c r="S267" s="397"/>
      <c r="T267" s="397"/>
      <c r="U267" s="397"/>
      <c r="V267" s="398"/>
      <c r="W267" s="398"/>
      <c r="X267" s="397"/>
    </row>
    <row r="268" spans="1:24" x14ac:dyDescent="0.3">
      <c r="A268" s="393"/>
      <c r="B268" s="394"/>
      <c r="C268" s="320"/>
      <c r="D268" s="395"/>
      <c r="E268" s="249"/>
      <c r="F268" s="396"/>
      <c r="G268" s="396"/>
      <c r="H268" s="396"/>
      <c r="I268" s="396"/>
      <c r="J268" s="397"/>
      <c r="K268" s="397"/>
      <c r="L268" s="397"/>
      <c r="M268" s="397"/>
      <c r="N268" s="397"/>
      <c r="O268" s="397"/>
      <c r="P268" s="397"/>
      <c r="Q268" s="397"/>
      <c r="R268" s="397"/>
      <c r="S268" s="397"/>
      <c r="T268" s="397"/>
      <c r="U268" s="397"/>
      <c r="V268" s="398"/>
      <c r="W268" s="398"/>
      <c r="X268" s="397"/>
    </row>
    <row r="269" spans="1:24" x14ac:dyDescent="0.3">
      <c r="A269" s="393"/>
      <c r="B269" s="394"/>
      <c r="C269" s="320"/>
      <c r="D269" s="395"/>
      <c r="E269" s="249"/>
      <c r="F269" s="396"/>
      <c r="G269" s="396"/>
      <c r="H269" s="396"/>
      <c r="I269" s="396"/>
      <c r="J269" s="397"/>
      <c r="K269" s="397"/>
      <c r="L269" s="397"/>
      <c r="M269" s="397"/>
      <c r="N269" s="397"/>
      <c r="O269" s="397"/>
      <c r="P269" s="397"/>
      <c r="Q269" s="397"/>
      <c r="R269" s="397"/>
      <c r="S269" s="397"/>
      <c r="T269" s="397"/>
      <c r="U269" s="397"/>
      <c r="V269" s="398"/>
      <c r="W269" s="398"/>
      <c r="X269" s="397"/>
    </row>
    <row r="270" spans="1:24" x14ac:dyDescent="0.3">
      <c r="A270" s="393"/>
      <c r="B270" s="394"/>
      <c r="C270" s="320"/>
      <c r="D270" s="395"/>
      <c r="E270" s="249"/>
      <c r="F270" s="396"/>
      <c r="G270" s="396"/>
      <c r="H270" s="396"/>
      <c r="I270" s="396"/>
      <c r="J270" s="397"/>
      <c r="K270" s="397"/>
      <c r="L270" s="397"/>
      <c r="M270" s="397"/>
      <c r="N270" s="397"/>
      <c r="O270" s="397"/>
      <c r="P270" s="397"/>
      <c r="Q270" s="397"/>
      <c r="R270" s="397"/>
      <c r="S270" s="397"/>
      <c r="T270" s="397"/>
      <c r="U270" s="397"/>
      <c r="V270" s="398"/>
      <c r="W270" s="398"/>
      <c r="X270" s="397"/>
    </row>
    <row r="271" spans="1:24" x14ac:dyDescent="0.3">
      <c r="A271" s="393"/>
      <c r="B271" s="394"/>
      <c r="C271" s="320"/>
      <c r="D271" s="395"/>
      <c r="E271" s="249"/>
      <c r="F271" s="396"/>
      <c r="G271" s="396"/>
      <c r="H271" s="396"/>
      <c r="I271" s="396"/>
      <c r="J271" s="397"/>
      <c r="K271" s="397"/>
      <c r="L271" s="397"/>
      <c r="M271" s="397"/>
      <c r="N271" s="397"/>
      <c r="O271" s="397"/>
      <c r="P271" s="397"/>
      <c r="Q271" s="397"/>
      <c r="R271" s="397"/>
      <c r="S271" s="397"/>
      <c r="T271" s="397"/>
      <c r="U271" s="397"/>
      <c r="V271" s="398"/>
      <c r="W271" s="398"/>
      <c r="X271" s="397"/>
    </row>
    <row r="272" spans="1:24" x14ac:dyDescent="0.3">
      <c r="A272" s="393"/>
      <c r="B272" s="394"/>
      <c r="C272" s="320"/>
      <c r="D272" s="395"/>
      <c r="E272" s="249"/>
      <c r="F272" s="396"/>
      <c r="G272" s="396"/>
      <c r="H272" s="396"/>
      <c r="I272" s="396"/>
      <c r="J272" s="397"/>
      <c r="K272" s="397"/>
      <c r="L272" s="397"/>
      <c r="M272" s="397"/>
      <c r="N272" s="397"/>
      <c r="O272" s="397"/>
      <c r="P272" s="397"/>
      <c r="Q272" s="397"/>
      <c r="R272" s="397"/>
      <c r="S272" s="397"/>
      <c r="T272" s="397"/>
      <c r="U272" s="397"/>
      <c r="V272" s="398"/>
      <c r="W272" s="398"/>
      <c r="X272" s="397"/>
    </row>
    <row r="273" spans="1:24" x14ac:dyDescent="0.3">
      <c r="A273" s="393"/>
      <c r="B273" s="394"/>
      <c r="C273" s="320"/>
      <c r="D273" s="395"/>
      <c r="E273" s="249"/>
      <c r="F273" s="396"/>
      <c r="G273" s="396"/>
      <c r="H273" s="396"/>
      <c r="I273" s="396"/>
      <c r="J273" s="397"/>
      <c r="K273" s="397"/>
      <c r="L273" s="397"/>
      <c r="M273" s="397"/>
      <c r="N273" s="397"/>
      <c r="O273" s="397"/>
      <c r="P273" s="397"/>
      <c r="Q273" s="397"/>
      <c r="R273" s="397"/>
      <c r="S273" s="397"/>
      <c r="T273" s="397"/>
      <c r="U273" s="397"/>
      <c r="V273" s="398"/>
      <c r="W273" s="398"/>
      <c r="X273" s="397"/>
    </row>
    <row r="274" spans="1:24" x14ac:dyDescent="0.3">
      <c r="A274" s="393"/>
      <c r="B274" s="394"/>
      <c r="C274" s="320"/>
      <c r="D274" s="395"/>
      <c r="E274" s="249"/>
      <c r="F274" s="396"/>
      <c r="G274" s="396"/>
      <c r="H274" s="396"/>
      <c r="I274" s="396"/>
      <c r="J274" s="397"/>
      <c r="K274" s="397"/>
      <c r="L274" s="397"/>
      <c r="M274" s="397"/>
      <c r="N274" s="397"/>
      <c r="O274" s="397"/>
      <c r="P274" s="397"/>
      <c r="Q274" s="397"/>
      <c r="R274" s="397"/>
      <c r="S274" s="397"/>
      <c r="T274" s="397"/>
      <c r="U274" s="397"/>
      <c r="V274" s="398"/>
      <c r="W274" s="398"/>
      <c r="X274" s="397"/>
    </row>
    <row r="275" spans="1:24" x14ac:dyDescent="0.3">
      <c r="A275" s="393"/>
      <c r="B275" s="394"/>
      <c r="C275" s="320"/>
      <c r="D275" s="395"/>
      <c r="E275" s="249"/>
      <c r="F275" s="396"/>
      <c r="G275" s="396"/>
      <c r="H275" s="396"/>
      <c r="I275" s="396"/>
      <c r="J275" s="397"/>
      <c r="K275" s="397"/>
      <c r="L275" s="397"/>
      <c r="M275" s="397"/>
      <c r="N275" s="397"/>
      <c r="O275" s="397"/>
      <c r="P275" s="397"/>
      <c r="Q275" s="397"/>
      <c r="R275" s="397"/>
      <c r="S275" s="397"/>
      <c r="T275" s="397"/>
      <c r="U275" s="397"/>
      <c r="V275" s="398"/>
      <c r="W275" s="398"/>
      <c r="X275" s="397"/>
    </row>
    <row r="276" spans="1:24" x14ac:dyDescent="0.3">
      <c r="A276" s="393"/>
      <c r="B276" s="394"/>
      <c r="C276" s="320"/>
      <c r="D276" s="395"/>
      <c r="E276" s="249"/>
      <c r="F276" s="396"/>
      <c r="G276" s="396"/>
      <c r="H276" s="396"/>
      <c r="I276" s="396"/>
      <c r="J276" s="397"/>
      <c r="K276" s="397"/>
      <c r="L276" s="397"/>
      <c r="M276" s="397"/>
      <c r="N276" s="397"/>
      <c r="O276" s="397"/>
      <c r="P276" s="397"/>
      <c r="Q276" s="397"/>
      <c r="R276" s="397"/>
      <c r="S276" s="397"/>
      <c r="T276" s="397"/>
      <c r="U276" s="397"/>
      <c r="V276" s="398"/>
      <c r="W276" s="398"/>
      <c r="X276" s="397"/>
    </row>
    <row r="277" spans="1:24" x14ac:dyDescent="0.3">
      <c r="A277" s="393"/>
      <c r="B277" s="394"/>
      <c r="C277" s="320"/>
      <c r="D277" s="395"/>
      <c r="E277" s="249"/>
      <c r="F277" s="396"/>
      <c r="G277" s="396"/>
      <c r="H277" s="396"/>
      <c r="I277" s="396"/>
      <c r="J277" s="397"/>
      <c r="K277" s="397"/>
      <c r="L277" s="397"/>
      <c r="M277" s="397"/>
      <c r="N277" s="397"/>
      <c r="O277" s="397"/>
      <c r="P277" s="397"/>
      <c r="Q277" s="397"/>
      <c r="R277" s="397"/>
      <c r="S277" s="397"/>
      <c r="T277" s="397"/>
      <c r="U277" s="397"/>
      <c r="V277" s="398"/>
      <c r="W277" s="398"/>
      <c r="X277" s="397"/>
    </row>
    <row r="278" spans="1:24" x14ac:dyDescent="0.3">
      <c r="A278" s="393"/>
      <c r="B278" s="394"/>
      <c r="C278" s="320"/>
      <c r="D278" s="395"/>
      <c r="E278" s="249"/>
      <c r="F278" s="396"/>
      <c r="G278" s="396"/>
      <c r="H278" s="396"/>
      <c r="I278" s="396"/>
      <c r="J278" s="397"/>
      <c r="K278" s="397"/>
      <c r="L278" s="397"/>
      <c r="M278" s="397"/>
      <c r="N278" s="397"/>
      <c r="O278" s="397"/>
      <c r="P278" s="397"/>
      <c r="Q278" s="397"/>
      <c r="R278" s="397"/>
      <c r="S278" s="397"/>
      <c r="T278" s="397"/>
      <c r="U278" s="397"/>
      <c r="V278" s="398"/>
      <c r="W278" s="398"/>
      <c r="X278" s="397"/>
    </row>
    <row r="279" spans="1:24" x14ac:dyDescent="0.3">
      <c r="A279" s="393"/>
      <c r="B279" s="394"/>
      <c r="C279" s="320"/>
      <c r="D279" s="395"/>
      <c r="E279" s="249"/>
      <c r="F279" s="396"/>
      <c r="G279" s="396"/>
      <c r="H279" s="396"/>
      <c r="I279" s="396"/>
      <c r="J279" s="397"/>
      <c r="K279" s="397"/>
      <c r="L279" s="397"/>
      <c r="M279" s="397"/>
      <c r="N279" s="397"/>
      <c r="O279" s="397"/>
      <c r="P279" s="397"/>
      <c r="Q279" s="397"/>
      <c r="R279" s="397"/>
      <c r="S279" s="397"/>
      <c r="T279" s="397"/>
      <c r="U279" s="397"/>
      <c r="V279" s="398"/>
      <c r="W279" s="398"/>
      <c r="X279" s="397"/>
    </row>
    <row r="280" spans="1:24" x14ac:dyDescent="0.3">
      <c r="A280" s="393"/>
      <c r="B280" s="394"/>
      <c r="C280" s="320"/>
      <c r="D280" s="395"/>
      <c r="E280" s="249"/>
      <c r="F280" s="396"/>
      <c r="G280" s="396"/>
      <c r="H280" s="396"/>
      <c r="I280" s="396"/>
      <c r="J280" s="397"/>
      <c r="K280" s="397"/>
      <c r="L280" s="397"/>
      <c r="M280" s="397"/>
      <c r="N280" s="397"/>
      <c r="O280" s="397"/>
      <c r="P280" s="397"/>
      <c r="Q280" s="397"/>
      <c r="R280" s="397"/>
      <c r="S280" s="397"/>
      <c r="T280" s="397"/>
      <c r="U280" s="397"/>
      <c r="V280" s="398"/>
      <c r="W280" s="398"/>
      <c r="X280" s="397"/>
    </row>
    <row r="281" spans="1:24" x14ac:dyDescent="0.3">
      <c r="A281" s="393"/>
      <c r="B281" s="394"/>
      <c r="C281" s="320"/>
      <c r="D281" s="395"/>
      <c r="E281" s="249"/>
      <c r="F281" s="396"/>
      <c r="G281" s="396"/>
      <c r="H281" s="396"/>
      <c r="I281" s="396"/>
      <c r="J281" s="397"/>
      <c r="K281" s="397"/>
      <c r="L281" s="397"/>
      <c r="M281" s="397"/>
      <c r="N281" s="397"/>
      <c r="O281" s="397"/>
      <c r="P281" s="397"/>
      <c r="Q281" s="397"/>
      <c r="R281" s="397"/>
      <c r="S281" s="397"/>
      <c r="T281" s="397"/>
      <c r="U281" s="397"/>
      <c r="V281" s="398"/>
      <c r="W281" s="398"/>
      <c r="X281" s="397"/>
    </row>
    <row r="282" spans="1:24" x14ac:dyDescent="0.3">
      <c r="A282" s="393"/>
      <c r="B282" s="394"/>
      <c r="C282" s="320"/>
      <c r="D282" s="395"/>
      <c r="E282" s="249"/>
      <c r="F282" s="396"/>
      <c r="G282" s="396"/>
      <c r="H282" s="396"/>
      <c r="I282" s="396"/>
      <c r="J282" s="397"/>
      <c r="K282" s="397"/>
      <c r="L282" s="397"/>
      <c r="M282" s="397"/>
      <c r="N282" s="397"/>
      <c r="O282" s="397"/>
      <c r="P282" s="397"/>
      <c r="Q282" s="397"/>
      <c r="R282" s="397"/>
      <c r="S282" s="397"/>
      <c r="T282" s="397"/>
      <c r="U282" s="397"/>
      <c r="V282" s="398"/>
      <c r="W282" s="398"/>
      <c r="X282" s="397"/>
    </row>
    <row r="283" spans="1:24" x14ac:dyDescent="0.3">
      <c r="A283" s="393"/>
      <c r="B283" s="394"/>
      <c r="C283" s="320"/>
      <c r="D283" s="395"/>
      <c r="E283" s="249"/>
      <c r="F283" s="396"/>
      <c r="G283" s="396"/>
      <c r="H283" s="396"/>
      <c r="I283" s="396"/>
      <c r="J283" s="397"/>
      <c r="K283" s="397"/>
      <c r="L283" s="397"/>
      <c r="M283" s="397"/>
      <c r="N283" s="397"/>
      <c r="O283" s="397"/>
      <c r="P283" s="397"/>
      <c r="Q283" s="397"/>
      <c r="R283" s="397"/>
      <c r="S283" s="397"/>
      <c r="T283" s="397"/>
      <c r="U283" s="397"/>
      <c r="V283" s="398"/>
      <c r="W283" s="398"/>
      <c r="X283" s="397"/>
    </row>
    <row r="284" spans="1:24" x14ac:dyDescent="0.3">
      <c r="A284" s="393"/>
      <c r="B284" s="394"/>
      <c r="C284" s="320"/>
      <c r="D284" s="395"/>
      <c r="E284" s="249"/>
      <c r="F284" s="396"/>
      <c r="G284" s="396"/>
      <c r="H284" s="396"/>
      <c r="I284" s="396"/>
      <c r="J284" s="397"/>
      <c r="K284" s="397"/>
      <c r="L284" s="397"/>
      <c r="M284" s="397"/>
      <c r="N284" s="397"/>
      <c r="O284" s="397"/>
      <c r="P284" s="397"/>
      <c r="Q284" s="397"/>
      <c r="R284" s="397"/>
      <c r="S284" s="397"/>
      <c r="T284" s="397"/>
      <c r="U284" s="397"/>
      <c r="V284" s="398"/>
      <c r="W284" s="398"/>
      <c r="X284" s="397"/>
    </row>
    <row r="285" spans="1:24" x14ac:dyDescent="0.3">
      <c r="A285" s="393"/>
      <c r="B285" s="394"/>
      <c r="C285" s="320"/>
      <c r="D285" s="395"/>
      <c r="E285" s="249"/>
      <c r="F285" s="396"/>
      <c r="G285" s="396"/>
      <c r="H285" s="396"/>
      <c r="I285" s="396"/>
      <c r="J285" s="397"/>
      <c r="K285" s="397"/>
      <c r="L285" s="397"/>
      <c r="M285" s="397"/>
      <c r="N285" s="397"/>
      <c r="O285" s="397"/>
      <c r="P285" s="397"/>
      <c r="Q285" s="397"/>
      <c r="R285" s="397"/>
      <c r="S285" s="397"/>
      <c r="T285" s="397"/>
      <c r="U285" s="397"/>
      <c r="V285" s="398"/>
      <c r="W285" s="398"/>
      <c r="X285" s="397"/>
    </row>
    <row r="286" spans="1:24" x14ac:dyDescent="0.3">
      <c r="A286" s="393"/>
      <c r="B286" s="394"/>
      <c r="C286" s="320"/>
      <c r="D286" s="395"/>
      <c r="E286" s="249"/>
      <c r="F286" s="396"/>
      <c r="G286" s="396"/>
      <c r="H286" s="396"/>
      <c r="I286" s="396"/>
      <c r="J286" s="397"/>
      <c r="K286" s="397"/>
      <c r="L286" s="397"/>
      <c r="M286" s="397"/>
      <c r="N286" s="397"/>
      <c r="O286" s="397"/>
      <c r="P286" s="397"/>
      <c r="Q286" s="397"/>
      <c r="R286" s="397"/>
      <c r="S286" s="397"/>
      <c r="T286" s="397"/>
      <c r="U286" s="397"/>
      <c r="V286" s="398"/>
      <c r="W286" s="398"/>
      <c r="X286" s="397"/>
    </row>
    <row r="287" spans="1:24" x14ac:dyDescent="0.3">
      <c r="A287" s="393"/>
      <c r="B287" s="394"/>
      <c r="C287" s="320"/>
      <c r="D287" s="395"/>
      <c r="E287" s="249"/>
      <c r="F287" s="396"/>
      <c r="G287" s="396"/>
      <c r="H287" s="396"/>
      <c r="I287" s="396"/>
      <c r="J287" s="397"/>
      <c r="K287" s="397"/>
      <c r="L287" s="397"/>
      <c r="M287" s="397"/>
      <c r="N287" s="397"/>
      <c r="O287" s="397"/>
      <c r="P287" s="397"/>
      <c r="Q287" s="397"/>
      <c r="R287" s="397"/>
      <c r="S287" s="397"/>
      <c r="T287" s="397"/>
      <c r="U287" s="397"/>
      <c r="V287" s="398"/>
      <c r="W287" s="398"/>
      <c r="X287" s="397"/>
    </row>
    <row r="288" spans="1:24" x14ac:dyDescent="0.3">
      <c r="A288" s="393"/>
      <c r="B288" s="394"/>
      <c r="C288" s="320"/>
      <c r="D288" s="395"/>
      <c r="E288" s="249"/>
      <c r="F288" s="396"/>
      <c r="G288" s="396"/>
      <c r="H288" s="396"/>
      <c r="I288" s="396"/>
      <c r="J288" s="397"/>
      <c r="K288" s="397"/>
      <c r="L288" s="397"/>
      <c r="M288" s="397"/>
      <c r="N288" s="397"/>
      <c r="O288" s="397"/>
      <c r="P288" s="397"/>
      <c r="Q288" s="397"/>
      <c r="R288" s="397"/>
      <c r="S288" s="397"/>
      <c r="T288" s="397"/>
      <c r="U288" s="397"/>
      <c r="V288" s="398"/>
      <c r="W288" s="398"/>
      <c r="X288" s="397"/>
    </row>
    <row r="289" spans="1:24" x14ac:dyDescent="0.3">
      <c r="A289" s="393"/>
      <c r="B289" s="394"/>
      <c r="C289" s="320"/>
      <c r="D289" s="395"/>
      <c r="E289" s="249"/>
      <c r="F289" s="396"/>
      <c r="G289" s="396"/>
      <c r="H289" s="396"/>
      <c r="I289" s="396"/>
      <c r="J289" s="397"/>
      <c r="K289" s="397"/>
      <c r="L289" s="397"/>
      <c r="M289" s="397"/>
      <c r="N289" s="397"/>
      <c r="O289" s="397"/>
      <c r="P289" s="397"/>
      <c r="Q289" s="397"/>
      <c r="R289" s="397"/>
      <c r="S289" s="397"/>
      <c r="T289" s="397"/>
      <c r="U289" s="397"/>
      <c r="V289" s="398"/>
      <c r="W289" s="398"/>
      <c r="X289" s="397"/>
    </row>
    <row r="290" spans="1:24" x14ac:dyDescent="0.3">
      <c r="A290" s="393"/>
      <c r="B290" s="394"/>
      <c r="C290" s="320"/>
      <c r="D290" s="395"/>
      <c r="E290" s="249"/>
      <c r="F290" s="396"/>
      <c r="G290" s="396"/>
      <c r="H290" s="396"/>
      <c r="I290" s="396"/>
      <c r="J290" s="397"/>
      <c r="K290" s="397"/>
      <c r="L290" s="397"/>
      <c r="M290" s="397"/>
      <c r="N290" s="397"/>
      <c r="O290" s="397"/>
      <c r="P290" s="397"/>
      <c r="Q290" s="397"/>
      <c r="R290" s="397"/>
      <c r="S290" s="397"/>
      <c r="T290" s="397"/>
      <c r="U290" s="397"/>
      <c r="V290" s="398"/>
      <c r="W290" s="398"/>
      <c r="X290" s="397"/>
    </row>
    <row r="291" spans="1:24" x14ac:dyDescent="0.3">
      <c r="A291" s="393"/>
      <c r="B291" s="394"/>
      <c r="C291" s="320"/>
      <c r="D291" s="395"/>
      <c r="E291" s="249"/>
      <c r="F291" s="396"/>
      <c r="G291" s="396"/>
      <c r="H291" s="396"/>
      <c r="I291" s="396"/>
      <c r="J291" s="397"/>
      <c r="K291" s="397"/>
      <c r="L291" s="397"/>
      <c r="M291" s="397"/>
      <c r="N291" s="397"/>
      <c r="O291" s="397"/>
      <c r="P291" s="397"/>
      <c r="Q291" s="397"/>
      <c r="R291" s="397"/>
      <c r="S291" s="397"/>
      <c r="T291" s="397"/>
      <c r="U291" s="397"/>
      <c r="V291" s="398"/>
      <c r="W291" s="398"/>
      <c r="X291" s="397"/>
    </row>
    <row r="292" spans="1:24" x14ac:dyDescent="0.3">
      <c r="A292" s="393"/>
      <c r="B292" s="394"/>
      <c r="C292" s="320"/>
      <c r="D292" s="395"/>
      <c r="E292" s="249"/>
      <c r="F292" s="396"/>
      <c r="G292" s="396"/>
      <c r="H292" s="396"/>
      <c r="I292" s="396"/>
      <c r="J292" s="397"/>
      <c r="K292" s="397"/>
      <c r="L292" s="397"/>
      <c r="M292" s="397"/>
      <c r="N292" s="397"/>
      <c r="O292" s="397"/>
      <c r="P292" s="397"/>
      <c r="Q292" s="397"/>
      <c r="R292" s="397"/>
      <c r="S292" s="397"/>
      <c r="T292" s="397"/>
      <c r="U292" s="397"/>
      <c r="V292" s="398"/>
      <c r="W292" s="398"/>
      <c r="X292" s="397"/>
    </row>
    <row r="293" spans="1:24" x14ac:dyDescent="0.3">
      <c r="A293" s="393"/>
      <c r="B293" s="394"/>
      <c r="C293" s="320"/>
      <c r="D293" s="395"/>
      <c r="E293" s="249"/>
      <c r="F293" s="396"/>
      <c r="G293" s="396"/>
      <c r="H293" s="396"/>
      <c r="I293" s="396"/>
      <c r="J293" s="397"/>
      <c r="K293" s="397"/>
      <c r="L293" s="397"/>
      <c r="M293" s="397"/>
      <c r="N293" s="397"/>
      <c r="O293" s="397"/>
      <c r="P293" s="397"/>
      <c r="Q293" s="397"/>
      <c r="R293" s="397"/>
      <c r="S293" s="397"/>
      <c r="T293" s="397"/>
      <c r="U293" s="397"/>
      <c r="V293" s="398"/>
      <c r="W293" s="398"/>
      <c r="X293" s="397"/>
    </row>
    <row r="294" spans="1:24" x14ac:dyDescent="0.3">
      <c r="A294" s="393"/>
      <c r="B294" s="394"/>
      <c r="C294" s="320"/>
      <c r="D294" s="395"/>
      <c r="E294" s="249"/>
      <c r="F294" s="396"/>
      <c r="G294" s="396"/>
      <c r="H294" s="396"/>
      <c r="I294" s="396"/>
      <c r="J294" s="397"/>
      <c r="K294" s="397"/>
      <c r="L294" s="397"/>
      <c r="M294" s="397"/>
      <c r="N294" s="397"/>
      <c r="O294" s="397"/>
      <c r="P294" s="397"/>
      <c r="Q294" s="397"/>
      <c r="R294" s="397"/>
      <c r="S294" s="397"/>
      <c r="T294" s="397"/>
      <c r="U294" s="397"/>
      <c r="V294" s="398"/>
      <c r="W294" s="398"/>
      <c r="X294" s="397"/>
    </row>
    <row r="295" spans="1:24" x14ac:dyDescent="0.3">
      <c r="A295" s="393"/>
      <c r="B295" s="394"/>
      <c r="C295" s="320"/>
      <c r="D295" s="395"/>
      <c r="E295" s="249"/>
      <c r="F295" s="396"/>
      <c r="G295" s="396"/>
      <c r="H295" s="396"/>
      <c r="I295" s="396"/>
      <c r="J295" s="397"/>
      <c r="K295" s="397"/>
      <c r="L295" s="397"/>
      <c r="M295" s="397"/>
      <c r="N295" s="397"/>
      <c r="O295" s="397"/>
      <c r="P295" s="397"/>
      <c r="Q295" s="397"/>
      <c r="R295" s="397"/>
      <c r="S295" s="397"/>
      <c r="T295" s="397"/>
      <c r="U295" s="397"/>
      <c r="V295" s="398"/>
      <c r="W295" s="398"/>
      <c r="X295" s="397"/>
    </row>
    <row r="296" spans="1:24" x14ac:dyDescent="0.3">
      <c r="A296" s="393"/>
      <c r="B296" s="394"/>
      <c r="C296" s="320"/>
      <c r="D296" s="395"/>
      <c r="E296" s="249"/>
      <c r="F296" s="396"/>
      <c r="G296" s="396"/>
      <c r="H296" s="396"/>
      <c r="I296" s="396"/>
      <c r="J296" s="397"/>
      <c r="K296" s="397"/>
      <c r="L296" s="397"/>
      <c r="M296" s="397"/>
      <c r="N296" s="397"/>
      <c r="O296" s="397"/>
      <c r="P296" s="397"/>
      <c r="Q296" s="397"/>
      <c r="R296" s="397"/>
      <c r="S296" s="397"/>
      <c r="T296" s="397"/>
      <c r="U296" s="397"/>
      <c r="V296" s="398"/>
      <c r="W296" s="398"/>
      <c r="X296" s="397"/>
    </row>
    <row r="297" spans="1:24" x14ac:dyDescent="0.3">
      <c r="A297" s="393"/>
      <c r="B297" s="394"/>
      <c r="C297" s="320"/>
      <c r="D297" s="395"/>
      <c r="E297" s="249"/>
      <c r="F297" s="396"/>
      <c r="G297" s="396"/>
      <c r="H297" s="396"/>
      <c r="I297" s="396"/>
      <c r="J297" s="397"/>
      <c r="K297" s="397"/>
      <c r="L297" s="397"/>
      <c r="M297" s="397"/>
      <c r="N297" s="397"/>
      <c r="O297" s="397"/>
      <c r="P297" s="397"/>
      <c r="Q297" s="397"/>
      <c r="R297" s="397"/>
      <c r="S297" s="397"/>
      <c r="T297" s="397"/>
      <c r="U297" s="397"/>
      <c r="V297" s="398"/>
      <c r="W297" s="398"/>
      <c r="X297" s="397"/>
    </row>
    <row r="298" spans="1:24" x14ac:dyDescent="0.3">
      <c r="A298" s="393"/>
      <c r="B298" s="394"/>
      <c r="C298" s="320"/>
      <c r="D298" s="395"/>
      <c r="E298" s="249"/>
      <c r="F298" s="396"/>
      <c r="G298" s="396"/>
      <c r="H298" s="396"/>
      <c r="I298" s="396"/>
      <c r="J298" s="397"/>
      <c r="K298" s="397"/>
      <c r="L298" s="397"/>
      <c r="M298" s="397"/>
      <c r="N298" s="397"/>
      <c r="O298" s="397"/>
      <c r="P298" s="397"/>
      <c r="Q298" s="397"/>
      <c r="R298" s="397"/>
      <c r="S298" s="397"/>
      <c r="T298" s="397"/>
      <c r="U298" s="397"/>
      <c r="V298" s="398"/>
      <c r="W298" s="398"/>
      <c r="X298" s="397"/>
    </row>
    <row r="299" spans="1:24" x14ac:dyDescent="0.3">
      <c r="A299" s="393"/>
      <c r="B299" s="394"/>
      <c r="C299" s="320"/>
      <c r="D299" s="395"/>
      <c r="E299" s="249"/>
      <c r="F299" s="396"/>
      <c r="G299" s="396"/>
      <c r="H299" s="396"/>
      <c r="I299" s="396"/>
      <c r="J299" s="397"/>
      <c r="K299" s="397"/>
      <c r="L299" s="397"/>
      <c r="M299" s="397"/>
      <c r="N299" s="397"/>
      <c r="O299" s="397"/>
      <c r="P299" s="397"/>
      <c r="Q299" s="397"/>
      <c r="R299" s="397"/>
      <c r="S299" s="397"/>
      <c r="T299" s="397"/>
      <c r="U299" s="397"/>
      <c r="V299" s="398"/>
      <c r="W299" s="398"/>
      <c r="X299" s="397"/>
    </row>
    <row r="300" spans="1:24" x14ac:dyDescent="0.3">
      <c r="A300" s="393"/>
      <c r="B300" s="394"/>
      <c r="C300" s="320"/>
      <c r="D300" s="395"/>
      <c r="E300" s="249"/>
      <c r="F300" s="396"/>
      <c r="G300" s="396"/>
      <c r="H300" s="396"/>
      <c r="I300" s="396"/>
      <c r="J300" s="397"/>
      <c r="K300" s="397"/>
      <c r="L300" s="397"/>
      <c r="M300" s="397"/>
      <c r="N300" s="397"/>
      <c r="O300" s="397"/>
      <c r="P300" s="397"/>
      <c r="Q300" s="397"/>
      <c r="R300" s="397"/>
      <c r="S300" s="397"/>
      <c r="T300" s="397"/>
      <c r="U300" s="397"/>
      <c r="V300" s="398"/>
      <c r="W300" s="398"/>
      <c r="X300" s="397"/>
    </row>
    <row r="301" spans="1:24" x14ac:dyDescent="0.3">
      <c r="A301" s="393"/>
      <c r="B301" s="394"/>
      <c r="C301" s="320"/>
      <c r="D301" s="395"/>
      <c r="E301" s="249"/>
      <c r="F301" s="396"/>
      <c r="G301" s="396"/>
      <c r="H301" s="396"/>
      <c r="I301" s="396"/>
      <c r="J301" s="397"/>
      <c r="K301" s="397"/>
      <c r="L301" s="397"/>
      <c r="M301" s="397"/>
      <c r="N301" s="397"/>
      <c r="O301" s="397"/>
      <c r="P301" s="397"/>
      <c r="Q301" s="397"/>
      <c r="R301" s="397"/>
      <c r="S301" s="397"/>
      <c r="T301" s="397"/>
      <c r="U301" s="397"/>
      <c r="V301" s="398"/>
      <c r="W301" s="398"/>
      <c r="X301" s="397"/>
    </row>
    <row r="302" spans="1:24" x14ac:dyDescent="0.3">
      <c r="A302" s="393"/>
      <c r="B302" s="394"/>
      <c r="C302" s="320"/>
      <c r="D302" s="395"/>
      <c r="E302" s="249"/>
      <c r="F302" s="396"/>
      <c r="G302" s="396"/>
      <c r="H302" s="396"/>
      <c r="I302" s="396"/>
      <c r="J302" s="397"/>
      <c r="K302" s="397"/>
      <c r="L302" s="397"/>
      <c r="M302" s="397"/>
      <c r="N302" s="397"/>
      <c r="O302" s="397"/>
      <c r="P302" s="397"/>
      <c r="Q302" s="397"/>
      <c r="R302" s="397"/>
      <c r="S302" s="397"/>
      <c r="T302" s="397"/>
      <c r="U302" s="397"/>
      <c r="V302" s="398"/>
      <c r="W302" s="398"/>
      <c r="X302" s="397"/>
    </row>
    <row r="303" spans="1:24" x14ac:dyDescent="0.3">
      <c r="A303" s="393"/>
      <c r="B303" s="394"/>
      <c r="C303" s="320"/>
      <c r="D303" s="395"/>
      <c r="E303" s="249"/>
      <c r="F303" s="396"/>
      <c r="G303" s="396"/>
      <c r="H303" s="396"/>
      <c r="I303" s="396"/>
      <c r="J303" s="397"/>
      <c r="K303" s="397"/>
      <c r="L303" s="397"/>
      <c r="M303" s="397"/>
      <c r="N303" s="397"/>
      <c r="O303" s="397"/>
      <c r="P303" s="397"/>
      <c r="Q303" s="397"/>
      <c r="R303" s="397"/>
      <c r="S303" s="397"/>
      <c r="T303" s="397"/>
      <c r="U303" s="397"/>
      <c r="V303" s="398"/>
      <c r="W303" s="398"/>
      <c r="X303" s="397"/>
    </row>
    <row r="304" spans="1:24" x14ac:dyDescent="0.3">
      <c r="A304" s="393"/>
      <c r="B304" s="394"/>
      <c r="C304" s="320"/>
      <c r="D304" s="395"/>
      <c r="E304" s="249"/>
      <c r="F304" s="396"/>
      <c r="G304" s="396"/>
      <c r="H304" s="396"/>
      <c r="I304" s="396"/>
      <c r="J304" s="397"/>
      <c r="K304" s="397"/>
      <c r="L304" s="397"/>
      <c r="M304" s="397"/>
      <c r="N304" s="397"/>
      <c r="O304" s="397"/>
      <c r="P304" s="397"/>
      <c r="Q304" s="397"/>
      <c r="R304" s="397"/>
      <c r="S304" s="397"/>
      <c r="T304" s="397"/>
      <c r="U304" s="397"/>
      <c r="V304" s="398"/>
      <c r="W304" s="398"/>
      <c r="X304" s="397"/>
    </row>
    <row r="305" spans="1:24" x14ac:dyDescent="0.3">
      <c r="A305" s="393"/>
      <c r="B305" s="394"/>
      <c r="C305" s="320"/>
      <c r="D305" s="395"/>
      <c r="E305" s="249"/>
      <c r="F305" s="396"/>
      <c r="G305" s="396"/>
      <c r="H305" s="396"/>
      <c r="I305" s="396"/>
      <c r="J305" s="397"/>
      <c r="K305" s="397"/>
      <c r="L305" s="397"/>
      <c r="M305" s="397"/>
      <c r="N305" s="397"/>
      <c r="O305" s="397"/>
      <c r="P305" s="397"/>
      <c r="Q305" s="397"/>
      <c r="R305" s="397"/>
      <c r="S305" s="397"/>
      <c r="T305" s="397"/>
      <c r="U305" s="397"/>
      <c r="V305" s="398"/>
      <c r="W305" s="398"/>
      <c r="X305" s="397"/>
    </row>
    <row r="306" spans="1:24" x14ac:dyDescent="0.3">
      <c r="A306" s="393"/>
      <c r="B306" s="394"/>
      <c r="C306" s="320"/>
      <c r="D306" s="395"/>
      <c r="E306" s="249"/>
      <c r="F306" s="396"/>
      <c r="G306" s="396"/>
      <c r="H306" s="396"/>
      <c r="I306" s="396"/>
      <c r="J306" s="397"/>
      <c r="K306" s="397"/>
      <c r="L306" s="397"/>
      <c r="M306" s="397"/>
      <c r="N306" s="397"/>
      <c r="O306" s="397"/>
      <c r="P306" s="397"/>
      <c r="Q306" s="397"/>
      <c r="R306" s="397"/>
      <c r="S306" s="397"/>
      <c r="T306" s="397"/>
      <c r="U306" s="397"/>
      <c r="V306" s="398"/>
      <c r="W306" s="398"/>
      <c r="X306" s="397"/>
    </row>
    <row r="307" spans="1:24" x14ac:dyDescent="0.3">
      <c r="A307" s="393"/>
      <c r="B307" s="394"/>
      <c r="C307" s="320"/>
      <c r="D307" s="395"/>
      <c r="E307" s="249"/>
      <c r="F307" s="396"/>
      <c r="G307" s="396"/>
      <c r="H307" s="396"/>
      <c r="I307" s="396"/>
      <c r="J307" s="397"/>
      <c r="K307" s="397"/>
      <c r="L307" s="397"/>
      <c r="M307" s="397"/>
      <c r="N307" s="397"/>
      <c r="O307" s="397"/>
      <c r="P307" s="397"/>
      <c r="Q307" s="397"/>
      <c r="R307" s="397"/>
      <c r="S307" s="397"/>
      <c r="T307" s="397"/>
      <c r="U307" s="397"/>
      <c r="V307" s="398"/>
      <c r="W307" s="398"/>
      <c r="X307" s="397"/>
    </row>
    <row r="308" spans="1:24" x14ac:dyDescent="0.3">
      <c r="A308" s="393"/>
      <c r="B308" s="394"/>
      <c r="C308" s="320"/>
      <c r="D308" s="395"/>
      <c r="E308" s="249"/>
      <c r="F308" s="396"/>
      <c r="G308" s="396"/>
      <c r="H308" s="396"/>
      <c r="I308" s="396"/>
      <c r="J308" s="397"/>
      <c r="K308" s="397"/>
      <c r="L308" s="397"/>
      <c r="M308" s="397"/>
      <c r="N308" s="397"/>
      <c r="O308" s="397"/>
      <c r="P308" s="397"/>
      <c r="Q308" s="397"/>
      <c r="R308" s="397"/>
      <c r="S308" s="397"/>
      <c r="T308" s="397"/>
      <c r="U308" s="397"/>
      <c r="V308" s="398"/>
      <c r="W308" s="398"/>
      <c r="X308" s="397"/>
    </row>
    <row r="309" spans="1:24" x14ac:dyDescent="0.3">
      <c r="A309" s="393"/>
      <c r="B309" s="394"/>
      <c r="C309" s="320"/>
      <c r="D309" s="395"/>
      <c r="E309" s="249"/>
      <c r="F309" s="396"/>
      <c r="G309" s="396"/>
      <c r="H309" s="396"/>
      <c r="I309" s="396"/>
      <c r="J309" s="397"/>
      <c r="K309" s="397"/>
      <c r="L309" s="397"/>
      <c r="M309" s="397"/>
      <c r="N309" s="397"/>
      <c r="O309" s="397"/>
      <c r="P309" s="397"/>
      <c r="Q309" s="397"/>
      <c r="R309" s="397"/>
      <c r="S309" s="397"/>
      <c r="T309" s="397"/>
      <c r="U309" s="397"/>
      <c r="V309" s="398"/>
      <c r="W309" s="398"/>
      <c r="X309" s="397"/>
    </row>
    <row r="310" spans="1:24" x14ac:dyDescent="0.3">
      <c r="A310" s="393"/>
      <c r="B310" s="394"/>
      <c r="C310" s="320"/>
      <c r="D310" s="395"/>
      <c r="E310" s="249"/>
      <c r="F310" s="396"/>
      <c r="G310" s="396"/>
      <c r="H310" s="396"/>
      <c r="I310" s="396"/>
      <c r="J310" s="397"/>
      <c r="K310" s="397"/>
      <c r="L310" s="397"/>
      <c r="M310" s="397"/>
      <c r="N310" s="397"/>
      <c r="O310" s="397"/>
      <c r="P310" s="397"/>
      <c r="Q310" s="397"/>
      <c r="R310" s="397"/>
      <c r="S310" s="397"/>
      <c r="T310" s="397"/>
      <c r="U310" s="397"/>
      <c r="V310" s="398"/>
      <c r="W310" s="398"/>
      <c r="X310" s="397"/>
    </row>
    <row r="311" spans="1:24" x14ac:dyDescent="0.3">
      <c r="A311" s="393"/>
      <c r="B311" s="394"/>
      <c r="C311" s="320"/>
      <c r="D311" s="395"/>
      <c r="E311" s="249"/>
      <c r="F311" s="396"/>
      <c r="G311" s="396"/>
      <c r="H311" s="396"/>
      <c r="I311" s="396"/>
      <c r="J311" s="397"/>
      <c r="K311" s="397"/>
      <c r="L311" s="397"/>
      <c r="M311" s="397"/>
      <c r="N311" s="397"/>
      <c r="O311" s="397"/>
      <c r="P311" s="397"/>
      <c r="Q311" s="397"/>
      <c r="R311" s="397"/>
      <c r="S311" s="397"/>
      <c r="T311" s="397"/>
      <c r="U311" s="397"/>
      <c r="V311" s="398"/>
      <c r="W311" s="398"/>
      <c r="X311" s="397"/>
    </row>
    <row r="312" spans="1:24" x14ac:dyDescent="0.3">
      <c r="A312" s="393"/>
      <c r="B312" s="394"/>
      <c r="C312" s="320"/>
      <c r="D312" s="395"/>
      <c r="E312" s="249"/>
      <c r="F312" s="396"/>
      <c r="G312" s="396"/>
      <c r="H312" s="396"/>
      <c r="I312" s="396"/>
      <c r="J312" s="397"/>
      <c r="K312" s="397"/>
      <c r="L312" s="397"/>
      <c r="M312" s="397"/>
      <c r="N312" s="397"/>
      <c r="O312" s="397"/>
      <c r="P312" s="397"/>
      <c r="Q312" s="397"/>
      <c r="R312" s="397"/>
      <c r="S312" s="397"/>
      <c r="T312" s="397"/>
      <c r="U312" s="397"/>
      <c r="V312" s="398"/>
      <c r="W312" s="398"/>
      <c r="X312" s="397"/>
    </row>
    <row r="313" spans="1:24" x14ac:dyDescent="0.3">
      <c r="A313" s="393"/>
      <c r="B313" s="394"/>
      <c r="C313" s="320"/>
      <c r="D313" s="395"/>
      <c r="E313" s="249"/>
      <c r="F313" s="396"/>
      <c r="G313" s="396"/>
      <c r="H313" s="396"/>
      <c r="I313" s="396"/>
      <c r="J313" s="397"/>
      <c r="K313" s="397"/>
      <c r="L313" s="397"/>
      <c r="M313" s="397"/>
      <c r="N313" s="397"/>
      <c r="O313" s="397"/>
      <c r="P313" s="397"/>
      <c r="Q313" s="397"/>
      <c r="R313" s="397"/>
      <c r="S313" s="397"/>
      <c r="T313" s="397"/>
      <c r="U313" s="397"/>
      <c r="V313" s="398"/>
      <c r="W313" s="398"/>
      <c r="X313" s="397"/>
    </row>
    <row r="314" spans="1:24" x14ac:dyDescent="0.3">
      <c r="A314" s="393"/>
      <c r="B314" s="394"/>
      <c r="C314" s="320"/>
      <c r="D314" s="395"/>
      <c r="E314" s="249"/>
      <c r="F314" s="396"/>
      <c r="G314" s="396"/>
      <c r="H314" s="396"/>
      <c r="I314" s="396"/>
      <c r="J314" s="397"/>
      <c r="K314" s="397"/>
      <c r="L314" s="397"/>
      <c r="M314" s="397"/>
      <c r="N314" s="397"/>
      <c r="O314" s="397"/>
      <c r="P314" s="397"/>
      <c r="Q314" s="397"/>
      <c r="R314" s="397"/>
      <c r="S314" s="397"/>
      <c r="T314" s="397"/>
      <c r="U314" s="397"/>
      <c r="V314" s="398"/>
      <c r="W314" s="398"/>
      <c r="X314" s="397"/>
    </row>
    <row r="315" spans="1:24" x14ac:dyDescent="0.3">
      <c r="A315" s="393"/>
      <c r="B315" s="394"/>
      <c r="C315" s="320"/>
      <c r="D315" s="395"/>
      <c r="E315" s="249"/>
      <c r="F315" s="396"/>
      <c r="G315" s="396"/>
      <c r="H315" s="396"/>
      <c r="I315" s="396"/>
      <c r="J315" s="397"/>
      <c r="K315" s="397"/>
      <c r="L315" s="397"/>
      <c r="M315" s="397"/>
      <c r="N315" s="397"/>
      <c r="O315" s="397"/>
      <c r="P315" s="397"/>
      <c r="Q315" s="397"/>
      <c r="R315" s="397"/>
      <c r="S315" s="397"/>
      <c r="T315" s="397"/>
      <c r="U315" s="397"/>
      <c r="V315" s="398"/>
      <c r="W315" s="398"/>
      <c r="X315" s="397"/>
    </row>
    <row r="316" spans="1:24" x14ac:dyDescent="0.3">
      <c r="A316" s="393"/>
      <c r="B316" s="394"/>
      <c r="C316" s="320"/>
      <c r="D316" s="395"/>
      <c r="E316" s="249"/>
      <c r="F316" s="396"/>
      <c r="G316" s="396"/>
      <c r="H316" s="396"/>
      <c r="I316" s="396"/>
      <c r="J316" s="397"/>
      <c r="K316" s="397"/>
      <c r="L316" s="397"/>
      <c r="M316" s="397"/>
      <c r="N316" s="397"/>
      <c r="O316" s="397"/>
      <c r="P316" s="397"/>
      <c r="Q316" s="397"/>
      <c r="R316" s="397"/>
      <c r="S316" s="397"/>
      <c r="T316" s="397"/>
      <c r="U316" s="397"/>
      <c r="V316" s="398"/>
      <c r="W316" s="398"/>
      <c r="X316" s="397"/>
    </row>
    <row r="317" spans="1:24" x14ac:dyDescent="0.3">
      <c r="A317" s="393"/>
      <c r="B317" s="394"/>
      <c r="C317" s="320"/>
      <c r="D317" s="395"/>
      <c r="E317" s="249"/>
      <c r="F317" s="396"/>
      <c r="G317" s="396"/>
      <c r="H317" s="396"/>
      <c r="I317" s="396"/>
      <c r="J317" s="397"/>
      <c r="K317" s="397"/>
      <c r="L317" s="397"/>
      <c r="M317" s="397"/>
      <c r="N317" s="397"/>
      <c r="O317" s="397"/>
      <c r="P317" s="397"/>
      <c r="Q317" s="397"/>
      <c r="R317" s="397"/>
      <c r="S317" s="397"/>
      <c r="T317" s="397"/>
      <c r="U317" s="397"/>
      <c r="V317" s="398"/>
      <c r="W317" s="398"/>
      <c r="X317" s="397"/>
    </row>
    <row r="318" spans="1:24" x14ac:dyDescent="0.3">
      <c r="A318" s="393"/>
      <c r="B318" s="394"/>
      <c r="C318" s="320"/>
      <c r="D318" s="395"/>
      <c r="E318" s="249"/>
      <c r="F318" s="396"/>
      <c r="G318" s="396"/>
      <c r="H318" s="396"/>
      <c r="I318" s="396"/>
      <c r="J318" s="397"/>
      <c r="K318" s="397"/>
      <c r="L318" s="397"/>
      <c r="M318" s="397"/>
      <c r="N318" s="397"/>
      <c r="O318" s="397"/>
      <c r="P318" s="397"/>
      <c r="Q318" s="397"/>
      <c r="R318" s="397"/>
      <c r="S318" s="397"/>
      <c r="T318" s="397"/>
      <c r="U318" s="397"/>
      <c r="V318" s="398"/>
      <c r="W318" s="398"/>
      <c r="X318" s="397"/>
    </row>
    <row r="319" spans="1:24" x14ac:dyDescent="0.3">
      <c r="A319" s="393"/>
      <c r="B319" s="394"/>
      <c r="C319" s="320"/>
      <c r="D319" s="395"/>
      <c r="E319" s="249"/>
      <c r="F319" s="396"/>
      <c r="G319" s="396"/>
      <c r="H319" s="396"/>
      <c r="I319" s="396"/>
      <c r="J319" s="397"/>
      <c r="K319" s="397"/>
      <c r="L319" s="397"/>
      <c r="M319" s="397"/>
      <c r="N319" s="397"/>
      <c r="O319" s="397"/>
      <c r="P319" s="397"/>
      <c r="Q319" s="397"/>
      <c r="R319" s="397"/>
      <c r="S319" s="397"/>
      <c r="T319" s="397"/>
      <c r="U319" s="397"/>
      <c r="V319" s="398"/>
      <c r="W319" s="398"/>
      <c r="X319" s="397"/>
    </row>
    <row r="320" spans="1:24" x14ac:dyDescent="0.3">
      <c r="A320" s="393"/>
      <c r="B320" s="394"/>
      <c r="C320" s="320"/>
      <c r="D320" s="395"/>
      <c r="E320" s="249"/>
      <c r="F320" s="396"/>
      <c r="G320" s="396"/>
      <c r="H320" s="396"/>
      <c r="I320" s="396"/>
      <c r="J320" s="397"/>
      <c r="K320" s="397"/>
      <c r="L320" s="397"/>
      <c r="M320" s="397"/>
      <c r="N320" s="397"/>
      <c r="O320" s="397"/>
      <c r="P320" s="397"/>
      <c r="Q320" s="397"/>
      <c r="R320" s="397"/>
      <c r="S320" s="397"/>
      <c r="T320" s="397"/>
      <c r="U320" s="397"/>
      <c r="V320" s="398"/>
      <c r="W320" s="398"/>
      <c r="X320" s="397"/>
    </row>
    <row r="321" spans="1:24" x14ac:dyDescent="0.3">
      <c r="A321" s="393"/>
      <c r="B321" s="394"/>
      <c r="C321" s="320"/>
      <c r="D321" s="395"/>
      <c r="E321" s="249"/>
      <c r="F321" s="396"/>
      <c r="G321" s="396"/>
      <c r="H321" s="396"/>
      <c r="I321" s="396"/>
      <c r="J321" s="397"/>
      <c r="K321" s="397"/>
      <c r="L321" s="397"/>
      <c r="M321" s="397"/>
      <c r="N321" s="397"/>
      <c r="O321" s="397"/>
      <c r="P321" s="397"/>
      <c r="Q321" s="397"/>
      <c r="R321" s="397"/>
      <c r="S321" s="397"/>
      <c r="T321" s="397"/>
      <c r="U321" s="397"/>
      <c r="V321" s="398"/>
      <c r="W321" s="398"/>
      <c r="X321" s="397"/>
    </row>
    <row r="322" spans="1:24" x14ac:dyDescent="0.3">
      <c r="A322" s="393"/>
      <c r="B322" s="394"/>
      <c r="C322" s="320"/>
      <c r="D322" s="395"/>
      <c r="E322" s="249"/>
      <c r="F322" s="396"/>
      <c r="G322" s="396"/>
      <c r="H322" s="396"/>
      <c r="I322" s="396"/>
      <c r="J322" s="397"/>
      <c r="K322" s="397"/>
      <c r="L322" s="397"/>
      <c r="M322" s="397"/>
      <c r="N322" s="397"/>
      <c r="O322" s="397"/>
      <c r="P322" s="397"/>
      <c r="Q322" s="397"/>
      <c r="R322" s="397"/>
      <c r="S322" s="397"/>
      <c r="T322" s="397"/>
      <c r="U322" s="397"/>
      <c r="V322" s="398"/>
      <c r="W322" s="398"/>
      <c r="X322" s="397"/>
    </row>
    <row r="323" spans="1:24" x14ac:dyDescent="0.3">
      <c r="A323" s="393"/>
      <c r="B323" s="394"/>
      <c r="C323" s="320"/>
      <c r="D323" s="395"/>
      <c r="E323" s="249"/>
      <c r="F323" s="396"/>
      <c r="G323" s="396"/>
      <c r="H323" s="396"/>
      <c r="I323" s="396"/>
      <c r="J323" s="397"/>
      <c r="K323" s="397"/>
      <c r="L323" s="397"/>
      <c r="M323" s="397"/>
      <c r="N323" s="397"/>
      <c r="O323" s="397"/>
      <c r="P323" s="397"/>
      <c r="Q323" s="397"/>
      <c r="R323" s="397"/>
      <c r="S323" s="397"/>
      <c r="T323" s="397"/>
      <c r="U323" s="397"/>
      <c r="V323" s="398"/>
      <c r="W323" s="398"/>
      <c r="X323" s="397"/>
    </row>
    <row r="324" spans="1:24" x14ac:dyDescent="0.3">
      <c r="A324" s="393"/>
      <c r="B324" s="394"/>
      <c r="C324" s="320"/>
      <c r="D324" s="395"/>
      <c r="E324" s="249"/>
      <c r="F324" s="396"/>
      <c r="G324" s="396"/>
      <c r="H324" s="396"/>
      <c r="I324" s="396"/>
      <c r="J324" s="397"/>
      <c r="K324" s="397"/>
      <c r="L324" s="397"/>
      <c r="M324" s="397"/>
      <c r="N324" s="397"/>
      <c r="O324" s="397"/>
      <c r="P324" s="397"/>
      <c r="Q324" s="397"/>
      <c r="R324" s="397"/>
      <c r="S324" s="397"/>
      <c r="T324" s="397"/>
      <c r="U324" s="397"/>
      <c r="V324" s="398"/>
      <c r="W324" s="398"/>
      <c r="X324" s="397"/>
    </row>
    <row r="325" spans="1:24" x14ac:dyDescent="0.3">
      <c r="A325" s="393"/>
      <c r="B325" s="394"/>
      <c r="C325" s="320"/>
      <c r="D325" s="395"/>
      <c r="E325" s="249"/>
      <c r="F325" s="396"/>
      <c r="G325" s="396"/>
      <c r="H325" s="396"/>
      <c r="I325" s="396"/>
      <c r="J325" s="397"/>
      <c r="K325" s="397"/>
      <c r="L325" s="397"/>
      <c r="M325" s="397"/>
      <c r="N325" s="397"/>
      <c r="O325" s="397"/>
      <c r="P325" s="397"/>
      <c r="Q325" s="397"/>
      <c r="R325" s="397"/>
      <c r="S325" s="397"/>
      <c r="T325" s="397"/>
      <c r="U325" s="397"/>
      <c r="V325" s="398"/>
      <c r="W325" s="398"/>
      <c r="X325" s="397"/>
    </row>
    <row r="326" spans="1:24" x14ac:dyDescent="0.3">
      <c r="A326" s="393"/>
      <c r="B326" s="394"/>
      <c r="C326" s="320"/>
      <c r="D326" s="395"/>
      <c r="E326" s="249"/>
      <c r="F326" s="396"/>
      <c r="G326" s="396"/>
      <c r="H326" s="396"/>
      <c r="I326" s="396"/>
      <c r="J326" s="397"/>
      <c r="K326" s="397"/>
      <c r="L326" s="397"/>
      <c r="M326" s="397"/>
      <c r="N326" s="397"/>
      <c r="O326" s="397"/>
      <c r="P326" s="397"/>
      <c r="Q326" s="397"/>
      <c r="R326" s="397"/>
      <c r="S326" s="397"/>
      <c r="T326" s="397"/>
      <c r="U326" s="397"/>
      <c r="V326" s="398"/>
      <c r="W326" s="398"/>
      <c r="X326" s="397"/>
    </row>
    <row r="327" spans="1:24" x14ac:dyDescent="0.3">
      <c r="A327" s="393"/>
      <c r="B327" s="394"/>
      <c r="C327" s="320"/>
      <c r="D327" s="395"/>
      <c r="E327" s="249"/>
      <c r="F327" s="396"/>
      <c r="G327" s="396"/>
      <c r="H327" s="396"/>
      <c r="I327" s="396"/>
      <c r="J327" s="397"/>
      <c r="K327" s="397"/>
      <c r="L327" s="397"/>
      <c r="M327" s="397"/>
      <c r="N327" s="397"/>
      <c r="O327" s="397"/>
      <c r="P327" s="397"/>
      <c r="Q327" s="397"/>
      <c r="R327" s="397"/>
      <c r="S327" s="397"/>
      <c r="T327" s="397"/>
      <c r="U327" s="397"/>
      <c r="V327" s="398"/>
      <c r="W327" s="398"/>
      <c r="X327" s="397"/>
    </row>
    <row r="328" spans="1:24" x14ac:dyDescent="0.3">
      <c r="A328" s="393"/>
      <c r="B328" s="394"/>
      <c r="C328" s="320"/>
      <c r="D328" s="395"/>
      <c r="E328" s="249"/>
      <c r="F328" s="396"/>
      <c r="G328" s="396"/>
      <c r="H328" s="396"/>
      <c r="I328" s="396"/>
      <c r="J328" s="397"/>
      <c r="K328" s="397"/>
      <c r="L328" s="397"/>
      <c r="M328" s="397"/>
      <c r="N328" s="397"/>
      <c r="O328" s="397"/>
      <c r="P328" s="397"/>
      <c r="Q328" s="397"/>
      <c r="R328" s="397"/>
      <c r="S328" s="397"/>
      <c r="T328" s="397"/>
      <c r="U328" s="397"/>
      <c r="V328" s="398"/>
      <c r="W328" s="398"/>
      <c r="X328" s="397"/>
    </row>
    <row r="329" spans="1:24" x14ac:dyDescent="0.3">
      <c r="A329" s="393"/>
      <c r="B329" s="394"/>
      <c r="C329" s="320"/>
      <c r="D329" s="395"/>
      <c r="E329" s="249"/>
      <c r="F329" s="396"/>
      <c r="G329" s="396"/>
      <c r="H329" s="396"/>
      <c r="I329" s="396"/>
      <c r="J329" s="397"/>
      <c r="K329" s="397"/>
      <c r="L329" s="397"/>
      <c r="M329" s="397"/>
      <c r="N329" s="397"/>
      <c r="O329" s="397"/>
      <c r="P329" s="397"/>
      <c r="Q329" s="397"/>
      <c r="R329" s="397"/>
      <c r="S329" s="397"/>
      <c r="T329" s="397"/>
      <c r="U329" s="397"/>
      <c r="V329" s="398"/>
      <c r="W329" s="398"/>
      <c r="X329" s="397"/>
    </row>
    <row r="330" spans="1:24" x14ac:dyDescent="0.3">
      <c r="A330" s="393"/>
      <c r="B330" s="394"/>
      <c r="C330" s="320"/>
      <c r="D330" s="395"/>
      <c r="E330" s="249"/>
      <c r="F330" s="396"/>
      <c r="G330" s="396"/>
      <c r="H330" s="396"/>
      <c r="I330" s="396"/>
      <c r="J330" s="397"/>
      <c r="K330" s="397"/>
      <c r="L330" s="397"/>
      <c r="M330" s="397"/>
      <c r="N330" s="397"/>
      <c r="O330" s="397"/>
      <c r="P330" s="397"/>
      <c r="Q330" s="397"/>
      <c r="R330" s="397"/>
      <c r="S330" s="397"/>
      <c r="T330" s="397"/>
      <c r="U330" s="397"/>
      <c r="V330" s="398"/>
      <c r="W330" s="398"/>
      <c r="X330" s="397"/>
    </row>
    <row r="331" spans="1:24" x14ac:dyDescent="0.3">
      <c r="A331" s="393"/>
      <c r="B331" s="394"/>
      <c r="C331" s="320"/>
      <c r="D331" s="395"/>
      <c r="E331" s="249"/>
      <c r="F331" s="396"/>
      <c r="G331" s="396"/>
      <c r="H331" s="396"/>
      <c r="I331" s="396"/>
      <c r="J331" s="397"/>
      <c r="K331" s="397"/>
      <c r="L331" s="397"/>
      <c r="M331" s="397"/>
      <c r="N331" s="397"/>
      <c r="O331" s="397"/>
      <c r="P331" s="397"/>
      <c r="Q331" s="397"/>
      <c r="R331" s="397"/>
      <c r="S331" s="397"/>
      <c r="T331" s="397"/>
      <c r="U331" s="397"/>
      <c r="V331" s="398"/>
      <c r="W331" s="398"/>
      <c r="X331" s="397"/>
    </row>
    <row r="332" spans="1:24" x14ac:dyDescent="0.3">
      <c r="A332" s="393"/>
      <c r="B332" s="394"/>
      <c r="C332" s="320"/>
      <c r="D332" s="395"/>
      <c r="E332" s="249"/>
      <c r="F332" s="396"/>
      <c r="G332" s="396"/>
      <c r="H332" s="396"/>
      <c r="I332" s="396"/>
      <c r="J332" s="397"/>
      <c r="K332" s="397"/>
      <c r="L332" s="397"/>
      <c r="M332" s="397"/>
      <c r="N332" s="397"/>
      <c r="O332" s="397"/>
      <c r="P332" s="397"/>
      <c r="Q332" s="397"/>
      <c r="R332" s="397"/>
      <c r="S332" s="397"/>
      <c r="T332" s="397"/>
      <c r="U332" s="397"/>
      <c r="V332" s="398"/>
      <c r="W332" s="398"/>
      <c r="X332" s="397"/>
    </row>
    <row r="333" spans="1:24" x14ac:dyDescent="0.3">
      <c r="A333" s="393"/>
      <c r="B333" s="394"/>
      <c r="C333" s="320"/>
      <c r="D333" s="395"/>
      <c r="E333" s="249"/>
      <c r="F333" s="396"/>
      <c r="G333" s="396"/>
      <c r="H333" s="396"/>
      <c r="I333" s="396"/>
      <c r="J333" s="397"/>
      <c r="K333" s="397"/>
      <c r="L333" s="397"/>
      <c r="M333" s="397"/>
      <c r="N333" s="397"/>
      <c r="O333" s="397"/>
      <c r="P333" s="397"/>
      <c r="Q333" s="397"/>
      <c r="R333" s="397"/>
      <c r="S333" s="397"/>
      <c r="T333" s="397"/>
      <c r="U333" s="397"/>
      <c r="V333" s="398"/>
      <c r="W333" s="398"/>
      <c r="X333" s="397"/>
    </row>
    <row r="334" spans="1:24" x14ac:dyDescent="0.3">
      <c r="A334" s="393"/>
      <c r="B334" s="394"/>
      <c r="C334" s="320"/>
      <c r="D334" s="395"/>
      <c r="E334" s="249"/>
      <c r="F334" s="396"/>
      <c r="G334" s="396"/>
      <c r="H334" s="396"/>
      <c r="I334" s="396"/>
      <c r="J334" s="397"/>
      <c r="K334" s="397"/>
      <c r="L334" s="397"/>
      <c r="M334" s="397"/>
      <c r="N334" s="397"/>
      <c r="O334" s="397"/>
      <c r="P334" s="397"/>
      <c r="Q334" s="397"/>
      <c r="R334" s="397"/>
      <c r="S334" s="397"/>
      <c r="T334" s="397"/>
      <c r="U334" s="397"/>
      <c r="V334" s="398"/>
      <c r="W334" s="398"/>
      <c r="X334" s="397"/>
    </row>
    <row r="335" spans="1:24" x14ac:dyDescent="0.3">
      <c r="A335" s="393"/>
      <c r="B335" s="394"/>
      <c r="C335" s="320"/>
      <c r="D335" s="395"/>
      <c r="E335" s="249"/>
      <c r="F335" s="396"/>
      <c r="G335" s="396"/>
      <c r="H335" s="396"/>
      <c r="I335" s="396"/>
      <c r="J335" s="397"/>
      <c r="K335" s="397"/>
      <c r="L335" s="397"/>
      <c r="M335" s="397"/>
      <c r="N335" s="397"/>
      <c r="O335" s="397"/>
      <c r="P335" s="397"/>
      <c r="Q335" s="397"/>
      <c r="R335" s="397"/>
      <c r="S335" s="397"/>
      <c r="T335" s="397"/>
      <c r="U335" s="397"/>
      <c r="V335" s="398"/>
      <c r="W335" s="398"/>
      <c r="X335" s="397"/>
    </row>
    <row r="336" spans="1:24" x14ac:dyDescent="0.3">
      <c r="A336" s="393"/>
      <c r="B336" s="394"/>
      <c r="C336" s="320"/>
      <c r="D336" s="395"/>
      <c r="E336" s="249"/>
      <c r="F336" s="396"/>
      <c r="G336" s="396"/>
      <c r="H336" s="396"/>
      <c r="I336" s="396"/>
      <c r="J336" s="397"/>
      <c r="K336" s="397"/>
      <c r="L336" s="397"/>
      <c r="M336" s="397"/>
      <c r="N336" s="397"/>
      <c r="O336" s="397"/>
      <c r="P336" s="397"/>
      <c r="Q336" s="397"/>
      <c r="R336" s="397"/>
      <c r="S336" s="397"/>
      <c r="T336" s="397"/>
      <c r="U336" s="397"/>
      <c r="V336" s="398"/>
      <c r="W336" s="398"/>
      <c r="X336" s="397"/>
    </row>
    <row r="337" spans="1:24" x14ac:dyDescent="0.3">
      <c r="A337" s="393"/>
      <c r="B337" s="394"/>
      <c r="C337" s="320"/>
      <c r="D337" s="395"/>
      <c r="E337" s="249"/>
      <c r="F337" s="396"/>
      <c r="G337" s="396"/>
      <c r="H337" s="396"/>
      <c r="I337" s="396"/>
      <c r="J337" s="397"/>
      <c r="K337" s="397"/>
      <c r="L337" s="397"/>
      <c r="M337" s="397"/>
      <c r="N337" s="397"/>
      <c r="O337" s="397"/>
      <c r="P337" s="397"/>
      <c r="Q337" s="397"/>
      <c r="R337" s="397"/>
      <c r="S337" s="397"/>
      <c r="T337" s="397"/>
      <c r="U337" s="397"/>
      <c r="V337" s="398"/>
      <c r="W337" s="398"/>
      <c r="X337" s="397"/>
    </row>
    <row r="338" spans="1:24" x14ac:dyDescent="0.3">
      <c r="A338" s="393"/>
      <c r="B338" s="394"/>
      <c r="C338" s="320"/>
      <c r="D338" s="395"/>
      <c r="E338" s="249"/>
      <c r="F338" s="396"/>
      <c r="G338" s="396"/>
      <c r="H338" s="396"/>
      <c r="I338" s="396"/>
      <c r="J338" s="397"/>
      <c r="K338" s="397"/>
      <c r="L338" s="397"/>
      <c r="M338" s="397"/>
      <c r="N338" s="397"/>
      <c r="O338" s="397"/>
      <c r="P338" s="397"/>
      <c r="Q338" s="397"/>
      <c r="R338" s="397"/>
      <c r="S338" s="397"/>
      <c r="T338" s="397"/>
      <c r="U338" s="397"/>
      <c r="V338" s="398"/>
      <c r="W338" s="398"/>
      <c r="X338" s="397"/>
    </row>
    <row r="339" spans="1:24" x14ac:dyDescent="0.3">
      <c r="A339" s="393"/>
      <c r="B339" s="394"/>
      <c r="C339" s="320"/>
      <c r="D339" s="395"/>
      <c r="E339" s="249"/>
      <c r="F339" s="396"/>
      <c r="G339" s="396"/>
      <c r="H339" s="396"/>
      <c r="I339" s="396"/>
      <c r="J339" s="397"/>
      <c r="K339" s="397"/>
      <c r="L339" s="397"/>
      <c r="M339" s="397"/>
      <c r="N339" s="397"/>
      <c r="O339" s="397"/>
      <c r="P339" s="397"/>
      <c r="Q339" s="397"/>
      <c r="R339" s="397"/>
      <c r="S339" s="397"/>
      <c r="T339" s="397"/>
      <c r="U339" s="397"/>
      <c r="V339" s="398"/>
      <c r="W339" s="398"/>
      <c r="X339" s="397"/>
    </row>
    <row r="340" spans="1:24" x14ac:dyDescent="0.3">
      <c r="A340" s="393"/>
      <c r="B340" s="394"/>
      <c r="C340" s="320"/>
      <c r="D340" s="395"/>
      <c r="E340" s="249"/>
      <c r="F340" s="396"/>
      <c r="G340" s="396"/>
      <c r="H340" s="396"/>
      <c r="I340" s="396"/>
      <c r="J340" s="397"/>
      <c r="K340" s="397"/>
      <c r="L340" s="397"/>
      <c r="M340" s="397"/>
      <c r="N340" s="397"/>
      <c r="O340" s="397"/>
      <c r="P340" s="397"/>
      <c r="Q340" s="397"/>
      <c r="R340" s="397"/>
      <c r="S340" s="397"/>
      <c r="T340" s="397"/>
      <c r="U340" s="397"/>
      <c r="V340" s="398"/>
      <c r="W340" s="398"/>
      <c r="X340" s="397"/>
    </row>
    <row r="341" spans="1:24" x14ac:dyDescent="0.3">
      <c r="A341" s="393"/>
      <c r="B341" s="394"/>
      <c r="C341" s="320"/>
      <c r="D341" s="395"/>
      <c r="E341" s="249"/>
      <c r="F341" s="396"/>
      <c r="G341" s="396"/>
      <c r="H341" s="396"/>
      <c r="I341" s="396"/>
      <c r="J341" s="397"/>
      <c r="K341" s="397"/>
      <c r="L341" s="397"/>
      <c r="M341" s="397"/>
      <c r="N341" s="397"/>
      <c r="O341" s="397"/>
      <c r="P341" s="397"/>
      <c r="Q341" s="397"/>
      <c r="R341" s="397"/>
      <c r="S341" s="397"/>
      <c r="T341" s="397"/>
      <c r="U341" s="397"/>
      <c r="V341" s="398"/>
      <c r="W341" s="398"/>
      <c r="X341" s="397"/>
    </row>
    <row r="342" spans="1:24" x14ac:dyDescent="0.3">
      <c r="A342" s="393"/>
      <c r="B342" s="394"/>
      <c r="C342" s="320"/>
      <c r="D342" s="395"/>
      <c r="E342" s="249"/>
      <c r="F342" s="396"/>
      <c r="G342" s="396"/>
      <c r="H342" s="396"/>
      <c r="I342" s="396"/>
      <c r="J342" s="397"/>
      <c r="K342" s="397"/>
      <c r="L342" s="397"/>
      <c r="M342" s="397"/>
      <c r="N342" s="397"/>
      <c r="O342" s="397"/>
      <c r="P342" s="397"/>
      <c r="Q342" s="397"/>
      <c r="R342" s="397"/>
      <c r="S342" s="397"/>
      <c r="T342" s="397"/>
      <c r="U342" s="397"/>
      <c r="V342" s="398"/>
      <c r="W342" s="398"/>
      <c r="X342" s="397"/>
    </row>
    <row r="343" spans="1:24" x14ac:dyDescent="0.3">
      <c r="A343" s="393"/>
      <c r="B343" s="394"/>
      <c r="C343" s="320"/>
      <c r="D343" s="395"/>
      <c r="E343" s="249"/>
      <c r="F343" s="396"/>
      <c r="G343" s="396"/>
      <c r="H343" s="396"/>
      <c r="I343" s="396"/>
      <c r="J343" s="397"/>
      <c r="K343" s="397"/>
      <c r="L343" s="397"/>
      <c r="M343" s="397"/>
      <c r="N343" s="397"/>
      <c r="O343" s="397"/>
      <c r="P343" s="397"/>
      <c r="Q343" s="397"/>
      <c r="R343" s="397"/>
      <c r="S343" s="397"/>
      <c r="T343" s="397"/>
      <c r="U343" s="397"/>
      <c r="V343" s="398"/>
      <c r="W343" s="398"/>
      <c r="X343" s="397"/>
    </row>
    <row r="344" spans="1:24" x14ac:dyDescent="0.3">
      <c r="A344" s="393"/>
      <c r="B344" s="394"/>
      <c r="C344" s="320"/>
      <c r="D344" s="395"/>
      <c r="E344" s="249"/>
      <c r="F344" s="396"/>
      <c r="G344" s="396"/>
      <c r="H344" s="396"/>
      <c r="I344" s="396"/>
      <c r="J344" s="397"/>
      <c r="K344" s="397"/>
      <c r="L344" s="397"/>
      <c r="M344" s="397"/>
      <c r="N344" s="397"/>
      <c r="O344" s="397"/>
      <c r="P344" s="397"/>
      <c r="Q344" s="397"/>
      <c r="R344" s="397"/>
      <c r="S344" s="397"/>
      <c r="T344" s="397"/>
      <c r="U344" s="397"/>
      <c r="V344" s="398"/>
      <c r="W344" s="398"/>
      <c r="X344" s="397"/>
    </row>
    <row r="345" spans="1:24" x14ac:dyDescent="0.3">
      <c r="A345" s="393"/>
      <c r="B345" s="394"/>
      <c r="C345" s="320"/>
      <c r="D345" s="395"/>
      <c r="E345" s="249"/>
      <c r="F345" s="396"/>
      <c r="G345" s="396"/>
      <c r="H345" s="396"/>
      <c r="I345" s="396"/>
      <c r="J345" s="397"/>
      <c r="K345" s="397"/>
      <c r="L345" s="397"/>
      <c r="M345" s="397"/>
      <c r="N345" s="397"/>
      <c r="O345" s="397"/>
      <c r="P345" s="397"/>
      <c r="Q345" s="397"/>
      <c r="R345" s="397"/>
      <c r="S345" s="397"/>
      <c r="T345" s="397"/>
      <c r="U345" s="397"/>
      <c r="V345" s="398"/>
      <c r="W345" s="398"/>
      <c r="X345" s="397"/>
    </row>
    <row r="346" spans="1:24" x14ac:dyDescent="0.3">
      <c r="A346" s="393"/>
      <c r="B346" s="394"/>
      <c r="C346" s="320"/>
      <c r="D346" s="395"/>
      <c r="E346" s="249"/>
      <c r="F346" s="396"/>
      <c r="G346" s="396"/>
      <c r="H346" s="396"/>
      <c r="I346" s="396"/>
      <c r="J346" s="397"/>
      <c r="K346" s="397"/>
      <c r="L346" s="397"/>
      <c r="M346" s="397"/>
      <c r="N346" s="397"/>
      <c r="O346" s="397"/>
      <c r="P346" s="397"/>
      <c r="Q346" s="397"/>
      <c r="R346" s="397"/>
      <c r="S346" s="397"/>
      <c r="T346" s="397"/>
      <c r="U346" s="397"/>
      <c r="V346" s="398"/>
      <c r="W346" s="398"/>
      <c r="X346" s="397"/>
    </row>
    <row r="347" spans="1:24" x14ac:dyDescent="0.3">
      <c r="A347" s="393"/>
      <c r="B347" s="394"/>
      <c r="C347" s="320"/>
      <c r="D347" s="395"/>
      <c r="E347" s="249"/>
      <c r="F347" s="396"/>
      <c r="G347" s="396"/>
      <c r="H347" s="396"/>
      <c r="I347" s="396"/>
      <c r="J347" s="397"/>
      <c r="K347" s="397"/>
      <c r="L347" s="397"/>
      <c r="M347" s="397"/>
      <c r="N347" s="397"/>
      <c r="O347" s="397"/>
      <c r="P347" s="397"/>
      <c r="Q347" s="397"/>
      <c r="R347" s="397"/>
      <c r="S347" s="397"/>
      <c r="T347" s="397"/>
      <c r="U347" s="397"/>
      <c r="V347" s="398"/>
      <c r="W347" s="398"/>
      <c r="X347" s="397"/>
    </row>
    <row r="348" spans="1:24" x14ac:dyDescent="0.3">
      <c r="A348" s="393"/>
      <c r="B348" s="394"/>
      <c r="C348" s="320"/>
      <c r="D348" s="395"/>
      <c r="E348" s="249"/>
      <c r="F348" s="396"/>
      <c r="G348" s="396"/>
      <c r="H348" s="396"/>
      <c r="I348" s="396"/>
      <c r="J348" s="397"/>
      <c r="K348" s="397"/>
      <c r="L348" s="397"/>
      <c r="M348" s="397"/>
      <c r="N348" s="397"/>
      <c r="O348" s="397"/>
      <c r="P348" s="397"/>
      <c r="Q348" s="397"/>
      <c r="R348" s="397"/>
      <c r="S348" s="397"/>
      <c r="T348" s="397"/>
      <c r="U348" s="397"/>
      <c r="V348" s="398"/>
      <c r="W348" s="398"/>
      <c r="X348" s="397"/>
    </row>
    <row r="349" spans="1:24" x14ac:dyDescent="0.3">
      <c r="A349" s="393"/>
      <c r="B349" s="394"/>
      <c r="C349" s="320"/>
      <c r="D349" s="395"/>
      <c r="E349" s="249"/>
      <c r="F349" s="396"/>
      <c r="G349" s="396"/>
      <c r="H349" s="396"/>
      <c r="I349" s="396"/>
      <c r="J349" s="397"/>
      <c r="K349" s="397"/>
      <c r="L349" s="397"/>
      <c r="M349" s="397"/>
      <c r="N349" s="397"/>
      <c r="O349" s="397"/>
      <c r="P349" s="397"/>
      <c r="Q349" s="397"/>
      <c r="R349" s="397"/>
      <c r="S349" s="397"/>
      <c r="T349" s="397"/>
      <c r="U349" s="397"/>
      <c r="V349" s="398"/>
      <c r="W349" s="398"/>
      <c r="X349" s="397"/>
    </row>
    <row r="350" spans="1:24" x14ac:dyDescent="0.3">
      <c r="A350" s="393"/>
      <c r="B350" s="394"/>
      <c r="C350" s="320"/>
      <c r="D350" s="395"/>
      <c r="E350" s="249"/>
      <c r="F350" s="396"/>
      <c r="G350" s="396"/>
      <c r="H350" s="396"/>
      <c r="I350" s="396"/>
      <c r="J350" s="397"/>
      <c r="K350" s="397"/>
      <c r="L350" s="397"/>
      <c r="M350" s="397"/>
      <c r="N350" s="397"/>
      <c r="O350" s="397"/>
      <c r="P350" s="397"/>
      <c r="Q350" s="397"/>
      <c r="R350" s="397"/>
      <c r="S350" s="397"/>
      <c r="T350" s="397"/>
      <c r="U350" s="397"/>
      <c r="V350" s="398"/>
      <c r="W350" s="398"/>
      <c r="X350" s="397"/>
    </row>
    <row r="351" spans="1:24" x14ac:dyDescent="0.3">
      <c r="A351" s="393"/>
      <c r="B351" s="394"/>
      <c r="C351" s="320"/>
      <c r="D351" s="395"/>
      <c r="E351" s="249"/>
      <c r="F351" s="396"/>
      <c r="G351" s="396"/>
      <c r="H351" s="396"/>
      <c r="I351" s="396"/>
      <c r="J351" s="397"/>
      <c r="K351" s="397"/>
      <c r="L351" s="397"/>
      <c r="M351" s="397"/>
      <c r="N351" s="397"/>
      <c r="O351" s="397"/>
      <c r="P351" s="397"/>
      <c r="Q351" s="397"/>
      <c r="R351" s="397"/>
      <c r="S351" s="397"/>
      <c r="T351" s="397"/>
      <c r="U351" s="397"/>
      <c r="V351" s="398"/>
      <c r="W351" s="398"/>
      <c r="X351" s="397"/>
    </row>
    <row r="352" spans="1:24" x14ac:dyDescent="0.3">
      <c r="A352" s="393"/>
      <c r="B352" s="394"/>
      <c r="C352" s="320"/>
      <c r="D352" s="395"/>
      <c r="E352" s="249"/>
      <c r="F352" s="396"/>
      <c r="G352" s="396"/>
      <c r="H352" s="396"/>
      <c r="I352" s="396"/>
      <c r="J352" s="397"/>
      <c r="K352" s="397"/>
      <c r="L352" s="397"/>
      <c r="M352" s="397"/>
      <c r="N352" s="397"/>
      <c r="O352" s="397"/>
      <c r="P352" s="397"/>
      <c r="Q352" s="397"/>
      <c r="R352" s="397"/>
      <c r="S352" s="397"/>
      <c r="T352" s="397"/>
      <c r="U352" s="397"/>
      <c r="V352" s="398"/>
      <c r="W352" s="398"/>
      <c r="X352" s="397"/>
    </row>
    <row r="353" spans="1:24" x14ac:dyDescent="0.3">
      <c r="A353" s="393"/>
      <c r="B353" s="394"/>
      <c r="C353" s="320"/>
      <c r="D353" s="395"/>
      <c r="E353" s="249"/>
      <c r="F353" s="396"/>
      <c r="G353" s="396"/>
      <c r="H353" s="396"/>
      <c r="I353" s="396"/>
      <c r="J353" s="397"/>
      <c r="K353" s="397"/>
      <c r="L353" s="397"/>
      <c r="M353" s="397"/>
      <c r="N353" s="397"/>
      <c r="O353" s="397"/>
      <c r="P353" s="397"/>
      <c r="Q353" s="397"/>
      <c r="R353" s="397"/>
      <c r="S353" s="397"/>
      <c r="T353" s="397"/>
      <c r="U353" s="397"/>
      <c r="V353" s="398"/>
      <c r="W353" s="398"/>
      <c r="X353" s="397"/>
    </row>
    <row r="354" spans="1:24" x14ac:dyDescent="0.3">
      <c r="A354" s="393"/>
      <c r="B354" s="394"/>
      <c r="C354" s="320"/>
      <c r="D354" s="395"/>
      <c r="E354" s="249"/>
      <c r="F354" s="396"/>
      <c r="G354" s="396"/>
      <c r="H354" s="396"/>
      <c r="I354" s="396"/>
      <c r="J354" s="397"/>
      <c r="K354" s="397"/>
      <c r="L354" s="397"/>
      <c r="M354" s="397"/>
      <c r="N354" s="397"/>
      <c r="O354" s="397"/>
      <c r="P354" s="397"/>
      <c r="Q354" s="397"/>
      <c r="R354" s="397"/>
      <c r="S354" s="397"/>
      <c r="T354" s="397"/>
      <c r="U354" s="397"/>
      <c r="V354" s="398"/>
      <c r="W354" s="398"/>
      <c r="X354" s="397"/>
    </row>
    <row r="355" spans="1:24" x14ac:dyDescent="0.3">
      <c r="A355" s="393"/>
      <c r="B355" s="394"/>
      <c r="C355" s="320"/>
      <c r="D355" s="395"/>
      <c r="E355" s="249"/>
      <c r="F355" s="396"/>
      <c r="G355" s="396"/>
      <c r="H355" s="396"/>
      <c r="I355" s="396"/>
      <c r="J355" s="397"/>
      <c r="K355" s="397"/>
      <c r="L355" s="397"/>
      <c r="M355" s="397"/>
      <c r="N355" s="397"/>
      <c r="O355" s="397"/>
      <c r="P355" s="397"/>
      <c r="Q355" s="397"/>
      <c r="R355" s="397"/>
      <c r="S355" s="397"/>
      <c r="T355" s="397"/>
      <c r="U355" s="397"/>
      <c r="V355" s="398"/>
      <c r="W355" s="398"/>
      <c r="X355" s="397"/>
    </row>
    <row r="356" spans="1:24" x14ac:dyDescent="0.3">
      <c r="A356" s="393"/>
      <c r="B356" s="394"/>
      <c r="C356" s="320"/>
      <c r="D356" s="395"/>
      <c r="E356" s="249"/>
      <c r="F356" s="396"/>
      <c r="G356" s="396"/>
      <c r="H356" s="396"/>
      <c r="I356" s="396"/>
      <c r="J356" s="397"/>
      <c r="K356" s="397"/>
      <c r="L356" s="397"/>
      <c r="M356" s="397"/>
      <c r="N356" s="397"/>
      <c r="O356" s="397"/>
      <c r="P356" s="397"/>
      <c r="Q356" s="397"/>
      <c r="R356" s="397"/>
      <c r="S356" s="397"/>
      <c r="T356" s="397"/>
      <c r="U356" s="397"/>
      <c r="V356" s="398"/>
      <c r="W356" s="398"/>
      <c r="X356" s="397"/>
    </row>
    <row r="357" spans="1:24" x14ac:dyDescent="0.3">
      <c r="A357" s="393"/>
      <c r="B357" s="394"/>
      <c r="C357" s="320"/>
      <c r="D357" s="395"/>
      <c r="E357" s="249"/>
      <c r="F357" s="396"/>
      <c r="G357" s="396"/>
      <c r="H357" s="396"/>
      <c r="I357" s="396"/>
      <c r="J357" s="397"/>
      <c r="K357" s="397"/>
      <c r="L357" s="397"/>
      <c r="M357" s="397"/>
      <c r="N357" s="397"/>
      <c r="O357" s="397"/>
      <c r="P357" s="397"/>
      <c r="Q357" s="397"/>
      <c r="R357" s="397"/>
      <c r="S357" s="397"/>
      <c r="T357" s="397"/>
      <c r="U357" s="397"/>
      <c r="V357" s="398"/>
      <c r="W357" s="398"/>
      <c r="X357" s="397"/>
    </row>
    <row r="358" spans="1:24" x14ac:dyDescent="0.3">
      <c r="A358" s="393"/>
      <c r="B358" s="394"/>
      <c r="C358" s="320"/>
      <c r="D358" s="395"/>
      <c r="E358" s="249"/>
      <c r="F358" s="396"/>
      <c r="G358" s="396"/>
      <c r="H358" s="396"/>
      <c r="I358" s="396"/>
      <c r="J358" s="397"/>
      <c r="K358" s="397"/>
      <c r="L358" s="397"/>
      <c r="M358" s="397"/>
      <c r="N358" s="397"/>
      <c r="O358" s="397"/>
      <c r="P358" s="397"/>
      <c r="Q358" s="397"/>
      <c r="R358" s="397"/>
      <c r="S358" s="397"/>
      <c r="T358" s="397"/>
      <c r="U358" s="397"/>
      <c r="V358" s="398"/>
      <c r="W358" s="398"/>
      <c r="X358" s="397"/>
    </row>
    <row r="359" spans="1:24" x14ac:dyDescent="0.3">
      <c r="A359" s="393"/>
      <c r="B359" s="394"/>
      <c r="C359" s="320"/>
      <c r="D359" s="395"/>
      <c r="E359" s="249"/>
      <c r="F359" s="396"/>
      <c r="G359" s="396"/>
      <c r="H359" s="396"/>
      <c r="I359" s="396"/>
      <c r="J359" s="397"/>
      <c r="K359" s="397"/>
      <c r="L359" s="397"/>
      <c r="M359" s="397"/>
      <c r="N359" s="397"/>
      <c r="O359" s="397"/>
      <c r="P359" s="397"/>
      <c r="Q359" s="397"/>
      <c r="R359" s="397"/>
      <c r="S359" s="397"/>
      <c r="T359" s="397"/>
      <c r="U359" s="397"/>
      <c r="V359" s="398"/>
      <c r="W359" s="398"/>
      <c r="X359" s="397"/>
    </row>
    <row r="360" spans="1:24" x14ac:dyDescent="0.3">
      <c r="A360" s="393"/>
      <c r="B360" s="394"/>
      <c r="C360" s="320"/>
      <c r="D360" s="395"/>
      <c r="E360" s="249"/>
      <c r="F360" s="396"/>
      <c r="G360" s="396"/>
      <c r="H360" s="396"/>
      <c r="I360" s="396"/>
      <c r="J360" s="397"/>
      <c r="K360" s="397"/>
      <c r="L360" s="397"/>
      <c r="M360" s="397"/>
      <c r="N360" s="397"/>
      <c r="O360" s="397"/>
      <c r="P360" s="397"/>
      <c r="Q360" s="397"/>
      <c r="R360" s="397"/>
      <c r="S360" s="397"/>
      <c r="T360" s="397"/>
      <c r="U360" s="397"/>
      <c r="V360" s="398"/>
      <c r="W360" s="398"/>
      <c r="X360" s="397"/>
    </row>
    <row r="361" spans="1:24" x14ac:dyDescent="0.3">
      <c r="A361" s="393"/>
      <c r="B361" s="394"/>
      <c r="C361" s="320"/>
      <c r="D361" s="395"/>
      <c r="E361" s="249"/>
      <c r="F361" s="396"/>
      <c r="G361" s="396"/>
      <c r="H361" s="396"/>
      <c r="I361" s="396"/>
      <c r="J361" s="397"/>
      <c r="K361" s="397"/>
      <c r="L361" s="397"/>
      <c r="M361" s="397"/>
      <c r="N361" s="397"/>
      <c r="O361" s="397"/>
      <c r="P361" s="397"/>
      <c r="Q361" s="397"/>
      <c r="R361" s="397"/>
      <c r="S361" s="397"/>
      <c r="T361" s="397"/>
      <c r="U361" s="397"/>
      <c r="V361" s="398"/>
      <c r="W361" s="398"/>
      <c r="X361" s="397"/>
    </row>
    <row r="362" spans="1:24" x14ac:dyDescent="0.3">
      <c r="A362" s="393"/>
      <c r="B362" s="394"/>
      <c r="C362" s="320"/>
      <c r="D362" s="395"/>
      <c r="E362" s="249"/>
      <c r="F362" s="396"/>
      <c r="G362" s="396"/>
      <c r="H362" s="396"/>
      <c r="I362" s="396"/>
      <c r="J362" s="397"/>
      <c r="K362" s="397"/>
      <c r="L362" s="397"/>
      <c r="M362" s="397"/>
      <c r="N362" s="397"/>
      <c r="O362" s="397"/>
      <c r="P362" s="397"/>
      <c r="Q362" s="397"/>
      <c r="R362" s="397"/>
      <c r="S362" s="397"/>
      <c r="T362" s="397"/>
      <c r="U362" s="397"/>
      <c r="V362" s="398"/>
      <c r="W362" s="398"/>
      <c r="X362" s="397"/>
    </row>
    <row r="363" spans="1:24" x14ac:dyDescent="0.3">
      <c r="A363" s="393"/>
      <c r="B363" s="394"/>
      <c r="C363" s="320"/>
      <c r="D363" s="395"/>
      <c r="E363" s="249"/>
      <c r="F363" s="396"/>
      <c r="G363" s="396"/>
      <c r="H363" s="396"/>
      <c r="I363" s="396"/>
      <c r="J363" s="397"/>
      <c r="K363" s="397"/>
      <c r="L363" s="397"/>
      <c r="M363" s="397"/>
      <c r="N363" s="397"/>
      <c r="O363" s="397"/>
      <c r="P363" s="397"/>
      <c r="Q363" s="397"/>
      <c r="R363" s="397"/>
      <c r="S363" s="397"/>
      <c r="T363" s="397"/>
      <c r="U363" s="397"/>
      <c r="V363" s="398"/>
      <c r="W363" s="398"/>
      <c r="X363" s="397"/>
    </row>
    <row r="364" spans="1:24" x14ac:dyDescent="0.3">
      <c r="A364" s="393"/>
      <c r="B364" s="394"/>
      <c r="C364" s="320"/>
      <c r="D364" s="395"/>
      <c r="E364" s="249"/>
      <c r="F364" s="396"/>
      <c r="G364" s="396"/>
      <c r="H364" s="396"/>
      <c r="I364" s="396"/>
      <c r="J364" s="397"/>
      <c r="K364" s="397"/>
      <c r="L364" s="397"/>
      <c r="M364" s="397"/>
      <c r="N364" s="397"/>
      <c r="O364" s="397"/>
      <c r="P364" s="397"/>
      <c r="Q364" s="397"/>
      <c r="R364" s="397"/>
      <c r="S364" s="397"/>
      <c r="T364" s="397"/>
      <c r="U364" s="397"/>
      <c r="V364" s="398"/>
      <c r="W364" s="398"/>
      <c r="X364" s="397"/>
    </row>
    <row r="365" spans="1:24" x14ac:dyDescent="0.3">
      <c r="A365" s="393"/>
      <c r="B365" s="394"/>
      <c r="C365" s="320"/>
      <c r="D365" s="395"/>
      <c r="E365" s="249"/>
      <c r="F365" s="396"/>
      <c r="G365" s="396"/>
      <c r="H365" s="396"/>
      <c r="I365" s="396"/>
      <c r="J365" s="397"/>
      <c r="K365" s="397"/>
      <c r="L365" s="397"/>
      <c r="M365" s="397"/>
      <c r="N365" s="397"/>
      <c r="O365" s="397"/>
      <c r="P365" s="397"/>
      <c r="Q365" s="397"/>
      <c r="R365" s="397"/>
      <c r="S365" s="397"/>
      <c r="T365" s="397"/>
      <c r="U365" s="397"/>
      <c r="V365" s="398"/>
      <c r="W365" s="398"/>
      <c r="X365" s="397"/>
    </row>
    <row r="366" spans="1:24" x14ac:dyDescent="0.3">
      <c r="A366" s="393"/>
      <c r="B366" s="394"/>
      <c r="C366" s="320"/>
      <c r="D366" s="395"/>
      <c r="E366" s="249"/>
      <c r="F366" s="396"/>
      <c r="G366" s="396"/>
      <c r="H366" s="396"/>
      <c r="I366" s="396"/>
      <c r="J366" s="397"/>
      <c r="K366" s="397"/>
      <c r="L366" s="397"/>
      <c r="M366" s="397"/>
      <c r="N366" s="397"/>
      <c r="O366" s="397"/>
      <c r="P366" s="397"/>
      <c r="Q366" s="397"/>
      <c r="R366" s="397"/>
      <c r="S366" s="397"/>
      <c r="T366" s="397"/>
      <c r="U366" s="397"/>
      <c r="V366" s="398"/>
      <c r="W366" s="398"/>
      <c r="X366" s="397"/>
    </row>
    <row r="367" spans="1:24" x14ac:dyDescent="0.3">
      <c r="A367" s="393"/>
      <c r="B367" s="394"/>
      <c r="C367" s="320"/>
      <c r="D367" s="395"/>
      <c r="E367" s="249"/>
      <c r="F367" s="396"/>
      <c r="G367" s="396"/>
      <c r="H367" s="396"/>
      <c r="I367" s="396"/>
      <c r="J367" s="397"/>
      <c r="K367" s="397"/>
      <c r="L367" s="397"/>
      <c r="M367" s="397"/>
      <c r="N367" s="397"/>
      <c r="O367" s="397"/>
      <c r="P367" s="397"/>
      <c r="Q367" s="397"/>
      <c r="R367" s="397"/>
      <c r="S367" s="397"/>
      <c r="T367" s="397"/>
      <c r="U367" s="397"/>
      <c r="V367" s="398"/>
      <c r="W367" s="398"/>
      <c r="X367" s="397"/>
    </row>
    <row r="368" spans="1:24" x14ac:dyDescent="0.3">
      <c r="A368" s="393"/>
      <c r="B368" s="394"/>
      <c r="C368" s="320"/>
      <c r="D368" s="395"/>
      <c r="E368" s="249"/>
      <c r="F368" s="396"/>
      <c r="G368" s="396"/>
      <c r="H368" s="396"/>
      <c r="I368" s="396"/>
      <c r="J368" s="397"/>
      <c r="K368" s="397"/>
      <c r="L368" s="397"/>
      <c r="M368" s="397"/>
      <c r="N368" s="397"/>
      <c r="O368" s="397"/>
      <c r="P368" s="397"/>
      <c r="Q368" s="397"/>
      <c r="R368" s="397"/>
      <c r="S368" s="397"/>
      <c r="T368" s="397"/>
      <c r="U368" s="397"/>
      <c r="V368" s="398"/>
      <c r="W368" s="398"/>
      <c r="X368" s="397"/>
    </row>
    <row r="369" spans="1:24" x14ac:dyDescent="0.3">
      <c r="A369" s="393"/>
      <c r="B369" s="394"/>
      <c r="C369" s="320"/>
      <c r="D369" s="395"/>
      <c r="E369" s="249"/>
      <c r="F369" s="396"/>
      <c r="G369" s="396"/>
      <c r="H369" s="396"/>
      <c r="I369" s="396"/>
      <c r="J369" s="397"/>
      <c r="K369" s="397"/>
      <c r="L369" s="397"/>
      <c r="M369" s="397"/>
      <c r="N369" s="397"/>
      <c r="O369" s="397"/>
      <c r="P369" s="397"/>
      <c r="Q369" s="397"/>
      <c r="R369" s="397"/>
      <c r="S369" s="397"/>
      <c r="T369" s="397"/>
      <c r="U369" s="397"/>
      <c r="V369" s="398"/>
      <c r="W369" s="398"/>
      <c r="X369" s="397"/>
    </row>
    <row r="370" spans="1:24" x14ac:dyDescent="0.3">
      <c r="A370" s="393"/>
      <c r="B370" s="394"/>
      <c r="C370" s="320"/>
      <c r="D370" s="395"/>
      <c r="E370" s="249"/>
      <c r="F370" s="396"/>
      <c r="G370" s="396"/>
      <c r="H370" s="396"/>
      <c r="I370" s="396"/>
      <c r="J370" s="397"/>
      <c r="K370" s="397"/>
      <c r="L370" s="397"/>
      <c r="M370" s="397"/>
      <c r="N370" s="397"/>
      <c r="O370" s="397"/>
      <c r="P370" s="397"/>
      <c r="Q370" s="397"/>
      <c r="R370" s="397"/>
      <c r="S370" s="397"/>
      <c r="T370" s="397"/>
      <c r="U370" s="397"/>
      <c r="V370" s="398"/>
      <c r="W370" s="398"/>
      <c r="X370" s="397"/>
    </row>
    <row r="371" spans="1:24" x14ac:dyDescent="0.3">
      <c r="A371" s="393"/>
      <c r="B371" s="394"/>
      <c r="C371" s="320"/>
      <c r="D371" s="395"/>
      <c r="E371" s="249"/>
      <c r="F371" s="396"/>
      <c r="G371" s="396"/>
      <c r="H371" s="396"/>
      <c r="I371" s="396"/>
      <c r="J371" s="397"/>
      <c r="K371" s="397"/>
      <c r="L371" s="397"/>
      <c r="M371" s="397"/>
      <c r="N371" s="397"/>
      <c r="O371" s="397"/>
      <c r="P371" s="397"/>
      <c r="Q371" s="397"/>
      <c r="R371" s="397"/>
      <c r="S371" s="397"/>
      <c r="T371" s="397"/>
      <c r="U371" s="397"/>
      <c r="V371" s="398"/>
      <c r="W371" s="398"/>
      <c r="X371" s="397"/>
    </row>
    <row r="372" spans="1:24" x14ac:dyDescent="0.3">
      <c r="A372" s="393"/>
      <c r="B372" s="394"/>
      <c r="C372" s="320"/>
      <c r="D372" s="395"/>
      <c r="E372" s="249"/>
      <c r="F372" s="396"/>
      <c r="G372" s="396"/>
      <c r="H372" s="396"/>
      <c r="I372" s="396"/>
      <c r="J372" s="397"/>
      <c r="K372" s="397"/>
      <c r="L372" s="397"/>
      <c r="M372" s="397"/>
      <c r="N372" s="397"/>
      <c r="O372" s="397"/>
      <c r="P372" s="397"/>
      <c r="Q372" s="397"/>
      <c r="R372" s="397"/>
      <c r="S372" s="397"/>
      <c r="T372" s="397"/>
      <c r="U372" s="397"/>
      <c r="V372" s="398"/>
      <c r="W372" s="398"/>
      <c r="X372" s="397"/>
    </row>
    <row r="373" spans="1:24" x14ac:dyDescent="0.3">
      <c r="A373" s="393"/>
      <c r="B373" s="394"/>
      <c r="C373" s="320"/>
      <c r="D373" s="395"/>
      <c r="E373" s="249"/>
      <c r="F373" s="396"/>
      <c r="G373" s="396"/>
      <c r="H373" s="396"/>
      <c r="I373" s="396"/>
      <c r="J373" s="397"/>
      <c r="K373" s="397"/>
      <c r="L373" s="397"/>
      <c r="M373" s="397"/>
      <c r="N373" s="397"/>
      <c r="O373" s="397"/>
      <c r="P373" s="397"/>
      <c r="Q373" s="397"/>
      <c r="R373" s="397"/>
      <c r="S373" s="397"/>
      <c r="T373" s="397"/>
      <c r="U373" s="397"/>
      <c r="V373" s="398"/>
      <c r="W373" s="398"/>
      <c r="X373" s="397"/>
    </row>
    <row r="374" spans="1:24" x14ac:dyDescent="0.3">
      <c r="A374" s="393"/>
      <c r="B374" s="394"/>
      <c r="C374" s="320"/>
      <c r="D374" s="395"/>
      <c r="E374" s="249"/>
      <c r="F374" s="396"/>
      <c r="G374" s="396"/>
      <c r="H374" s="396"/>
      <c r="I374" s="396"/>
      <c r="J374" s="397"/>
      <c r="K374" s="397"/>
      <c r="L374" s="397"/>
      <c r="M374" s="397"/>
      <c r="N374" s="397"/>
      <c r="O374" s="397"/>
      <c r="P374" s="397"/>
      <c r="Q374" s="397"/>
      <c r="R374" s="397"/>
      <c r="S374" s="397"/>
      <c r="T374" s="397"/>
      <c r="U374" s="397"/>
      <c r="V374" s="398"/>
      <c r="W374" s="398"/>
      <c r="X374" s="397"/>
    </row>
    <row r="375" spans="1:24" x14ac:dyDescent="0.3">
      <c r="A375" s="393"/>
      <c r="B375" s="394"/>
      <c r="C375" s="320"/>
      <c r="D375" s="395"/>
      <c r="E375" s="249"/>
      <c r="F375" s="396"/>
      <c r="G375" s="396"/>
      <c r="H375" s="396"/>
      <c r="I375" s="396"/>
      <c r="J375" s="397"/>
      <c r="K375" s="397"/>
      <c r="L375" s="397"/>
      <c r="M375" s="397"/>
      <c r="N375" s="397"/>
      <c r="O375" s="397"/>
      <c r="P375" s="397"/>
      <c r="Q375" s="397"/>
      <c r="R375" s="397"/>
      <c r="S375" s="397"/>
      <c r="T375" s="397"/>
      <c r="U375" s="397"/>
      <c r="V375" s="398"/>
      <c r="W375" s="398"/>
      <c r="X375" s="397"/>
    </row>
    <row r="376" spans="1:24" x14ac:dyDescent="0.3">
      <c r="A376" s="393"/>
      <c r="B376" s="394"/>
      <c r="C376" s="320"/>
      <c r="D376" s="395"/>
      <c r="E376" s="249"/>
      <c r="F376" s="396"/>
      <c r="G376" s="396"/>
      <c r="H376" s="396"/>
      <c r="I376" s="396"/>
      <c r="J376" s="397"/>
      <c r="K376" s="397"/>
      <c r="L376" s="397"/>
      <c r="M376" s="397"/>
      <c r="N376" s="397"/>
      <c r="O376" s="397"/>
      <c r="P376" s="397"/>
      <c r="Q376" s="397"/>
      <c r="R376" s="397"/>
      <c r="S376" s="397"/>
      <c r="T376" s="397"/>
      <c r="U376" s="397"/>
      <c r="V376" s="398"/>
      <c r="W376" s="398"/>
      <c r="X376" s="397"/>
    </row>
    <row r="377" spans="1:24" x14ac:dyDescent="0.3">
      <c r="A377" s="393"/>
      <c r="B377" s="394"/>
      <c r="C377" s="320"/>
      <c r="D377" s="395"/>
      <c r="E377" s="249"/>
      <c r="F377" s="396"/>
      <c r="G377" s="396"/>
      <c r="H377" s="396"/>
      <c r="I377" s="396"/>
      <c r="J377" s="397"/>
      <c r="K377" s="397"/>
      <c r="L377" s="397"/>
      <c r="M377" s="397"/>
      <c r="N377" s="397"/>
      <c r="O377" s="397"/>
      <c r="P377" s="397"/>
      <c r="Q377" s="397"/>
      <c r="R377" s="397"/>
      <c r="S377" s="397"/>
      <c r="T377" s="397"/>
      <c r="U377" s="397"/>
      <c r="V377" s="398"/>
      <c r="W377" s="398"/>
      <c r="X377" s="397"/>
    </row>
    <row r="378" spans="1:24" x14ac:dyDescent="0.3">
      <c r="A378" s="393"/>
      <c r="B378" s="394"/>
      <c r="C378" s="320"/>
      <c r="D378" s="395"/>
      <c r="E378" s="249"/>
      <c r="F378" s="396"/>
      <c r="G378" s="396"/>
      <c r="H378" s="396"/>
      <c r="I378" s="396"/>
      <c r="J378" s="397"/>
      <c r="K378" s="397"/>
      <c r="L378" s="397"/>
      <c r="M378" s="397"/>
      <c r="N378" s="397"/>
      <c r="O378" s="397"/>
      <c r="P378" s="397"/>
      <c r="Q378" s="397"/>
      <c r="R378" s="397"/>
      <c r="S378" s="397"/>
      <c r="T378" s="397"/>
      <c r="U378" s="397"/>
      <c r="V378" s="398"/>
      <c r="W378" s="398"/>
      <c r="X378" s="397"/>
    </row>
    <row r="379" spans="1:24" x14ac:dyDescent="0.3">
      <c r="A379" s="393"/>
      <c r="B379" s="394"/>
      <c r="C379" s="320"/>
      <c r="D379" s="395"/>
      <c r="E379" s="249"/>
      <c r="F379" s="396"/>
      <c r="G379" s="396"/>
      <c r="H379" s="396"/>
      <c r="I379" s="396"/>
      <c r="J379" s="397"/>
      <c r="K379" s="397"/>
      <c r="L379" s="397"/>
      <c r="M379" s="397"/>
      <c r="N379" s="397"/>
      <c r="O379" s="397"/>
      <c r="P379" s="397"/>
      <c r="Q379" s="397"/>
      <c r="R379" s="397"/>
      <c r="S379" s="397"/>
      <c r="T379" s="397"/>
      <c r="U379" s="397"/>
      <c r="V379" s="398"/>
      <c r="W379" s="398"/>
      <c r="X379" s="397"/>
    </row>
    <row r="380" spans="1:24" x14ac:dyDescent="0.3">
      <c r="A380" s="393"/>
      <c r="B380" s="394"/>
      <c r="C380" s="320"/>
      <c r="D380" s="395"/>
      <c r="E380" s="249"/>
      <c r="F380" s="396"/>
      <c r="G380" s="396"/>
      <c r="H380" s="396"/>
      <c r="I380" s="396"/>
      <c r="J380" s="397"/>
      <c r="K380" s="397"/>
      <c r="L380" s="397"/>
      <c r="M380" s="397"/>
      <c r="N380" s="397"/>
      <c r="O380" s="397"/>
      <c r="P380" s="397"/>
      <c r="Q380" s="397"/>
      <c r="R380" s="397"/>
      <c r="S380" s="397"/>
      <c r="T380" s="397"/>
      <c r="U380" s="397"/>
      <c r="V380" s="398"/>
      <c r="W380" s="398"/>
      <c r="X380" s="397"/>
    </row>
    <row r="381" spans="1:24" x14ac:dyDescent="0.3">
      <c r="A381" s="393"/>
      <c r="B381" s="394"/>
      <c r="C381" s="320"/>
      <c r="D381" s="395"/>
      <c r="E381" s="249"/>
      <c r="F381" s="396"/>
      <c r="G381" s="396"/>
      <c r="H381" s="396"/>
      <c r="I381" s="396"/>
      <c r="J381" s="397"/>
      <c r="K381" s="397"/>
      <c r="L381" s="397"/>
      <c r="M381" s="397"/>
      <c r="N381" s="397"/>
      <c r="O381" s="397"/>
      <c r="P381" s="397"/>
      <c r="Q381" s="397"/>
      <c r="R381" s="397"/>
      <c r="S381" s="397"/>
      <c r="T381" s="397"/>
      <c r="U381" s="397"/>
      <c r="V381" s="398"/>
      <c r="W381" s="398"/>
      <c r="X381" s="397"/>
    </row>
    <row r="382" spans="1:24" x14ac:dyDescent="0.3">
      <c r="A382" s="393"/>
      <c r="B382" s="394"/>
      <c r="C382" s="320"/>
      <c r="D382" s="395"/>
      <c r="E382" s="249"/>
      <c r="F382" s="396"/>
      <c r="G382" s="396"/>
      <c r="H382" s="396"/>
      <c r="I382" s="396"/>
      <c r="J382" s="397"/>
      <c r="K382" s="397"/>
      <c r="L382" s="397"/>
      <c r="M382" s="397"/>
      <c r="N382" s="397"/>
      <c r="O382" s="397"/>
      <c r="P382" s="397"/>
      <c r="Q382" s="397"/>
      <c r="R382" s="397"/>
      <c r="S382" s="397"/>
      <c r="T382" s="397"/>
      <c r="U382" s="397"/>
      <c r="V382" s="398"/>
      <c r="W382" s="398"/>
      <c r="X382" s="397"/>
    </row>
    <row r="383" spans="1:24" x14ac:dyDescent="0.3">
      <c r="A383" s="393"/>
      <c r="B383" s="394"/>
      <c r="C383" s="320"/>
      <c r="D383" s="395"/>
      <c r="E383" s="249"/>
      <c r="F383" s="396"/>
      <c r="G383" s="396"/>
      <c r="H383" s="396"/>
      <c r="I383" s="396"/>
      <c r="J383" s="397"/>
      <c r="K383" s="397"/>
      <c r="L383" s="397"/>
      <c r="M383" s="397"/>
      <c r="N383" s="397"/>
      <c r="O383" s="397"/>
      <c r="P383" s="397"/>
      <c r="Q383" s="397"/>
      <c r="R383" s="397"/>
      <c r="S383" s="397"/>
      <c r="T383" s="397"/>
      <c r="U383" s="397"/>
      <c r="V383" s="398"/>
      <c r="W383" s="398"/>
      <c r="X383" s="397"/>
    </row>
    <row r="384" spans="1:24" x14ac:dyDescent="0.3">
      <c r="A384" s="393"/>
      <c r="B384" s="394"/>
      <c r="C384" s="320"/>
      <c r="D384" s="395"/>
      <c r="E384" s="249"/>
      <c r="F384" s="396"/>
      <c r="G384" s="396"/>
      <c r="H384" s="396"/>
      <c r="I384" s="396"/>
      <c r="J384" s="397"/>
      <c r="K384" s="397"/>
      <c r="L384" s="397"/>
      <c r="M384" s="397"/>
      <c r="N384" s="397"/>
      <c r="O384" s="397"/>
      <c r="P384" s="397"/>
      <c r="Q384" s="397"/>
      <c r="R384" s="397"/>
      <c r="S384" s="397"/>
      <c r="T384" s="397"/>
      <c r="U384" s="397"/>
      <c r="V384" s="398"/>
      <c r="W384" s="398"/>
      <c r="X384" s="397"/>
    </row>
    <row r="385" spans="1:24" x14ac:dyDescent="0.3">
      <c r="A385" s="393"/>
      <c r="B385" s="394"/>
      <c r="C385" s="320"/>
      <c r="D385" s="395"/>
      <c r="E385" s="249"/>
      <c r="F385" s="396"/>
      <c r="G385" s="396"/>
      <c r="H385" s="396"/>
      <c r="I385" s="396"/>
      <c r="J385" s="397"/>
      <c r="K385" s="397"/>
      <c r="L385" s="397"/>
      <c r="M385" s="397"/>
      <c r="N385" s="397"/>
      <c r="O385" s="397"/>
      <c r="P385" s="397"/>
      <c r="Q385" s="397"/>
      <c r="R385" s="397"/>
      <c r="S385" s="397"/>
      <c r="T385" s="397"/>
      <c r="U385" s="397"/>
      <c r="V385" s="398"/>
      <c r="W385" s="398"/>
      <c r="X385" s="397"/>
    </row>
    <row r="386" spans="1:24" x14ac:dyDescent="0.3">
      <c r="A386" s="393"/>
      <c r="B386" s="394"/>
      <c r="C386" s="320"/>
      <c r="D386" s="395"/>
      <c r="E386" s="249"/>
      <c r="F386" s="396"/>
      <c r="G386" s="396"/>
      <c r="H386" s="396"/>
      <c r="I386" s="396"/>
      <c r="J386" s="397"/>
      <c r="K386" s="397"/>
      <c r="L386" s="397"/>
      <c r="M386" s="397"/>
      <c r="N386" s="397"/>
      <c r="O386" s="397"/>
      <c r="P386" s="397"/>
      <c r="Q386" s="397"/>
      <c r="R386" s="397"/>
      <c r="S386" s="397"/>
      <c r="T386" s="397"/>
      <c r="U386" s="397"/>
      <c r="V386" s="398"/>
      <c r="W386" s="398"/>
      <c r="X386" s="397"/>
    </row>
    <row r="387" spans="1:24" x14ac:dyDescent="0.3">
      <c r="A387" s="393"/>
      <c r="B387" s="394"/>
      <c r="C387" s="320"/>
      <c r="D387" s="395"/>
      <c r="E387" s="249"/>
      <c r="F387" s="396"/>
      <c r="G387" s="396"/>
      <c r="H387" s="396"/>
      <c r="I387" s="396"/>
      <c r="J387" s="397"/>
      <c r="K387" s="397"/>
      <c r="L387" s="397"/>
      <c r="M387" s="397"/>
      <c r="N387" s="397"/>
      <c r="O387" s="397"/>
      <c r="P387" s="397"/>
      <c r="Q387" s="397"/>
      <c r="R387" s="397"/>
      <c r="S387" s="397"/>
      <c r="T387" s="397"/>
      <c r="U387" s="397"/>
      <c r="V387" s="398"/>
      <c r="W387" s="398"/>
      <c r="X387" s="397"/>
    </row>
    <row r="388" spans="1:24" x14ac:dyDescent="0.3">
      <c r="A388" s="393"/>
      <c r="B388" s="394"/>
      <c r="C388" s="320"/>
      <c r="D388" s="395"/>
      <c r="E388" s="249"/>
      <c r="F388" s="396"/>
      <c r="G388" s="396"/>
      <c r="H388" s="396"/>
      <c r="I388" s="396"/>
      <c r="J388" s="397"/>
      <c r="K388" s="397"/>
      <c r="L388" s="397"/>
      <c r="M388" s="397"/>
      <c r="N388" s="397"/>
      <c r="O388" s="397"/>
      <c r="P388" s="397"/>
      <c r="Q388" s="397"/>
      <c r="R388" s="397"/>
      <c r="S388" s="397"/>
      <c r="T388" s="397"/>
      <c r="U388" s="397"/>
      <c r="V388" s="398"/>
      <c r="W388" s="398"/>
      <c r="X388" s="397"/>
    </row>
    <row r="389" spans="1:24" x14ac:dyDescent="0.3">
      <c r="A389" s="393"/>
      <c r="B389" s="394"/>
      <c r="C389" s="320"/>
      <c r="D389" s="395"/>
      <c r="E389" s="249"/>
      <c r="F389" s="396"/>
      <c r="G389" s="396"/>
      <c r="H389" s="396"/>
      <c r="I389" s="396"/>
      <c r="J389" s="397"/>
      <c r="K389" s="397"/>
      <c r="L389" s="397"/>
      <c r="M389" s="397"/>
      <c r="N389" s="397"/>
      <c r="O389" s="397"/>
      <c r="P389" s="397"/>
      <c r="Q389" s="397"/>
      <c r="R389" s="397"/>
      <c r="S389" s="397"/>
      <c r="T389" s="397"/>
      <c r="U389" s="397"/>
      <c r="V389" s="398"/>
      <c r="W389" s="398"/>
      <c r="X389" s="397"/>
    </row>
    <row r="390" spans="1:24" x14ac:dyDescent="0.3">
      <c r="A390" s="393"/>
      <c r="B390" s="394"/>
      <c r="C390" s="320"/>
      <c r="D390" s="395"/>
      <c r="E390" s="249"/>
      <c r="F390" s="396"/>
      <c r="G390" s="396"/>
      <c r="H390" s="396"/>
      <c r="I390" s="396"/>
      <c r="J390" s="397"/>
      <c r="K390" s="397"/>
      <c r="L390" s="397"/>
      <c r="M390" s="397"/>
      <c r="N390" s="397"/>
      <c r="O390" s="397"/>
      <c r="P390" s="397"/>
      <c r="Q390" s="397"/>
      <c r="R390" s="397"/>
      <c r="S390" s="397"/>
      <c r="T390" s="397"/>
      <c r="U390" s="397"/>
      <c r="V390" s="398"/>
      <c r="W390" s="398"/>
      <c r="X390" s="397"/>
    </row>
    <row r="391" spans="1:24" x14ac:dyDescent="0.3">
      <c r="A391" s="393"/>
      <c r="B391" s="394"/>
      <c r="C391" s="320"/>
      <c r="D391" s="395"/>
      <c r="E391" s="249"/>
      <c r="F391" s="396"/>
      <c r="G391" s="396"/>
      <c r="H391" s="396"/>
      <c r="I391" s="396"/>
      <c r="J391" s="397"/>
      <c r="K391" s="397"/>
      <c r="L391" s="397"/>
      <c r="M391" s="397"/>
      <c r="N391" s="397"/>
      <c r="O391" s="397"/>
      <c r="P391" s="397"/>
      <c r="Q391" s="397"/>
      <c r="R391" s="397"/>
      <c r="S391" s="397"/>
      <c r="T391" s="397"/>
      <c r="U391" s="397"/>
      <c r="V391" s="398"/>
      <c r="W391" s="398"/>
      <c r="X391" s="397"/>
    </row>
    <row r="392" spans="1:24" x14ac:dyDescent="0.3">
      <c r="A392" s="393"/>
      <c r="B392" s="394"/>
      <c r="C392" s="320"/>
      <c r="D392" s="395"/>
      <c r="E392" s="249"/>
      <c r="F392" s="396"/>
      <c r="G392" s="396"/>
      <c r="H392" s="396"/>
      <c r="I392" s="396"/>
      <c r="J392" s="397"/>
      <c r="K392" s="397"/>
      <c r="L392" s="397"/>
      <c r="M392" s="397"/>
      <c r="N392" s="397"/>
      <c r="O392" s="397"/>
      <c r="P392" s="397"/>
      <c r="Q392" s="397"/>
      <c r="R392" s="397"/>
      <c r="S392" s="397"/>
      <c r="T392" s="397"/>
      <c r="U392" s="397"/>
      <c r="V392" s="398"/>
      <c r="W392" s="398"/>
      <c r="X392" s="397"/>
    </row>
    <row r="393" spans="1:24" x14ac:dyDescent="0.3">
      <c r="A393" s="393"/>
      <c r="B393" s="394"/>
      <c r="C393" s="320"/>
      <c r="D393" s="395"/>
      <c r="E393" s="249"/>
      <c r="F393" s="396"/>
      <c r="G393" s="396"/>
      <c r="H393" s="396"/>
      <c r="I393" s="396"/>
      <c r="J393" s="397"/>
      <c r="K393" s="397"/>
      <c r="L393" s="397"/>
      <c r="M393" s="397"/>
      <c r="N393" s="397"/>
      <c r="O393" s="397"/>
      <c r="P393" s="397"/>
      <c r="Q393" s="397"/>
      <c r="R393" s="397"/>
      <c r="S393" s="397"/>
      <c r="T393" s="397"/>
      <c r="U393" s="397"/>
      <c r="V393" s="398"/>
      <c r="W393" s="398"/>
      <c r="X393" s="397"/>
    </row>
    <row r="394" spans="1:24" x14ac:dyDescent="0.3">
      <c r="A394" s="393"/>
      <c r="B394" s="394"/>
      <c r="C394" s="320"/>
      <c r="D394" s="395"/>
      <c r="E394" s="249"/>
      <c r="F394" s="396"/>
      <c r="G394" s="396"/>
      <c r="H394" s="396"/>
      <c r="I394" s="396"/>
      <c r="J394" s="397"/>
      <c r="K394" s="397"/>
      <c r="L394" s="397"/>
      <c r="M394" s="397"/>
      <c r="N394" s="397"/>
      <c r="O394" s="397"/>
      <c r="P394" s="397"/>
      <c r="Q394" s="397"/>
      <c r="R394" s="397"/>
      <c r="S394" s="397"/>
      <c r="T394" s="397"/>
      <c r="U394" s="397"/>
      <c r="V394" s="398"/>
      <c r="W394" s="398"/>
      <c r="X394" s="397"/>
    </row>
    <row r="395" spans="1:24" x14ac:dyDescent="0.3">
      <c r="A395" s="393"/>
      <c r="B395" s="394"/>
      <c r="C395" s="320"/>
      <c r="D395" s="395"/>
      <c r="E395" s="249"/>
      <c r="F395" s="396"/>
      <c r="G395" s="396"/>
      <c r="H395" s="396"/>
      <c r="I395" s="396"/>
      <c r="J395" s="397"/>
      <c r="K395" s="397"/>
      <c r="L395" s="397"/>
      <c r="M395" s="397"/>
      <c r="N395" s="397"/>
      <c r="O395" s="397"/>
      <c r="P395" s="397"/>
      <c r="Q395" s="397"/>
      <c r="R395" s="397"/>
      <c r="S395" s="397"/>
      <c r="T395" s="397"/>
      <c r="U395" s="397"/>
      <c r="V395" s="398"/>
      <c r="W395" s="398"/>
      <c r="X395" s="397"/>
    </row>
    <row r="396" spans="1:24" x14ac:dyDescent="0.3">
      <c r="A396" s="393"/>
      <c r="B396" s="394"/>
      <c r="C396" s="320"/>
      <c r="D396" s="395"/>
      <c r="E396" s="249"/>
      <c r="F396" s="396"/>
      <c r="G396" s="396"/>
      <c r="H396" s="396"/>
      <c r="I396" s="396"/>
      <c r="J396" s="397"/>
      <c r="K396" s="397"/>
      <c r="L396" s="397"/>
      <c r="M396" s="397"/>
      <c r="N396" s="397"/>
      <c r="O396" s="397"/>
      <c r="P396" s="397"/>
      <c r="Q396" s="397"/>
      <c r="R396" s="397"/>
      <c r="S396" s="397"/>
      <c r="T396" s="397"/>
      <c r="U396" s="397"/>
      <c r="V396" s="398"/>
      <c r="W396" s="398"/>
      <c r="X396" s="397"/>
    </row>
    <row r="397" spans="1:24" x14ac:dyDescent="0.3">
      <c r="A397" s="393"/>
      <c r="B397" s="394"/>
      <c r="C397" s="320"/>
      <c r="D397" s="395"/>
      <c r="E397" s="249"/>
      <c r="F397" s="396"/>
      <c r="G397" s="396"/>
      <c r="H397" s="396"/>
      <c r="I397" s="396"/>
      <c r="J397" s="397"/>
      <c r="K397" s="397"/>
      <c r="L397" s="397"/>
      <c r="M397" s="397"/>
      <c r="N397" s="397"/>
      <c r="O397" s="397"/>
      <c r="P397" s="397"/>
      <c r="Q397" s="397"/>
      <c r="R397" s="397"/>
      <c r="S397" s="397"/>
      <c r="T397" s="397"/>
      <c r="U397" s="397"/>
      <c r="V397" s="398"/>
      <c r="W397" s="398"/>
      <c r="X397" s="397"/>
    </row>
    <row r="398" spans="1:24" x14ac:dyDescent="0.3">
      <c r="A398" s="393"/>
      <c r="B398" s="394"/>
      <c r="C398" s="320"/>
      <c r="D398" s="395"/>
      <c r="E398" s="249"/>
      <c r="F398" s="396"/>
      <c r="G398" s="396"/>
      <c r="H398" s="396"/>
      <c r="I398" s="396"/>
      <c r="J398" s="397"/>
      <c r="K398" s="397"/>
      <c r="L398" s="397"/>
      <c r="M398" s="397"/>
      <c r="N398" s="397"/>
      <c r="O398" s="397"/>
      <c r="P398" s="397"/>
      <c r="Q398" s="397"/>
      <c r="R398" s="397"/>
      <c r="S398" s="397"/>
      <c r="T398" s="397"/>
      <c r="U398" s="397"/>
      <c r="V398" s="398"/>
      <c r="W398" s="398"/>
      <c r="X398" s="397"/>
    </row>
    <row r="399" spans="1:24" x14ac:dyDescent="0.3">
      <c r="A399" s="393"/>
      <c r="B399" s="394"/>
      <c r="C399" s="320"/>
      <c r="D399" s="395"/>
      <c r="E399" s="249"/>
      <c r="F399" s="396"/>
      <c r="G399" s="396"/>
      <c r="H399" s="396"/>
      <c r="I399" s="396"/>
      <c r="J399" s="397"/>
      <c r="K399" s="397"/>
      <c r="L399" s="397"/>
      <c r="M399" s="397"/>
      <c r="N399" s="397"/>
      <c r="O399" s="397"/>
      <c r="P399" s="397"/>
      <c r="Q399" s="397"/>
      <c r="R399" s="397"/>
      <c r="S399" s="397"/>
      <c r="T399" s="397"/>
      <c r="U399" s="397"/>
      <c r="V399" s="398"/>
      <c r="W399" s="398"/>
      <c r="X399" s="397"/>
    </row>
    <row r="400" spans="1:24" x14ac:dyDescent="0.3">
      <c r="A400" s="393"/>
      <c r="B400" s="394"/>
      <c r="C400" s="320"/>
      <c r="D400" s="395"/>
      <c r="E400" s="249"/>
      <c r="F400" s="396"/>
      <c r="G400" s="396"/>
      <c r="H400" s="396"/>
      <c r="I400" s="396"/>
      <c r="J400" s="397"/>
      <c r="K400" s="397"/>
      <c r="L400" s="397"/>
      <c r="M400" s="397"/>
      <c r="N400" s="397"/>
      <c r="O400" s="397"/>
      <c r="P400" s="397"/>
      <c r="Q400" s="397"/>
      <c r="R400" s="397"/>
      <c r="S400" s="397"/>
      <c r="T400" s="397"/>
      <c r="U400" s="397"/>
      <c r="V400" s="398"/>
      <c r="W400" s="398"/>
      <c r="X400" s="397"/>
    </row>
    <row r="401" spans="1:24" x14ac:dyDescent="0.3">
      <c r="A401" s="393"/>
      <c r="B401" s="394"/>
      <c r="C401" s="320"/>
      <c r="D401" s="395"/>
      <c r="E401" s="249"/>
      <c r="F401" s="396"/>
      <c r="G401" s="396"/>
      <c r="H401" s="396"/>
      <c r="I401" s="396"/>
      <c r="J401" s="397"/>
      <c r="K401" s="397"/>
      <c r="L401" s="397"/>
      <c r="M401" s="397"/>
      <c r="N401" s="397"/>
      <c r="O401" s="397"/>
      <c r="P401" s="397"/>
      <c r="Q401" s="397"/>
      <c r="R401" s="397"/>
      <c r="S401" s="397"/>
      <c r="T401" s="397"/>
      <c r="U401" s="397"/>
      <c r="V401" s="398"/>
      <c r="W401" s="398"/>
      <c r="X401" s="397"/>
    </row>
    <row r="402" spans="1:24" x14ac:dyDescent="0.3">
      <c r="A402" s="393"/>
      <c r="B402" s="394"/>
      <c r="C402" s="320"/>
      <c r="D402" s="395"/>
      <c r="E402" s="249"/>
      <c r="F402" s="396"/>
      <c r="G402" s="396"/>
      <c r="H402" s="396"/>
      <c r="I402" s="396"/>
      <c r="J402" s="397"/>
      <c r="K402" s="397"/>
      <c r="L402" s="397"/>
      <c r="M402" s="397"/>
      <c r="N402" s="397"/>
      <c r="O402" s="397"/>
      <c r="P402" s="397"/>
      <c r="Q402" s="397"/>
      <c r="R402" s="397"/>
      <c r="S402" s="397"/>
      <c r="T402" s="397"/>
      <c r="U402" s="397"/>
      <c r="V402" s="398"/>
      <c r="W402" s="398"/>
      <c r="X402" s="397"/>
    </row>
    <row r="403" spans="1:24" x14ac:dyDescent="0.3">
      <c r="A403" s="393"/>
      <c r="B403" s="394"/>
      <c r="C403" s="320"/>
      <c r="D403" s="395"/>
      <c r="E403" s="249"/>
      <c r="F403" s="396"/>
      <c r="G403" s="396"/>
      <c r="H403" s="396"/>
      <c r="I403" s="396"/>
      <c r="J403" s="397"/>
      <c r="K403" s="397"/>
      <c r="L403" s="397"/>
      <c r="M403" s="397"/>
      <c r="N403" s="397"/>
      <c r="O403" s="397"/>
      <c r="P403" s="397"/>
      <c r="Q403" s="397"/>
      <c r="R403" s="397"/>
      <c r="S403" s="397"/>
      <c r="T403" s="397"/>
      <c r="U403" s="397"/>
      <c r="V403" s="398"/>
      <c r="W403" s="398"/>
      <c r="X403" s="397"/>
    </row>
    <row r="404" spans="1:24" x14ac:dyDescent="0.3">
      <c r="A404" s="393"/>
      <c r="B404" s="394"/>
      <c r="C404" s="320"/>
      <c r="D404" s="395"/>
      <c r="E404" s="249"/>
      <c r="F404" s="396"/>
      <c r="G404" s="396"/>
      <c r="H404" s="396"/>
      <c r="I404" s="396"/>
      <c r="J404" s="397"/>
      <c r="K404" s="397"/>
      <c r="L404" s="397"/>
      <c r="M404" s="397"/>
      <c r="N404" s="397"/>
      <c r="O404" s="397"/>
      <c r="P404" s="397"/>
      <c r="Q404" s="397"/>
      <c r="R404" s="397"/>
      <c r="S404" s="397"/>
      <c r="T404" s="397"/>
      <c r="U404" s="397"/>
      <c r="V404" s="398"/>
      <c r="W404" s="398"/>
      <c r="X404" s="397"/>
    </row>
    <row r="405" spans="1:24" x14ac:dyDescent="0.3">
      <c r="A405" s="393"/>
      <c r="B405" s="394"/>
      <c r="C405" s="320"/>
      <c r="D405" s="395"/>
      <c r="E405" s="249"/>
      <c r="F405" s="396"/>
      <c r="G405" s="396"/>
      <c r="H405" s="396"/>
      <c r="I405" s="396"/>
      <c r="J405" s="397"/>
      <c r="K405" s="397"/>
      <c r="L405" s="397"/>
      <c r="M405" s="397"/>
      <c r="N405" s="397"/>
      <c r="O405" s="397"/>
      <c r="P405" s="397"/>
      <c r="Q405" s="397"/>
      <c r="R405" s="397"/>
      <c r="S405" s="397"/>
      <c r="T405" s="397"/>
      <c r="U405" s="397"/>
      <c r="V405" s="398"/>
      <c r="W405" s="398"/>
      <c r="X405" s="397"/>
    </row>
    <row r="406" spans="1:24" x14ac:dyDescent="0.3">
      <c r="A406" s="393"/>
      <c r="B406" s="394"/>
      <c r="C406" s="320"/>
      <c r="D406" s="395"/>
      <c r="E406" s="249"/>
      <c r="F406" s="396"/>
      <c r="G406" s="396"/>
      <c r="H406" s="396"/>
      <c r="I406" s="396"/>
      <c r="J406" s="397"/>
      <c r="K406" s="397"/>
      <c r="L406" s="397"/>
      <c r="M406" s="397"/>
      <c r="N406" s="397"/>
      <c r="O406" s="397"/>
      <c r="P406" s="397"/>
      <c r="Q406" s="397"/>
      <c r="R406" s="397"/>
      <c r="S406" s="397"/>
      <c r="T406" s="397"/>
      <c r="U406" s="397"/>
      <c r="V406" s="398"/>
      <c r="W406" s="398"/>
      <c r="X406" s="397"/>
    </row>
    <row r="407" spans="1:24" x14ac:dyDescent="0.3">
      <c r="A407" s="393"/>
      <c r="B407" s="394"/>
      <c r="C407" s="320"/>
      <c r="D407" s="395"/>
      <c r="E407" s="249"/>
      <c r="F407" s="396"/>
      <c r="G407" s="396"/>
      <c r="H407" s="396"/>
      <c r="I407" s="396"/>
      <c r="J407" s="397"/>
      <c r="K407" s="397"/>
      <c r="L407" s="397"/>
      <c r="M407" s="397"/>
      <c r="N407" s="397"/>
      <c r="O407" s="397"/>
      <c r="P407" s="397"/>
      <c r="Q407" s="397"/>
      <c r="R407" s="397"/>
      <c r="S407" s="397"/>
      <c r="T407" s="397"/>
      <c r="U407" s="397"/>
      <c r="V407" s="398"/>
      <c r="W407" s="398"/>
      <c r="X407" s="397"/>
    </row>
    <row r="408" spans="1:24" x14ac:dyDescent="0.3">
      <c r="A408" s="393"/>
      <c r="B408" s="394"/>
      <c r="C408" s="320"/>
      <c r="D408" s="395"/>
      <c r="E408" s="249"/>
      <c r="F408" s="396"/>
      <c r="G408" s="396"/>
      <c r="H408" s="396"/>
      <c r="I408" s="396"/>
      <c r="J408" s="397"/>
      <c r="K408" s="397"/>
      <c r="L408" s="397"/>
      <c r="M408" s="397"/>
      <c r="N408" s="397"/>
      <c r="O408" s="397"/>
      <c r="P408" s="397"/>
      <c r="Q408" s="397"/>
      <c r="R408" s="397"/>
      <c r="S408" s="397"/>
      <c r="T408" s="397"/>
      <c r="U408" s="397"/>
      <c r="V408" s="398"/>
      <c r="W408" s="398"/>
      <c r="X408" s="397"/>
    </row>
    <row r="409" spans="1:24" x14ac:dyDescent="0.3">
      <c r="A409" s="393"/>
      <c r="B409" s="394"/>
      <c r="C409" s="320"/>
      <c r="D409" s="395"/>
      <c r="E409" s="249"/>
      <c r="F409" s="396"/>
      <c r="G409" s="396"/>
      <c r="H409" s="396"/>
      <c r="I409" s="396"/>
      <c r="J409" s="397"/>
      <c r="K409" s="397"/>
      <c r="L409" s="397"/>
      <c r="M409" s="397"/>
      <c r="N409" s="397"/>
      <c r="O409" s="397"/>
      <c r="P409" s="397"/>
      <c r="Q409" s="397"/>
      <c r="R409" s="397"/>
      <c r="S409" s="397"/>
      <c r="T409" s="397"/>
      <c r="U409" s="397"/>
      <c r="V409" s="398"/>
      <c r="W409" s="398"/>
      <c r="X409" s="397"/>
    </row>
    <row r="410" spans="1:24" x14ac:dyDescent="0.3">
      <c r="A410" s="393"/>
      <c r="B410" s="394"/>
      <c r="C410" s="320"/>
      <c r="D410" s="395"/>
      <c r="E410" s="249"/>
      <c r="F410" s="396"/>
      <c r="G410" s="396"/>
      <c r="H410" s="396"/>
      <c r="I410" s="396"/>
      <c r="J410" s="397"/>
      <c r="K410" s="397"/>
      <c r="L410" s="397"/>
      <c r="M410" s="397"/>
      <c r="N410" s="397"/>
      <c r="O410" s="397"/>
      <c r="P410" s="397"/>
      <c r="Q410" s="397"/>
      <c r="R410" s="397"/>
      <c r="S410" s="397"/>
      <c r="T410" s="397"/>
      <c r="U410" s="397"/>
      <c r="V410" s="398"/>
      <c r="W410" s="398"/>
      <c r="X410" s="397"/>
    </row>
    <row r="411" spans="1:24" x14ac:dyDescent="0.3">
      <c r="A411" s="393"/>
      <c r="B411" s="394"/>
      <c r="C411" s="320"/>
      <c r="D411" s="395"/>
      <c r="E411" s="249"/>
      <c r="F411" s="396"/>
      <c r="G411" s="396"/>
      <c r="H411" s="396"/>
      <c r="I411" s="396"/>
      <c r="J411" s="397"/>
      <c r="K411" s="397"/>
      <c r="L411" s="397"/>
      <c r="M411" s="397"/>
      <c r="N411" s="397"/>
      <c r="O411" s="397"/>
      <c r="P411" s="397"/>
      <c r="Q411" s="397"/>
      <c r="R411" s="397"/>
      <c r="S411" s="397"/>
      <c r="T411" s="397"/>
      <c r="U411" s="397"/>
      <c r="V411" s="398"/>
      <c r="W411" s="398"/>
      <c r="X411" s="397"/>
    </row>
    <row r="412" spans="1:24" x14ac:dyDescent="0.3">
      <c r="A412" s="393"/>
      <c r="B412" s="394"/>
      <c r="C412" s="320"/>
      <c r="D412" s="395"/>
      <c r="E412" s="249"/>
      <c r="F412" s="396"/>
      <c r="G412" s="396"/>
      <c r="H412" s="396"/>
      <c r="I412" s="396"/>
      <c r="J412" s="397"/>
      <c r="K412" s="397"/>
      <c r="L412" s="397"/>
      <c r="M412" s="397"/>
      <c r="N412" s="397"/>
      <c r="O412" s="397"/>
      <c r="P412" s="397"/>
      <c r="Q412" s="397"/>
      <c r="R412" s="397"/>
      <c r="S412" s="397"/>
      <c r="T412" s="397"/>
      <c r="U412" s="397"/>
      <c r="V412" s="398"/>
      <c r="W412" s="398"/>
      <c r="X412" s="397"/>
    </row>
    <row r="413" spans="1:24" x14ac:dyDescent="0.3">
      <c r="A413" s="393"/>
      <c r="B413" s="394"/>
      <c r="C413" s="320"/>
      <c r="D413" s="395"/>
      <c r="E413" s="249"/>
      <c r="F413" s="396"/>
      <c r="G413" s="396"/>
      <c r="H413" s="396"/>
      <c r="I413" s="396"/>
      <c r="J413" s="397"/>
      <c r="K413" s="397"/>
      <c r="L413" s="397"/>
      <c r="M413" s="397"/>
      <c r="N413" s="397"/>
      <c r="O413" s="397"/>
      <c r="P413" s="397"/>
      <c r="Q413" s="397"/>
      <c r="R413" s="397"/>
      <c r="S413" s="397"/>
      <c r="T413" s="397"/>
      <c r="U413" s="397"/>
      <c r="V413" s="398"/>
      <c r="W413" s="398"/>
      <c r="X413" s="397"/>
    </row>
    <row r="414" spans="1:24" x14ac:dyDescent="0.3">
      <c r="A414" s="393"/>
      <c r="B414" s="394"/>
      <c r="C414" s="320"/>
      <c r="D414" s="395"/>
      <c r="E414" s="249"/>
      <c r="F414" s="396"/>
      <c r="G414" s="396"/>
      <c r="H414" s="396"/>
      <c r="I414" s="396"/>
      <c r="J414" s="397"/>
      <c r="K414" s="397"/>
      <c r="L414" s="397"/>
      <c r="M414" s="397"/>
      <c r="N414" s="397"/>
      <c r="O414" s="397"/>
      <c r="P414" s="397"/>
      <c r="Q414" s="397"/>
      <c r="R414" s="397"/>
      <c r="S414" s="397"/>
      <c r="T414" s="397"/>
      <c r="U414" s="397"/>
      <c r="V414" s="398"/>
      <c r="W414" s="398"/>
      <c r="X414" s="397"/>
    </row>
    <row r="415" spans="1:24" x14ac:dyDescent="0.3">
      <c r="A415" s="393"/>
      <c r="B415" s="394"/>
      <c r="C415" s="320"/>
      <c r="D415" s="395"/>
      <c r="E415" s="249"/>
      <c r="F415" s="396"/>
      <c r="G415" s="396"/>
      <c r="H415" s="396"/>
      <c r="I415" s="396"/>
      <c r="J415" s="397"/>
      <c r="K415" s="397"/>
      <c r="L415" s="397"/>
      <c r="M415" s="397"/>
      <c r="N415" s="397"/>
      <c r="O415" s="397"/>
      <c r="P415" s="397"/>
      <c r="Q415" s="397"/>
      <c r="R415" s="397"/>
      <c r="S415" s="397"/>
      <c r="T415" s="397"/>
      <c r="U415" s="397"/>
      <c r="V415" s="398"/>
      <c r="W415" s="398"/>
      <c r="X415" s="397"/>
    </row>
    <row r="416" spans="1:24" x14ac:dyDescent="0.3">
      <c r="A416" s="393"/>
      <c r="B416" s="394"/>
      <c r="C416" s="320"/>
      <c r="D416" s="395"/>
      <c r="E416" s="249"/>
      <c r="F416" s="396"/>
      <c r="G416" s="396"/>
      <c r="H416" s="396"/>
      <c r="I416" s="396"/>
      <c r="J416" s="397"/>
      <c r="K416" s="397"/>
      <c r="L416" s="397"/>
      <c r="M416" s="397"/>
      <c r="N416" s="397"/>
      <c r="O416" s="397"/>
      <c r="P416" s="397"/>
      <c r="Q416" s="397"/>
      <c r="R416" s="397"/>
      <c r="S416" s="397"/>
      <c r="T416" s="397"/>
      <c r="U416" s="397"/>
      <c r="V416" s="398"/>
      <c r="W416" s="398"/>
      <c r="X416" s="397"/>
    </row>
    <row r="417" spans="1:24" x14ac:dyDescent="0.3">
      <c r="A417" s="393"/>
      <c r="B417" s="394"/>
      <c r="C417" s="320"/>
      <c r="D417" s="395"/>
      <c r="E417" s="249"/>
      <c r="F417" s="396"/>
      <c r="G417" s="396"/>
      <c r="H417" s="396"/>
      <c r="I417" s="396"/>
      <c r="J417" s="397"/>
      <c r="K417" s="397"/>
      <c r="L417" s="397"/>
      <c r="M417" s="397"/>
      <c r="N417" s="397"/>
      <c r="O417" s="397"/>
      <c r="P417" s="397"/>
      <c r="Q417" s="397"/>
      <c r="R417" s="397"/>
      <c r="S417" s="397"/>
      <c r="T417" s="397"/>
      <c r="U417" s="397"/>
      <c r="V417" s="398"/>
      <c r="W417" s="398"/>
      <c r="X417" s="397"/>
    </row>
    <row r="418" spans="1:24" x14ac:dyDescent="0.3">
      <c r="A418" s="393"/>
      <c r="B418" s="394"/>
      <c r="C418" s="320"/>
      <c r="D418" s="395"/>
      <c r="E418" s="249"/>
      <c r="F418" s="396"/>
      <c r="G418" s="396"/>
      <c r="H418" s="396"/>
      <c r="I418" s="396"/>
      <c r="J418" s="397"/>
      <c r="K418" s="397"/>
      <c r="L418" s="397"/>
      <c r="M418" s="397"/>
      <c r="N418" s="397"/>
      <c r="O418" s="397"/>
      <c r="P418" s="397"/>
      <c r="Q418" s="397"/>
      <c r="R418" s="397"/>
      <c r="S418" s="397"/>
      <c r="T418" s="397"/>
      <c r="U418" s="397"/>
      <c r="V418" s="398"/>
      <c r="W418" s="398"/>
      <c r="X418" s="397"/>
    </row>
    <row r="419" spans="1:24" x14ac:dyDescent="0.3">
      <c r="A419" s="393"/>
      <c r="B419" s="394"/>
      <c r="C419" s="320"/>
      <c r="D419" s="395"/>
      <c r="E419" s="249"/>
      <c r="F419" s="396"/>
      <c r="G419" s="396"/>
      <c r="H419" s="396"/>
      <c r="I419" s="396"/>
      <c r="J419" s="397"/>
      <c r="K419" s="397"/>
      <c r="L419" s="397"/>
      <c r="M419" s="397"/>
      <c r="N419" s="397"/>
      <c r="O419" s="397"/>
      <c r="P419" s="397"/>
      <c r="Q419" s="397"/>
      <c r="R419" s="397"/>
      <c r="S419" s="397"/>
      <c r="T419" s="397"/>
      <c r="U419" s="397"/>
      <c r="V419" s="398"/>
      <c r="W419" s="398"/>
      <c r="X419" s="397"/>
    </row>
    <row r="420" spans="1:24" x14ac:dyDescent="0.3">
      <c r="A420" s="393"/>
      <c r="B420" s="394"/>
      <c r="C420" s="320"/>
      <c r="D420" s="395"/>
      <c r="E420" s="249"/>
      <c r="F420" s="396"/>
      <c r="G420" s="396"/>
      <c r="H420" s="396"/>
      <c r="I420" s="396"/>
      <c r="J420" s="397"/>
      <c r="K420" s="397"/>
      <c r="L420" s="397"/>
      <c r="M420" s="397"/>
      <c r="N420" s="397"/>
      <c r="O420" s="397"/>
      <c r="P420" s="397"/>
      <c r="Q420" s="397"/>
      <c r="R420" s="397"/>
      <c r="S420" s="397"/>
      <c r="T420" s="397"/>
      <c r="U420" s="397"/>
      <c r="V420" s="398"/>
      <c r="W420" s="398"/>
      <c r="X420" s="397"/>
    </row>
    <row r="421" spans="1:24" x14ac:dyDescent="0.3">
      <c r="A421" s="393"/>
      <c r="B421" s="394"/>
      <c r="C421" s="320"/>
      <c r="D421" s="395"/>
      <c r="E421" s="249"/>
      <c r="F421" s="396"/>
      <c r="G421" s="396"/>
      <c r="H421" s="396"/>
      <c r="I421" s="396"/>
      <c r="J421" s="397"/>
      <c r="K421" s="397"/>
      <c r="L421" s="397"/>
      <c r="M421" s="397"/>
      <c r="N421" s="397"/>
      <c r="O421" s="397"/>
      <c r="P421" s="397"/>
      <c r="Q421" s="397"/>
      <c r="R421" s="397"/>
      <c r="S421" s="397"/>
      <c r="T421" s="397"/>
      <c r="U421" s="397"/>
      <c r="V421" s="398"/>
      <c r="W421" s="398"/>
      <c r="X421" s="397"/>
    </row>
    <row r="422" spans="1:24" x14ac:dyDescent="0.3">
      <c r="A422" s="393"/>
      <c r="B422" s="394"/>
      <c r="C422" s="320"/>
      <c r="D422" s="395"/>
      <c r="E422" s="249"/>
      <c r="F422" s="396"/>
      <c r="G422" s="396"/>
      <c r="H422" s="396"/>
      <c r="I422" s="396"/>
      <c r="J422" s="397"/>
      <c r="K422" s="397"/>
      <c r="L422" s="397"/>
      <c r="M422" s="397"/>
      <c r="N422" s="397"/>
      <c r="O422" s="397"/>
      <c r="P422" s="397"/>
      <c r="Q422" s="397"/>
      <c r="R422" s="397"/>
      <c r="S422" s="397"/>
      <c r="T422" s="397"/>
      <c r="U422" s="397"/>
      <c r="V422" s="398"/>
      <c r="W422" s="398"/>
      <c r="X422" s="397"/>
    </row>
    <row r="423" spans="1:24" x14ac:dyDescent="0.3">
      <c r="A423" s="393"/>
      <c r="B423" s="394"/>
      <c r="C423" s="320"/>
      <c r="D423" s="395"/>
      <c r="E423" s="249"/>
      <c r="F423" s="396"/>
      <c r="G423" s="396"/>
      <c r="H423" s="396"/>
      <c r="I423" s="396"/>
      <c r="J423" s="397"/>
      <c r="K423" s="397"/>
      <c r="L423" s="397"/>
      <c r="M423" s="397"/>
      <c r="N423" s="397"/>
      <c r="O423" s="397"/>
      <c r="P423" s="397"/>
      <c r="Q423" s="397"/>
      <c r="R423" s="397"/>
      <c r="S423" s="397"/>
      <c r="T423" s="397"/>
      <c r="U423" s="397"/>
      <c r="V423" s="398"/>
      <c r="W423" s="398"/>
      <c r="X423" s="397"/>
    </row>
    <row r="424" spans="1:24" x14ac:dyDescent="0.3">
      <c r="A424" s="393"/>
      <c r="B424" s="394"/>
      <c r="C424" s="320"/>
      <c r="D424" s="395"/>
      <c r="E424" s="249"/>
      <c r="F424" s="396"/>
      <c r="G424" s="396"/>
      <c r="H424" s="396"/>
      <c r="I424" s="396"/>
      <c r="J424" s="397"/>
      <c r="K424" s="397"/>
      <c r="L424" s="397"/>
      <c r="M424" s="397"/>
      <c r="N424" s="397"/>
      <c r="O424" s="397"/>
      <c r="P424" s="397"/>
      <c r="Q424" s="397"/>
      <c r="R424" s="397"/>
      <c r="S424" s="397"/>
      <c r="T424" s="397"/>
      <c r="U424" s="397"/>
      <c r="V424" s="398"/>
      <c r="W424" s="398"/>
      <c r="X424" s="397"/>
    </row>
    <row r="425" spans="1:24" x14ac:dyDescent="0.3">
      <c r="A425" s="393"/>
      <c r="B425" s="394"/>
      <c r="C425" s="320"/>
      <c r="D425" s="395"/>
      <c r="E425" s="249"/>
      <c r="F425" s="396"/>
      <c r="G425" s="396"/>
      <c r="H425" s="396"/>
      <c r="I425" s="396"/>
      <c r="J425" s="397"/>
      <c r="K425" s="397"/>
      <c r="L425" s="397"/>
      <c r="M425" s="397"/>
      <c r="N425" s="397"/>
      <c r="O425" s="397"/>
      <c r="P425" s="397"/>
      <c r="Q425" s="397"/>
      <c r="R425" s="397"/>
      <c r="S425" s="397"/>
      <c r="T425" s="397"/>
      <c r="U425" s="397"/>
      <c r="V425" s="398"/>
      <c r="W425" s="398"/>
      <c r="X425" s="397"/>
    </row>
    <row r="426" spans="1:24" x14ac:dyDescent="0.3">
      <c r="A426" s="393"/>
      <c r="B426" s="394"/>
      <c r="C426" s="320"/>
      <c r="D426" s="395"/>
      <c r="E426" s="249"/>
      <c r="F426" s="396"/>
      <c r="G426" s="396"/>
      <c r="H426" s="396"/>
      <c r="I426" s="396"/>
      <c r="J426" s="397"/>
      <c r="K426" s="397"/>
      <c r="L426" s="397"/>
      <c r="M426" s="397"/>
      <c r="N426" s="397"/>
      <c r="O426" s="397"/>
      <c r="P426" s="397"/>
      <c r="Q426" s="397"/>
      <c r="R426" s="397"/>
      <c r="S426" s="397"/>
      <c r="T426" s="397"/>
      <c r="U426" s="397"/>
      <c r="V426" s="398"/>
      <c r="W426" s="398"/>
      <c r="X426" s="397"/>
    </row>
    <row r="427" spans="1:24" x14ac:dyDescent="0.3">
      <c r="A427" s="393"/>
      <c r="B427" s="394"/>
      <c r="C427" s="320"/>
      <c r="D427" s="395"/>
      <c r="E427" s="249"/>
      <c r="F427" s="396"/>
      <c r="G427" s="396"/>
      <c r="H427" s="396"/>
      <c r="I427" s="396"/>
      <c r="J427" s="397"/>
      <c r="K427" s="397"/>
      <c r="L427" s="397"/>
      <c r="M427" s="397"/>
      <c r="N427" s="397"/>
      <c r="O427" s="397"/>
      <c r="P427" s="397"/>
      <c r="Q427" s="397"/>
      <c r="R427" s="397"/>
      <c r="S427" s="397"/>
      <c r="T427" s="397"/>
      <c r="U427" s="397"/>
      <c r="V427" s="398"/>
      <c r="W427" s="398"/>
      <c r="X427" s="397"/>
    </row>
    <row r="428" spans="1:24" x14ac:dyDescent="0.3">
      <c r="A428" s="393"/>
      <c r="B428" s="394"/>
      <c r="C428" s="320"/>
      <c r="D428" s="395"/>
      <c r="E428" s="249"/>
      <c r="F428" s="396"/>
      <c r="G428" s="396"/>
      <c r="H428" s="396"/>
      <c r="I428" s="396"/>
      <c r="J428" s="397"/>
      <c r="K428" s="397"/>
      <c r="L428" s="397"/>
      <c r="M428" s="397"/>
      <c r="N428" s="397"/>
      <c r="O428" s="397"/>
      <c r="P428" s="397"/>
      <c r="Q428" s="397"/>
      <c r="R428" s="397"/>
      <c r="S428" s="397"/>
      <c r="T428" s="397"/>
      <c r="U428" s="397"/>
      <c r="V428" s="398"/>
      <c r="W428" s="398"/>
      <c r="X428" s="397"/>
    </row>
    <row r="429" spans="1:24" x14ac:dyDescent="0.3">
      <c r="A429" s="393"/>
      <c r="B429" s="394"/>
      <c r="C429" s="320"/>
      <c r="D429" s="395"/>
      <c r="E429" s="249"/>
      <c r="F429" s="396"/>
      <c r="G429" s="396"/>
      <c r="H429" s="396"/>
      <c r="I429" s="396"/>
      <c r="J429" s="397"/>
      <c r="K429" s="397"/>
      <c r="L429" s="397"/>
      <c r="M429" s="397"/>
      <c r="N429" s="397"/>
      <c r="O429" s="397"/>
      <c r="P429" s="397"/>
      <c r="Q429" s="397"/>
      <c r="R429" s="397"/>
      <c r="S429" s="397"/>
      <c r="T429" s="397"/>
      <c r="U429" s="397"/>
      <c r="V429" s="398"/>
      <c r="W429" s="398"/>
      <c r="X429" s="397"/>
    </row>
    <row r="430" spans="1:24" x14ac:dyDescent="0.3">
      <c r="A430" s="393"/>
      <c r="B430" s="394"/>
      <c r="C430" s="320"/>
      <c r="D430" s="395"/>
      <c r="E430" s="249"/>
      <c r="F430" s="396"/>
      <c r="G430" s="396"/>
      <c r="H430" s="396"/>
      <c r="I430" s="396"/>
      <c r="J430" s="397"/>
      <c r="K430" s="397"/>
      <c r="L430" s="397"/>
      <c r="M430" s="397"/>
      <c r="N430" s="397"/>
      <c r="O430" s="397"/>
      <c r="P430" s="397"/>
      <c r="Q430" s="397"/>
      <c r="R430" s="397"/>
      <c r="S430" s="397"/>
      <c r="T430" s="397"/>
      <c r="U430" s="397"/>
      <c r="V430" s="398"/>
      <c r="W430" s="398"/>
      <c r="X430" s="397"/>
    </row>
    <row r="431" spans="1:24" x14ac:dyDescent="0.3">
      <c r="A431" s="393"/>
      <c r="B431" s="394"/>
      <c r="C431" s="320"/>
      <c r="D431" s="395"/>
      <c r="E431" s="249"/>
      <c r="F431" s="396"/>
      <c r="G431" s="396"/>
      <c r="H431" s="396"/>
      <c r="I431" s="396"/>
      <c r="J431" s="397"/>
      <c r="K431" s="397"/>
      <c r="L431" s="397"/>
      <c r="M431" s="397"/>
      <c r="N431" s="397"/>
      <c r="O431" s="397"/>
      <c r="P431" s="397"/>
      <c r="Q431" s="397"/>
      <c r="R431" s="397"/>
      <c r="S431" s="397"/>
      <c r="T431" s="397"/>
      <c r="U431" s="397"/>
      <c r="V431" s="398"/>
      <c r="W431" s="398"/>
      <c r="X431" s="397"/>
    </row>
  </sheetData>
  <customSheetViews>
    <customSheetView guid="{B41BB11B-8ECA-4760-921C-F8720A6A66AF}" scale="63" fitToPage="1" hiddenRows="1" hiddenColumns="1">
      <pane xSplit="3" ySplit="5" topLeftCell="N24" activePane="bottomRight" state="frozen"/>
      <selection pane="bottomRight" activeCell="C63" sqref="C63"/>
      <pageMargins left="0.25" right="0.25" top="0.75" bottom="0.75" header="0.3" footer="0.3"/>
      <printOptions horizontalCentered="1"/>
      <pageSetup paperSize="17" scale="42" orientation="landscape" r:id="rId1"/>
      <headerFooter>
        <oddHeader xml:space="preserve">&amp;C&amp;"-,Bold"&amp;24City of Lake Stevens&amp;20
2025 - 2030 Capital Improvement Plan          &amp;"-,Regular"&amp;11
</oddHeader>
      </headerFooter>
    </customSheetView>
  </customSheetViews>
  <mergeCells count="35">
    <mergeCell ref="AP4:AP5"/>
    <mergeCell ref="AQ4:AQ5"/>
    <mergeCell ref="X4:X5"/>
    <mergeCell ref="M4:M5"/>
    <mergeCell ref="Y4:Y5"/>
    <mergeCell ref="AS4:AS5"/>
    <mergeCell ref="A1:W1"/>
    <mergeCell ref="Z3:AO3"/>
    <mergeCell ref="A4:A5"/>
    <mergeCell ref="B4:B5"/>
    <mergeCell ref="C4:C5"/>
    <mergeCell ref="D4:D5"/>
    <mergeCell ref="E4:E5"/>
    <mergeCell ref="F4:F5"/>
    <mergeCell ref="G4:G5"/>
    <mergeCell ref="U4:W4"/>
    <mergeCell ref="N4:N5"/>
    <mergeCell ref="O4:O5"/>
    <mergeCell ref="P4:P5"/>
    <mergeCell ref="S4:S5"/>
    <mergeCell ref="H4:H5"/>
    <mergeCell ref="X60:Y60"/>
    <mergeCell ref="X61:Y61"/>
    <mergeCell ref="X62:Y62"/>
    <mergeCell ref="A3:T3"/>
    <mergeCell ref="U3:W3"/>
    <mergeCell ref="A54:A59"/>
    <mergeCell ref="T4:T5"/>
    <mergeCell ref="Q4:Q5"/>
    <mergeCell ref="R4:R5"/>
    <mergeCell ref="A7:A25"/>
    <mergeCell ref="A27:A46"/>
    <mergeCell ref="A48:A52"/>
    <mergeCell ref="I4:I5"/>
    <mergeCell ref="J4:J5"/>
  </mergeCells>
  <printOptions horizontalCentered="1"/>
  <pageMargins left="0.25" right="0.25" top="0.75" bottom="0.75" header="0.3" footer="0.3"/>
  <pageSetup scale="30" fitToHeight="0" orientation="portrait" r:id="rId2"/>
  <headerFooter scaleWithDoc="0" alignWithMargins="0"/>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B6AE2-02B7-4EE8-A4C7-4FDA9B7DDC73}">
  <dimension ref="A1"/>
  <sheetViews>
    <sheetView workbookViewId="0">
      <selection activeCell="K1" sqref="K1"/>
    </sheetView>
  </sheetViews>
  <sheetFormatPr defaultRowHeight="14.4" x14ac:dyDescent="0.3"/>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98C22D-B1D4-428C-8A69-827727D6CE34}">
  <dimension ref="A1:CN400"/>
  <sheetViews>
    <sheetView zoomScale="90" zoomScaleNormal="90" workbookViewId="0">
      <selection activeCell="F23" sqref="F23"/>
    </sheetView>
  </sheetViews>
  <sheetFormatPr defaultColWidth="9" defaultRowHeight="14.4" x14ac:dyDescent="0.3"/>
  <cols>
    <col min="1" max="1" width="9" style="16"/>
    <col min="2" max="2" width="5.33203125" style="45" customWidth="1"/>
    <col min="3" max="3" width="6.88671875" style="8" customWidth="1"/>
    <col min="4" max="4" width="49.6640625" style="28" bestFit="1" customWidth="1"/>
    <col min="5" max="5" width="72.6640625" style="10" customWidth="1"/>
    <col min="6" max="6" width="20.5546875" style="11" customWidth="1"/>
    <col min="7" max="7" width="16.5546875" style="12" customWidth="1"/>
    <col min="8" max="8" width="16.5546875" style="12" hidden="1" customWidth="1"/>
    <col min="9" max="9" width="16.5546875" style="12" customWidth="1"/>
    <col min="10" max="10" width="16.5546875" style="12" hidden="1" customWidth="1"/>
    <col min="11" max="11" width="20.5546875" style="13" hidden="1" customWidth="1"/>
    <col min="12" max="12" width="16.33203125" style="13" hidden="1" customWidth="1"/>
    <col min="13" max="14" width="17.88671875" style="13" hidden="1" customWidth="1"/>
    <col min="15" max="15" width="20.5546875" style="13" hidden="1" customWidth="1"/>
    <col min="16" max="19" width="17" style="13" hidden="1" customWidth="1"/>
    <col min="20" max="20" width="14.88671875" style="13" hidden="1" customWidth="1"/>
    <col min="21" max="21" width="17" style="13" hidden="1" customWidth="1"/>
    <col min="22" max="22" width="20.6640625" style="13" hidden="1" customWidth="1"/>
    <col min="23" max="23" width="20.6640625" style="29" hidden="1" customWidth="1"/>
    <col min="24" max="24" width="20.6640625" style="14" hidden="1" customWidth="1"/>
    <col min="25" max="25" width="15.6640625" style="13" hidden="1" customWidth="1"/>
    <col min="26" max="26" width="15.6640625" style="128" hidden="1" customWidth="1"/>
    <col min="27" max="42" width="15.6640625" style="50" hidden="1" customWidth="1"/>
    <col min="43" max="43" width="16" style="16" hidden="1" customWidth="1"/>
    <col min="44" max="44" width="24.33203125" style="16" hidden="1" customWidth="1"/>
    <col min="45" max="45" width="9" style="16" hidden="1" customWidth="1"/>
    <col min="46" max="46" width="26.6640625" style="136" bestFit="1" customWidth="1"/>
    <col min="47" max="47" width="22.5546875" style="16" bestFit="1" customWidth="1"/>
    <col min="48" max="48" width="20.88671875" style="16" customWidth="1"/>
    <col min="49" max="16384" width="9" style="16"/>
  </cols>
  <sheetData>
    <row r="1" spans="1:92" s="2" customFormat="1" ht="25.8" x14ac:dyDescent="0.3">
      <c r="B1" s="421" t="s">
        <v>0</v>
      </c>
      <c r="C1" s="421"/>
      <c r="D1" s="421"/>
      <c r="E1" s="421"/>
      <c r="F1" s="421"/>
      <c r="G1" s="421"/>
      <c r="H1" s="421"/>
      <c r="I1" s="421"/>
      <c r="J1" s="421"/>
      <c r="K1" s="421"/>
      <c r="L1" s="421"/>
      <c r="M1" s="421"/>
      <c r="N1" s="421"/>
      <c r="O1" s="421"/>
      <c r="P1" s="421"/>
      <c r="Q1" s="421"/>
      <c r="R1" s="421"/>
      <c r="S1" s="421"/>
      <c r="T1" s="421"/>
      <c r="U1" s="421"/>
      <c r="V1" s="421"/>
      <c r="W1" s="421"/>
      <c r="X1" s="421"/>
      <c r="Y1" s="421"/>
      <c r="Z1" s="421"/>
      <c r="AA1" s="421"/>
      <c r="AB1" s="421"/>
      <c r="AC1" s="421"/>
      <c r="AD1" s="421"/>
      <c r="AE1" s="421"/>
      <c r="AF1" s="421"/>
      <c r="AG1" s="421"/>
      <c r="AH1" s="421"/>
      <c r="AI1" s="421"/>
      <c r="AJ1" s="421"/>
      <c r="AK1" s="421"/>
      <c r="AL1" s="421"/>
      <c r="AM1" s="421"/>
      <c r="AN1" s="421"/>
      <c r="AO1" s="421"/>
      <c r="AP1" s="421"/>
      <c r="AQ1" s="421"/>
      <c r="AR1" s="421"/>
      <c r="AS1" s="421"/>
      <c r="AT1" s="421"/>
      <c r="AU1" s="421"/>
      <c r="AV1" s="421"/>
    </row>
    <row r="2" spans="1:92" s="2" customFormat="1" ht="21.75" customHeight="1" thickBot="1" x14ac:dyDescent="0.35">
      <c r="B2" s="487" t="s">
        <v>383</v>
      </c>
      <c r="C2" s="487"/>
      <c r="D2" s="487"/>
      <c r="E2" s="487"/>
      <c r="F2" s="487"/>
      <c r="G2" s="487"/>
      <c r="H2" s="487"/>
      <c r="I2" s="487"/>
      <c r="J2" s="487"/>
      <c r="K2" s="487"/>
      <c r="L2" s="487"/>
      <c r="M2" s="487"/>
      <c r="N2" s="487"/>
      <c r="O2" s="487"/>
      <c r="P2" s="487"/>
      <c r="Q2" s="487"/>
      <c r="R2" s="487"/>
      <c r="S2" s="487"/>
      <c r="T2" s="487"/>
      <c r="U2" s="487"/>
      <c r="V2" s="487"/>
      <c r="W2" s="487"/>
      <c r="X2" s="487"/>
      <c r="Y2" s="487"/>
      <c r="Z2" s="487"/>
      <c r="AA2" s="487"/>
      <c r="AB2" s="487"/>
      <c r="AC2" s="487"/>
      <c r="AD2" s="487"/>
      <c r="AE2" s="487"/>
      <c r="AF2" s="487"/>
      <c r="AG2" s="487"/>
      <c r="AH2" s="487"/>
      <c r="AI2" s="487"/>
      <c r="AJ2" s="487"/>
      <c r="AK2" s="487"/>
      <c r="AL2" s="487"/>
      <c r="AM2" s="487"/>
      <c r="AN2" s="487"/>
      <c r="AO2" s="487"/>
      <c r="AP2" s="487"/>
      <c r="AQ2" s="487"/>
      <c r="AR2" s="487"/>
      <c r="AS2" s="487"/>
      <c r="AT2" s="487"/>
      <c r="AU2" s="487"/>
      <c r="AV2" s="487"/>
    </row>
    <row r="3" spans="1:92" s="4" customFormat="1" ht="33" customHeight="1" thickBot="1" x14ac:dyDescent="0.35">
      <c r="A3" s="159"/>
      <c r="B3" s="494" t="s">
        <v>3</v>
      </c>
      <c r="C3" s="495" t="s">
        <v>4</v>
      </c>
      <c r="D3" s="493" t="s">
        <v>5</v>
      </c>
      <c r="E3" s="496" t="s">
        <v>6</v>
      </c>
      <c r="F3" s="496" t="s">
        <v>7</v>
      </c>
      <c r="G3" s="498" t="s">
        <v>281</v>
      </c>
      <c r="H3" s="497" t="s">
        <v>283</v>
      </c>
      <c r="I3" s="497" t="s">
        <v>282</v>
      </c>
      <c r="J3" s="498" t="s">
        <v>320</v>
      </c>
      <c r="K3" s="489" t="s">
        <v>325</v>
      </c>
      <c r="L3" s="223"/>
      <c r="M3" s="224" t="s">
        <v>12</v>
      </c>
      <c r="N3" s="496" t="s">
        <v>342</v>
      </c>
      <c r="O3" s="493">
        <v>2026</v>
      </c>
      <c r="P3" s="493">
        <v>2027</v>
      </c>
      <c r="Q3" s="493">
        <v>2028</v>
      </c>
      <c r="R3" s="493">
        <v>2029</v>
      </c>
      <c r="S3" s="493">
        <v>2030</v>
      </c>
      <c r="T3" s="493">
        <v>2031</v>
      </c>
      <c r="U3" s="493" t="s">
        <v>331</v>
      </c>
      <c r="V3" s="499" t="s">
        <v>301</v>
      </c>
      <c r="W3" s="499"/>
      <c r="X3" s="499"/>
      <c r="Y3" s="489" t="s">
        <v>350</v>
      </c>
      <c r="Z3" s="489" t="s">
        <v>360</v>
      </c>
      <c r="AA3" s="221" t="s">
        <v>14</v>
      </c>
      <c r="AB3" s="221" t="s">
        <v>15</v>
      </c>
      <c r="AC3" s="221" t="s">
        <v>16</v>
      </c>
      <c r="AD3" s="221" t="s">
        <v>17</v>
      </c>
      <c r="AE3" s="221" t="s">
        <v>21</v>
      </c>
      <c r="AF3" s="221" t="s">
        <v>18</v>
      </c>
      <c r="AG3" s="221" t="s">
        <v>19</v>
      </c>
      <c r="AH3" s="221" t="s">
        <v>20</v>
      </c>
      <c r="AI3" s="221" t="s">
        <v>22</v>
      </c>
      <c r="AJ3" s="221" t="s">
        <v>23</v>
      </c>
      <c r="AK3" s="221" t="s">
        <v>24</v>
      </c>
      <c r="AL3" s="221" t="s">
        <v>25</v>
      </c>
      <c r="AM3" s="221" t="s">
        <v>26</v>
      </c>
      <c r="AN3" s="221" t="s">
        <v>27</v>
      </c>
      <c r="AO3" s="221" t="s">
        <v>28</v>
      </c>
      <c r="AP3" s="221" t="s">
        <v>29</v>
      </c>
      <c r="AQ3" s="490" t="s">
        <v>122</v>
      </c>
      <c r="AR3" s="491" t="s">
        <v>340</v>
      </c>
      <c r="AS3" s="225"/>
      <c r="AT3" s="492" t="s">
        <v>376</v>
      </c>
      <c r="AU3" s="485" t="s">
        <v>381</v>
      </c>
      <c r="AV3" s="485" t="s">
        <v>382</v>
      </c>
      <c r="AW3" s="159"/>
      <c r="AX3" s="159"/>
      <c r="AY3" s="159"/>
      <c r="AZ3" s="159"/>
      <c r="BA3" s="159"/>
      <c r="BB3" s="159"/>
      <c r="BC3" s="159"/>
      <c r="BD3" s="159"/>
      <c r="BE3" s="159"/>
      <c r="BF3" s="159"/>
      <c r="BG3" s="159"/>
      <c r="BH3" s="159"/>
      <c r="BI3" s="159"/>
      <c r="BJ3" s="159"/>
      <c r="BK3" s="159"/>
      <c r="BL3" s="159"/>
      <c r="BM3" s="159"/>
      <c r="BN3" s="159"/>
      <c r="BO3" s="159"/>
      <c r="BP3" s="159"/>
      <c r="BQ3" s="159"/>
      <c r="BR3" s="159"/>
      <c r="BS3" s="159"/>
      <c r="BT3" s="159"/>
      <c r="BU3" s="159"/>
      <c r="BV3" s="159"/>
      <c r="BW3" s="159"/>
      <c r="BX3" s="159"/>
      <c r="BY3" s="159"/>
      <c r="BZ3" s="159"/>
      <c r="CA3" s="159"/>
      <c r="CB3" s="159"/>
      <c r="CC3" s="159"/>
      <c r="CD3" s="159"/>
      <c r="CE3" s="159"/>
      <c r="CF3" s="159"/>
      <c r="CG3" s="159"/>
      <c r="CH3" s="159"/>
      <c r="CI3" s="159"/>
      <c r="CJ3" s="159"/>
      <c r="CK3" s="159"/>
      <c r="CL3" s="159"/>
      <c r="CM3" s="159"/>
      <c r="CN3" s="159"/>
    </row>
    <row r="4" spans="1:92" s="7" customFormat="1" ht="31.8" thickBot="1" x14ac:dyDescent="0.35">
      <c r="A4" s="228"/>
      <c r="B4" s="494"/>
      <c r="C4" s="495"/>
      <c r="D4" s="493"/>
      <c r="E4" s="496"/>
      <c r="F4" s="496"/>
      <c r="G4" s="498"/>
      <c r="H4" s="497"/>
      <c r="I4" s="497"/>
      <c r="J4" s="498"/>
      <c r="K4" s="489"/>
      <c r="L4" s="223" t="s">
        <v>313</v>
      </c>
      <c r="M4" s="224" t="s">
        <v>30</v>
      </c>
      <c r="N4" s="496"/>
      <c r="O4" s="493"/>
      <c r="P4" s="493"/>
      <c r="Q4" s="493"/>
      <c r="R4" s="493"/>
      <c r="S4" s="493"/>
      <c r="T4" s="493"/>
      <c r="U4" s="493"/>
      <c r="V4" s="221" t="s">
        <v>31</v>
      </c>
      <c r="W4" s="222" t="s">
        <v>32</v>
      </c>
      <c r="X4" s="221" t="s">
        <v>33</v>
      </c>
      <c r="Y4" s="489" t="s">
        <v>341</v>
      </c>
      <c r="Z4" s="489"/>
      <c r="AA4" s="226" t="s">
        <v>34</v>
      </c>
      <c r="AB4" s="226" t="s">
        <v>35</v>
      </c>
      <c r="AC4" s="226" t="s">
        <v>36</v>
      </c>
      <c r="AD4" s="226" t="s">
        <v>37</v>
      </c>
      <c r="AE4" s="226" t="s">
        <v>39</v>
      </c>
      <c r="AF4" s="226" t="s">
        <v>38</v>
      </c>
      <c r="AG4" s="226" t="s">
        <v>38</v>
      </c>
      <c r="AH4" s="226" t="s">
        <v>38</v>
      </c>
      <c r="AI4" s="226" t="s">
        <v>38</v>
      </c>
      <c r="AJ4" s="226" t="s">
        <v>40</v>
      </c>
      <c r="AK4" s="226" t="s">
        <v>41</v>
      </c>
      <c r="AL4" s="226" t="s">
        <v>42</v>
      </c>
      <c r="AM4" s="226" t="s">
        <v>43</v>
      </c>
      <c r="AN4" s="226" t="s">
        <v>44</v>
      </c>
      <c r="AO4" s="226" t="s">
        <v>45</v>
      </c>
      <c r="AP4" s="226" t="s">
        <v>46</v>
      </c>
      <c r="AQ4" s="490"/>
      <c r="AR4" s="491"/>
      <c r="AS4" s="227"/>
      <c r="AT4" s="492"/>
      <c r="AU4" s="488"/>
      <c r="AV4" s="486"/>
      <c r="AW4" s="203"/>
      <c r="AX4" s="203"/>
      <c r="AY4" s="203"/>
      <c r="AZ4" s="203"/>
      <c r="BA4" s="203"/>
      <c r="BB4" s="203"/>
      <c r="BC4" s="203"/>
      <c r="BD4" s="203"/>
      <c r="BE4" s="203"/>
      <c r="BF4" s="203"/>
      <c r="BG4" s="203"/>
      <c r="BH4" s="203"/>
      <c r="BI4" s="203"/>
      <c r="BJ4" s="203"/>
      <c r="BK4" s="203"/>
      <c r="BL4" s="203"/>
      <c r="BM4" s="203"/>
      <c r="BN4" s="203"/>
      <c r="BO4" s="203"/>
      <c r="BP4" s="203"/>
      <c r="BQ4" s="203"/>
      <c r="BR4" s="203"/>
      <c r="BS4" s="203"/>
      <c r="BT4" s="203"/>
      <c r="BU4" s="203"/>
      <c r="BV4" s="203"/>
      <c r="BW4" s="203"/>
      <c r="BX4" s="203"/>
      <c r="BY4" s="203"/>
      <c r="BZ4" s="203"/>
      <c r="CA4" s="203"/>
      <c r="CB4" s="203"/>
      <c r="CC4" s="203"/>
      <c r="CD4" s="203"/>
      <c r="CE4" s="203"/>
      <c r="CF4" s="203"/>
      <c r="CG4" s="203"/>
      <c r="CH4" s="203"/>
      <c r="CI4" s="203"/>
      <c r="CJ4" s="203"/>
      <c r="CK4" s="203"/>
      <c r="CL4" s="203"/>
      <c r="CM4" s="203"/>
      <c r="CN4" s="203"/>
    </row>
    <row r="5" spans="1:92" ht="20.100000000000001" customHeight="1" thickBot="1" x14ac:dyDescent="0.35">
      <c r="B5" s="442" t="s">
        <v>47</v>
      </c>
      <c r="C5" s="80" t="s">
        <v>48</v>
      </c>
      <c r="D5" s="210" t="s">
        <v>49</v>
      </c>
      <c r="E5" s="82" t="s">
        <v>50</v>
      </c>
      <c r="F5" s="211">
        <v>4040000</v>
      </c>
      <c r="G5" s="110">
        <v>3883915</v>
      </c>
      <c r="H5" s="110">
        <v>2040966</v>
      </c>
      <c r="I5" s="110">
        <v>3500000</v>
      </c>
      <c r="J5" s="110">
        <f>G5-I5</f>
        <v>383915</v>
      </c>
      <c r="K5" s="110">
        <v>400000</v>
      </c>
      <c r="L5" s="110"/>
      <c r="M5" s="57"/>
      <c r="N5" s="110">
        <f>H5</f>
        <v>2040966</v>
      </c>
      <c r="O5" s="110">
        <f>K5</f>
        <v>400000</v>
      </c>
      <c r="P5" s="110"/>
      <c r="Q5" s="111"/>
      <c r="R5" s="111"/>
      <c r="S5" s="111"/>
      <c r="T5" s="111"/>
      <c r="U5" s="212">
        <f>SUM(N5:T5)</f>
        <v>2440966</v>
      </c>
      <c r="V5" s="213">
        <v>3304000</v>
      </c>
      <c r="W5" s="195" t="s">
        <v>52</v>
      </c>
      <c r="X5" s="214" t="s">
        <v>330</v>
      </c>
      <c r="Y5" s="215">
        <f>K5*0.86</f>
        <v>344000</v>
      </c>
      <c r="Z5" s="216"/>
      <c r="AA5" s="217"/>
      <c r="AB5" s="218"/>
      <c r="AC5" s="218"/>
      <c r="AD5" s="218"/>
      <c r="AE5" s="218"/>
      <c r="AF5" s="218"/>
      <c r="AG5" s="218"/>
      <c r="AH5" s="218"/>
      <c r="AI5" s="218"/>
      <c r="AJ5" s="218"/>
      <c r="AK5" s="218"/>
      <c r="AL5" s="219">
        <v>56000</v>
      </c>
      <c r="AM5" s="218"/>
      <c r="AN5" s="218"/>
      <c r="AO5" s="218"/>
      <c r="AP5" s="220"/>
      <c r="AQ5" s="15">
        <f t="shared" ref="AQ5:AQ28" si="0">SUM(Y5:AP5)</f>
        <v>400000</v>
      </c>
      <c r="AR5" s="117">
        <f>K5-AQ5</f>
        <v>0</v>
      </c>
      <c r="AT5" s="192">
        <f>I5/F5</f>
        <v>0.86633663366336633</v>
      </c>
      <c r="AU5" s="204">
        <f>G5*0.075/150</f>
        <v>1941.9575</v>
      </c>
      <c r="AV5" s="204">
        <f>I5*0.075/150</f>
        <v>1750</v>
      </c>
    </row>
    <row r="6" spans="1:92" ht="18" customHeight="1" thickTop="1" thickBot="1" x14ac:dyDescent="0.35">
      <c r="B6" s="441"/>
      <c r="C6" s="8" t="s">
        <v>56</v>
      </c>
      <c r="D6" s="177" t="s">
        <v>57</v>
      </c>
      <c r="E6" s="17" t="s">
        <v>58</v>
      </c>
      <c r="F6" s="108">
        <v>2500000</v>
      </c>
      <c r="G6" s="114">
        <v>1777000</v>
      </c>
      <c r="H6" s="54">
        <v>63675</v>
      </c>
      <c r="I6" s="54">
        <v>120174</v>
      </c>
      <c r="J6" s="54">
        <f t="shared" ref="J6:J14" si="1">G6-I6</f>
        <v>1656826</v>
      </c>
      <c r="K6" s="58">
        <f>F6-I6</f>
        <v>2379826</v>
      </c>
      <c r="L6" s="110" t="s">
        <v>321</v>
      </c>
      <c r="M6" s="123" t="s">
        <v>322</v>
      </c>
      <c r="N6" s="62">
        <f>I6</f>
        <v>120174</v>
      </c>
      <c r="O6" s="62">
        <f>K6</f>
        <v>2379826</v>
      </c>
      <c r="P6" s="62"/>
      <c r="Q6" s="54"/>
      <c r="R6" s="56"/>
      <c r="S6" s="56"/>
      <c r="T6" s="56"/>
      <c r="U6" s="160">
        <f t="shared" ref="U6:U14" si="2">SUM(N6:T6)</f>
        <v>2500000</v>
      </c>
      <c r="V6" s="166"/>
      <c r="X6" s="142"/>
      <c r="Y6" s="147"/>
      <c r="Z6" s="155"/>
      <c r="AA6" s="119"/>
      <c r="AB6" s="120"/>
      <c r="AC6" s="120"/>
      <c r="AD6" s="120"/>
      <c r="AE6" s="120"/>
      <c r="AF6" s="120">
        <v>54000</v>
      </c>
      <c r="AG6" s="120"/>
      <c r="AH6" s="120"/>
      <c r="AI6" s="120">
        <v>46000</v>
      </c>
      <c r="AJ6" s="120"/>
      <c r="AK6" s="120"/>
      <c r="AL6" s="121">
        <f>K6-SUM(AM6:AP6,AA6:AJ6,Y6)</f>
        <v>1499826</v>
      </c>
      <c r="AM6" s="120"/>
      <c r="AN6" s="120"/>
      <c r="AO6" s="120">
        <v>180000</v>
      </c>
      <c r="AP6" s="148">
        <v>600000</v>
      </c>
      <c r="AQ6" s="15">
        <f t="shared" si="0"/>
        <v>2379826</v>
      </c>
      <c r="AR6" s="117">
        <f t="shared" ref="AR6:AR23" si="3">K6-AQ6</f>
        <v>0</v>
      </c>
      <c r="AT6" s="192">
        <f t="shared" ref="AT6:AT28" si="4">I6/F6</f>
        <v>4.8069599999999997E-2</v>
      </c>
      <c r="AU6" s="204">
        <f t="shared" ref="AU6:AU28" si="5">G6*0.075/150</f>
        <v>888.5</v>
      </c>
      <c r="AV6" s="204">
        <f t="shared" ref="AV6:AV28" si="6">I6*0.075/150</f>
        <v>60.086999999999996</v>
      </c>
    </row>
    <row r="7" spans="1:92" ht="14.7" customHeight="1" thickTop="1" thickBot="1" x14ac:dyDescent="0.35">
      <c r="B7" s="441"/>
      <c r="C7" s="8" t="s">
        <v>63</v>
      </c>
      <c r="D7" s="176" t="s">
        <v>64</v>
      </c>
      <c r="E7" s="17" t="s">
        <v>65</v>
      </c>
      <c r="F7" s="124">
        <v>3200000</v>
      </c>
      <c r="G7" s="115">
        <v>374825</v>
      </c>
      <c r="H7" s="54">
        <v>288215</v>
      </c>
      <c r="I7" s="54">
        <f>H7+80000+60000</f>
        <v>428215</v>
      </c>
      <c r="J7" s="54">
        <f>G7-I7</f>
        <v>-53390</v>
      </c>
      <c r="K7" s="54">
        <v>80000</v>
      </c>
      <c r="L7" s="110"/>
      <c r="M7" s="123"/>
      <c r="N7" s="62">
        <f t="shared" ref="N7:N14" si="7">I7</f>
        <v>428215</v>
      </c>
      <c r="O7" s="62">
        <f>K7</f>
        <v>80000</v>
      </c>
      <c r="P7" s="62">
        <f>F7-SUM(N7:O7)</f>
        <v>2691785</v>
      </c>
      <c r="Q7" s="56"/>
      <c r="R7" s="56"/>
      <c r="S7" s="56"/>
      <c r="T7" s="56"/>
      <c r="U7" s="160">
        <f>SUM(N7:T7)</f>
        <v>3200000</v>
      </c>
      <c r="V7" s="166">
        <v>2500000</v>
      </c>
      <c r="W7" s="29" t="s">
        <v>67</v>
      </c>
      <c r="X7" s="143" t="s">
        <v>68</v>
      </c>
      <c r="Y7" s="147">
        <v>2500000</v>
      </c>
      <c r="Z7" s="155"/>
      <c r="AA7" s="119"/>
      <c r="AB7" s="120"/>
      <c r="AC7" s="120"/>
      <c r="AD7" s="120"/>
      <c r="AE7" s="120"/>
      <c r="AF7" s="120">
        <v>80000</v>
      </c>
      <c r="AG7" s="120"/>
      <c r="AH7" s="120"/>
      <c r="AI7" s="120"/>
      <c r="AJ7" s="120"/>
      <c r="AK7" s="120"/>
      <c r="AL7" s="122"/>
      <c r="AM7" s="120"/>
      <c r="AN7" s="120"/>
      <c r="AO7" s="120"/>
      <c r="AP7" s="148"/>
      <c r="AQ7" s="15">
        <f t="shared" si="0"/>
        <v>2580000</v>
      </c>
      <c r="AR7" s="117">
        <f t="shared" si="3"/>
        <v>-2500000</v>
      </c>
      <c r="AT7" s="192">
        <f t="shared" si="4"/>
        <v>0.13381718749999999</v>
      </c>
      <c r="AU7" s="204">
        <f t="shared" si="5"/>
        <v>187.41249999999999</v>
      </c>
      <c r="AV7" s="204">
        <f t="shared" si="6"/>
        <v>214.10749999999999</v>
      </c>
    </row>
    <row r="8" spans="1:92" ht="14.7" customHeight="1" thickTop="1" thickBot="1" x14ac:dyDescent="0.35">
      <c r="B8" s="441"/>
      <c r="C8" s="8" t="s">
        <v>69</v>
      </c>
      <c r="D8" s="177" t="s">
        <v>70</v>
      </c>
      <c r="E8" s="10" t="s">
        <v>71</v>
      </c>
      <c r="F8" s="124">
        <v>1650000</v>
      </c>
      <c r="G8" s="54">
        <v>300000</v>
      </c>
      <c r="H8" s="54">
        <v>141447</v>
      </c>
      <c r="I8" s="54">
        <f>H8+(29280+20510+5810+26500+51600)</f>
        <v>275147</v>
      </c>
      <c r="J8" s="54">
        <f>G8-I8</f>
        <v>24853</v>
      </c>
      <c r="K8" s="54">
        <f>F8-I8</f>
        <v>1374853</v>
      </c>
      <c r="L8" s="110"/>
      <c r="M8" s="123"/>
      <c r="N8" s="62">
        <f t="shared" si="7"/>
        <v>275147</v>
      </c>
      <c r="O8" s="62">
        <f>K8</f>
        <v>1374853</v>
      </c>
      <c r="P8" s="62"/>
      <c r="Q8" s="54"/>
      <c r="R8" s="56"/>
      <c r="S8" s="56"/>
      <c r="T8" s="56"/>
      <c r="U8" s="160">
        <f t="shared" si="2"/>
        <v>1650000</v>
      </c>
      <c r="V8" s="166"/>
      <c r="X8" s="142"/>
      <c r="Y8" s="147"/>
      <c r="Z8" s="155"/>
      <c r="AA8" s="119"/>
      <c r="AB8" s="120"/>
      <c r="AC8" s="120"/>
      <c r="AD8" s="120"/>
      <c r="AE8" s="120">
        <f>O8-SUM(Y8:AD8,AF8:AP8)</f>
        <v>974853</v>
      </c>
      <c r="AF8" s="120"/>
      <c r="AG8" s="120"/>
      <c r="AH8" s="120"/>
      <c r="AI8" s="120"/>
      <c r="AJ8" s="120"/>
      <c r="AK8" s="120"/>
      <c r="AL8" s="122"/>
      <c r="AM8" s="120"/>
      <c r="AN8" s="120"/>
      <c r="AO8" s="120">
        <v>400000</v>
      </c>
      <c r="AP8" s="148"/>
      <c r="AQ8" s="15">
        <f t="shared" si="0"/>
        <v>1374853</v>
      </c>
      <c r="AR8" s="117">
        <f t="shared" si="3"/>
        <v>0</v>
      </c>
      <c r="AT8" s="192">
        <f t="shared" si="4"/>
        <v>0.16675575757575758</v>
      </c>
      <c r="AU8" s="204">
        <f t="shared" si="5"/>
        <v>150</v>
      </c>
      <c r="AV8" s="204">
        <f t="shared" si="6"/>
        <v>137.5735</v>
      </c>
    </row>
    <row r="9" spans="1:92" ht="14.7" customHeight="1" thickTop="1" thickBot="1" x14ac:dyDescent="0.35">
      <c r="B9" s="441"/>
      <c r="C9" s="8" t="s">
        <v>73</v>
      </c>
      <c r="D9" s="177" t="s">
        <v>74</v>
      </c>
      <c r="E9" s="10" t="s">
        <v>75</v>
      </c>
      <c r="F9" s="124">
        <v>2300000</v>
      </c>
      <c r="G9" s="62">
        <v>315000</v>
      </c>
      <c r="H9" s="54"/>
      <c r="I9" s="54">
        <v>180000</v>
      </c>
      <c r="J9" s="54">
        <f t="shared" si="1"/>
        <v>135000</v>
      </c>
      <c r="K9" s="54">
        <f>F9-I9</f>
        <v>2120000</v>
      </c>
      <c r="L9" s="110"/>
      <c r="M9" s="123"/>
      <c r="N9" s="62">
        <f t="shared" si="7"/>
        <v>180000</v>
      </c>
      <c r="O9" s="62">
        <f>K9</f>
        <v>2120000</v>
      </c>
      <c r="P9" s="62"/>
      <c r="Q9" s="54"/>
      <c r="R9" s="56"/>
      <c r="S9" s="56"/>
      <c r="T9" s="56"/>
      <c r="U9" s="160">
        <f t="shared" si="2"/>
        <v>2300000</v>
      </c>
      <c r="V9" s="166">
        <v>1600000</v>
      </c>
      <c r="W9" s="29" t="s">
        <v>302</v>
      </c>
      <c r="X9" s="142" t="s">
        <v>303</v>
      </c>
      <c r="Y9" s="147">
        <v>800000</v>
      </c>
      <c r="Z9" s="155"/>
      <c r="AA9" s="119"/>
      <c r="AB9" s="120"/>
      <c r="AC9" s="120"/>
      <c r="AD9" s="120"/>
      <c r="AE9" s="120">
        <f>K9-SUM(Y9:AD9,AF9:AP9)</f>
        <v>757800</v>
      </c>
      <c r="AF9" s="120"/>
      <c r="AG9" s="120"/>
      <c r="AH9" s="120"/>
      <c r="AI9" s="120"/>
      <c r="AJ9" s="120"/>
      <c r="AK9" s="120"/>
      <c r="AL9" s="120"/>
      <c r="AM9" s="120"/>
      <c r="AN9" s="120"/>
      <c r="AO9" s="120">
        <f>188000+330000+41800+2400</f>
        <v>562200</v>
      </c>
      <c r="AP9" s="148"/>
      <c r="AQ9" s="15">
        <f t="shared" si="0"/>
        <v>2120000</v>
      </c>
      <c r="AR9" s="117">
        <f t="shared" si="3"/>
        <v>0</v>
      </c>
      <c r="AT9" s="192">
        <f t="shared" si="4"/>
        <v>7.8260869565217397E-2</v>
      </c>
      <c r="AU9" s="204">
        <f t="shared" si="5"/>
        <v>157.5</v>
      </c>
      <c r="AV9" s="204">
        <f t="shared" si="6"/>
        <v>90</v>
      </c>
    </row>
    <row r="10" spans="1:92" ht="14.7" customHeight="1" thickTop="1" thickBot="1" x14ac:dyDescent="0.35">
      <c r="B10" s="441"/>
      <c r="C10" s="8" t="s">
        <v>79</v>
      </c>
      <c r="D10" s="177" t="s">
        <v>80</v>
      </c>
      <c r="E10" s="10" t="s">
        <v>81</v>
      </c>
      <c r="F10" s="125">
        <v>3800000</v>
      </c>
      <c r="G10" s="54">
        <v>400000</v>
      </c>
      <c r="H10" s="54"/>
      <c r="I10" s="54">
        <v>0</v>
      </c>
      <c r="J10" s="54">
        <f t="shared" si="1"/>
        <v>400000</v>
      </c>
      <c r="K10" s="54">
        <v>570000</v>
      </c>
      <c r="L10" s="110"/>
      <c r="M10" s="123"/>
      <c r="N10" s="62"/>
      <c r="O10" s="62">
        <f>F10*0.15</f>
        <v>570000</v>
      </c>
      <c r="P10" s="62">
        <f>F10-O10</f>
        <v>3230000</v>
      </c>
      <c r="Q10" s="54"/>
      <c r="R10" s="56"/>
      <c r="S10" s="56"/>
      <c r="T10" s="56"/>
      <c r="U10" s="160">
        <f t="shared" si="2"/>
        <v>3800000</v>
      </c>
      <c r="V10" s="166">
        <v>500000</v>
      </c>
      <c r="W10" s="29" t="s">
        <v>85</v>
      </c>
      <c r="X10" s="142" t="s">
        <v>78</v>
      </c>
      <c r="Y10" s="147"/>
      <c r="Z10" s="155"/>
      <c r="AA10" s="119"/>
      <c r="AB10" s="120"/>
      <c r="AC10" s="120"/>
      <c r="AD10" s="120"/>
      <c r="AE10" s="120">
        <f>O10</f>
        <v>570000</v>
      </c>
      <c r="AF10" s="120"/>
      <c r="AG10" s="120"/>
      <c r="AH10" s="120"/>
      <c r="AI10" s="120"/>
      <c r="AJ10" s="120"/>
      <c r="AK10" s="120"/>
      <c r="AL10" s="120"/>
      <c r="AM10" s="120"/>
      <c r="AN10" s="120"/>
      <c r="AO10" s="120"/>
      <c r="AP10" s="148"/>
      <c r="AQ10" s="15">
        <f t="shared" si="0"/>
        <v>570000</v>
      </c>
      <c r="AR10" s="117">
        <f t="shared" si="3"/>
        <v>0</v>
      </c>
      <c r="AT10" s="192">
        <f t="shared" si="4"/>
        <v>0</v>
      </c>
      <c r="AU10" s="204">
        <f t="shared" si="5"/>
        <v>200</v>
      </c>
      <c r="AV10" s="204">
        <f t="shared" si="6"/>
        <v>0</v>
      </c>
    </row>
    <row r="11" spans="1:92" ht="14.7" customHeight="1" thickTop="1" thickBot="1" x14ac:dyDescent="0.35">
      <c r="B11" s="441"/>
      <c r="C11" s="8" t="s">
        <v>346</v>
      </c>
      <c r="D11" s="177" t="s">
        <v>108</v>
      </c>
      <c r="E11" s="10" t="s">
        <v>347</v>
      </c>
      <c r="F11" s="53">
        <f t="shared" ref="F11" si="8">K11+O11+P11+Q11+R11+S11</f>
        <v>600000</v>
      </c>
      <c r="G11" s="54">
        <v>100000</v>
      </c>
      <c r="H11" s="54">
        <v>155000</v>
      </c>
      <c r="I11" s="54">
        <f>H11</f>
        <v>155000</v>
      </c>
      <c r="J11" s="54">
        <f>G11-I11</f>
        <v>-55000</v>
      </c>
      <c r="K11" s="54">
        <v>100000</v>
      </c>
      <c r="L11" s="110"/>
      <c r="M11" s="57"/>
      <c r="N11" s="54">
        <f>I11</f>
        <v>155000</v>
      </c>
      <c r="O11" s="54">
        <v>100000</v>
      </c>
      <c r="P11" s="54">
        <v>100000</v>
      </c>
      <c r="Q11" s="54">
        <v>100000</v>
      </c>
      <c r="R11" s="54">
        <v>100000</v>
      </c>
      <c r="S11" s="56">
        <v>100000</v>
      </c>
      <c r="T11" s="56">
        <v>100000</v>
      </c>
      <c r="U11" s="160">
        <f t="shared" si="2"/>
        <v>755000</v>
      </c>
      <c r="V11" s="166"/>
      <c r="X11" s="142"/>
      <c r="Y11" s="147"/>
      <c r="Z11" s="155"/>
      <c r="AA11" s="119"/>
      <c r="AB11" s="120"/>
      <c r="AC11" s="120"/>
      <c r="AD11" s="120">
        <v>100000</v>
      </c>
      <c r="AE11" s="120"/>
      <c r="AF11" s="120"/>
      <c r="AG11" s="120"/>
      <c r="AH11" s="120"/>
      <c r="AI11" s="120"/>
      <c r="AJ11" s="120"/>
      <c r="AK11" s="120"/>
      <c r="AL11" s="120"/>
      <c r="AM11" s="120"/>
      <c r="AN11" s="120"/>
      <c r="AO11" s="120"/>
      <c r="AP11" s="148"/>
      <c r="AQ11" s="15">
        <f t="shared" si="0"/>
        <v>100000</v>
      </c>
      <c r="AR11" s="117">
        <f t="shared" si="3"/>
        <v>0</v>
      </c>
      <c r="AT11" s="192">
        <f t="shared" si="4"/>
        <v>0.25833333333333336</v>
      </c>
      <c r="AU11" s="204">
        <f t="shared" si="5"/>
        <v>50</v>
      </c>
      <c r="AV11" s="204">
        <f t="shared" si="6"/>
        <v>77.5</v>
      </c>
    </row>
    <row r="12" spans="1:92" ht="14.7" customHeight="1" thickTop="1" thickBot="1" x14ac:dyDescent="0.35">
      <c r="B12" s="441"/>
      <c r="C12" s="8" t="s">
        <v>110</v>
      </c>
      <c r="D12" s="177" t="s">
        <v>111</v>
      </c>
      <c r="E12" s="10" t="s">
        <v>112</v>
      </c>
      <c r="F12" s="53">
        <f>K12+O12+P12+Q12+R12+S12</f>
        <v>1200000</v>
      </c>
      <c r="G12" s="54">
        <v>100000</v>
      </c>
      <c r="H12" s="54">
        <v>0</v>
      </c>
      <c r="I12" s="54">
        <v>50000</v>
      </c>
      <c r="J12" s="54">
        <f t="shared" si="1"/>
        <v>50000</v>
      </c>
      <c r="K12" s="54">
        <v>200000</v>
      </c>
      <c r="L12" s="110"/>
      <c r="M12" s="57"/>
      <c r="N12" s="54"/>
      <c r="O12" s="54">
        <v>200000</v>
      </c>
      <c r="P12" s="54">
        <v>200000</v>
      </c>
      <c r="Q12" s="54">
        <v>200000</v>
      </c>
      <c r="R12" s="54">
        <v>200000</v>
      </c>
      <c r="S12" s="54">
        <v>200000</v>
      </c>
      <c r="T12" s="54">
        <v>200000</v>
      </c>
      <c r="U12" s="160">
        <f t="shared" si="2"/>
        <v>1200000</v>
      </c>
      <c r="V12" s="166"/>
      <c r="X12" s="142"/>
      <c r="Y12" s="147"/>
      <c r="Z12" s="155"/>
      <c r="AA12" s="119"/>
      <c r="AB12" s="120"/>
      <c r="AC12" s="120"/>
      <c r="AD12" s="120"/>
      <c r="AE12" s="120"/>
      <c r="AF12" s="120"/>
      <c r="AG12" s="120"/>
      <c r="AH12" s="120"/>
      <c r="AI12" s="120"/>
      <c r="AJ12" s="120"/>
      <c r="AK12" s="120"/>
      <c r="AL12" s="120"/>
      <c r="AM12" s="120"/>
      <c r="AN12" s="120">
        <v>200000</v>
      </c>
      <c r="AO12" s="120"/>
      <c r="AP12" s="148"/>
      <c r="AQ12" s="15">
        <f t="shared" si="0"/>
        <v>200000</v>
      </c>
      <c r="AR12" s="117">
        <f t="shared" si="3"/>
        <v>0</v>
      </c>
      <c r="AT12" s="192">
        <f t="shared" si="4"/>
        <v>4.1666666666666664E-2</v>
      </c>
      <c r="AU12" s="204">
        <f t="shared" si="5"/>
        <v>50</v>
      </c>
      <c r="AV12" s="204">
        <f t="shared" si="6"/>
        <v>25</v>
      </c>
    </row>
    <row r="13" spans="1:92" ht="14.7" customHeight="1" thickTop="1" thickBot="1" x14ac:dyDescent="0.35">
      <c r="B13" s="441"/>
      <c r="C13" s="8" t="s">
        <v>114</v>
      </c>
      <c r="D13" s="177" t="s">
        <v>115</v>
      </c>
      <c r="E13" s="10" t="s">
        <v>116</v>
      </c>
      <c r="F13" s="53">
        <f>K13+O13+P13+Q13+R13+S13</f>
        <v>4200000</v>
      </c>
      <c r="G13" s="54">
        <v>900000</v>
      </c>
      <c r="H13" s="54">
        <v>62314</v>
      </c>
      <c r="I13" s="54">
        <v>535000</v>
      </c>
      <c r="J13" s="54">
        <f t="shared" si="1"/>
        <v>365000</v>
      </c>
      <c r="K13" s="54">
        <v>700000</v>
      </c>
      <c r="L13" s="110"/>
      <c r="M13" s="57"/>
      <c r="N13" s="54">
        <f t="shared" si="7"/>
        <v>535000</v>
      </c>
      <c r="O13" s="54">
        <f>K13</f>
        <v>700000</v>
      </c>
      <c r="P13" s="54">
        <v>700000</v>
      </c>
      <c r="Q13" s="54">
        <v>700000</v>
      </c>
      <c r="R13" s="54">
        <v>700000</v>
      </c>
      <c r="S13" s="54">
        <v>700000</v>
      </c>
      <c r="T13" s="54">
        <v>700000</v>
      </c>
      <c r="U13" s="160">
        <f t="shared" si="2"/>
        <v>4735000</v>
      </c>
      <c r="V13" s="166"/>
      <c r="X13" s="142"/>
      <c r="Y13" s="147"/>
      <c r="Z13" s="155"/>
      <c r="AA13" s="119"/>
      <c r="AB13" s="120"/>
      <c r="AC13" s="120"/>
      <c r="AD13" s="120">
        <v>200000</v>
      </c>
      <c r="AE13" s="120">
        <v>500000</v>
      </c>
      <c r="AF13" s="120"/>
      <c r="AG13" s="120"/>
      <c r="AH13" s="120"/>
      <c r="AI13" s="120"/>
      <c r="AJ13" s="120"/>
      <c r="AK13" s="120"/>
      <c r="AL13" s="120"/>
      <c r="AM13" s="120"/>
      <c r="AN13" s="120"/>
      <c r="AO13" s="120"/>
      <c r="AP13" s="148"/>
      <c r="AQ13" s="15">
        <f t="shared" si="0"/>
        <v>700000</v>
      </c>
      <c r="AR13" s="117">
        <f t="shared" si="3"/>
        <v>0</v>
      </c>
      <c r="AT13" s="192">
        <f t="shared" si="4"/>
        <v>0.12738095238095237</v>
      </c>
      <c r="AU13" s="204">
        <f t="shared" si="5"/>
        <v>450</v>
      </c>
      <c r="AV13" s="204">
        <f t="shared" si="6"/>
        <v>267.5</v>
      </c>
    </row>
    <row r="14" spans="1:92" ht="14.7" customHeight="1" thickTop="1" thickBot="1" x14ac:dyDescent="0.35">
      <c r="B14" s="441"/>
      <c r="C14" s="8" t="s">
        <v>118</v>
      </c>
      <c r="D14" s="177" t="s">
        <v>119</v>
      </c>
      <c r="E14" s="17" t="s">
        <v>120</v>
      </c>
      <c r="F14" s="53">
        <f>K14+O14+P14+Q14+R14+S14</f>
        <v>600000</v>
      </c>
      <c r="G14" s="58">
        <v>100000</v>
      </c>
      <c r="H14" s="58">
        <v>15415</v>
      </c>
      <c r="I14" s="58">
        <v>75000</v>
      </c>
      <c r="J14" s="54">
        <f t="shared" si="1"/>
        <v>25000</v>
      </c>
      <c r="K14" s="58">
        <v>100000</v>
      </c>
      <c r="L14" s="110"/>
      <c r="M14" s="57"/>
      <c r="N14" s="54">
        <f t="shared" si="7"/>
        <v>75000</v>
      </c>
      <c r="O14" s="54">
        <v>100000</v>
      </c>
      <c r="P14" s="54">
        <v>100000</v>
      </c>
      <c r="Q14" s="54">
        <v>100000</v>
      </c>
      <c r="R14" s="54">
        <v>100000</v>
      </c>
      <c r="S14" s="56">
        <v>100000</v>
      </c>
      <c r="T14" s="56">
        <v>100001</v>
      </c>
      <c r="U14" s="160">
        <f t="shared" si="2"/>
        <v>675001</v>
      </c>
      <c r="V14" s="166"/>
      <c r="X14" s="142"/>
      <c r="Y14" s="147"/>
      <c r="Z14" s="155"/>
      <c r="AA14" s="119"/>
      <c r="AB14" s="120"/>
      <c r="AC14" s="120"/>
      <c r="AD14" s="120">
        <v>100000</v>
      </c>
      <c r="AF14" s="120"/>
      <c r="AG14" s="120"/>
      <c r="AH14" s="120"/>
      <c r="AI14" s="120"/>
      <c r="AJ14" s="120"/>
      <c r="AK14" s="120"/>
      <c r="AL14" s="120"/>
      <c r="AM14" s="120"/>
      <c r="AN14" s="120"/>
      <c r="AO14" s="120"/>
      <c r="AP14" s="148"/>
      <c r="AQ14" s="15">
        <f t="shared" si="0"/>
        <v>100000</v>
      </c>
      <c r="AR14" s="117">
        <f t="shared" si="3"/>
        <v>0</v>
      </c>
      <c r="AT14" s="192">
        <f t="shared" si="4"/>
        <v>0.125</v>
      </c>
      <c r="AU14" s="204">
        <f t="shared" si="5"/>
        <v>50</v>
      </c>
      <c r="AV14" s="204">
        <f t="shared" si="6"/>
        <v>37.5</v>
      </c>
    </row>
    <row r="15" spans="1:92" s="27" customFormat="1" ht="14.7" customHeight="1" thickTop="1" x14ac:dyDescent="0.3">
      <c r="B15" s="441"/>
      <c r="C15" s="127"/>
      <c r="D15" s="178"/>
      <c r="E15" s="188" t="s">
        <v>335</v>
      </c>
      <c r="F15" s="24">
        <f t="shared" ref="F15:Y15" si="9">SUM(F5:F14)</f>
        <v>24090000</v>
      </c>
      <c r="G15" s="24">
        <f t="shared" si="9"/>
        <v>8250740</v>
      </c>
      <c r="H15" s="24">
        <f t="shared" si="9"/>
        <v>2767032</v>
      </c>
      <c r="I15" s="24">
        <f t="shared" si="9"/>
        <v>5318536</v>
      </c>
      <c r="J15" s="24">
        <f t="shared" si="9"/>
        <v>2932204</v>
      </c>
      <c r="K15" s="24">
        <f t="shared" si="9"/>
        <v>8024679</v>
      </c>
      <c r="L15" s="24">
        <f t="shared" si="9"/>
        <v>0</v>
      </c>
      <c r="M15" s="24">
        <f t="shared" si="9"/>
        <v>0</v>
      </c>
      <c r="N15" s="24">
        <f t="shared" si="9"/>
        <v>3809502</v>
      </c>
      <c r="O15" s="24">
        <f t="shared" si="9"/>
        <v>8024679</v>
      </c>
      <c r="P15" s="24">
        <f t="shared" si="9"/>
        <v>7021785</v>
      </c>
      <c r="Q15" s="24">
        <f t="shared" si="9"/>
        <v>1100000</v>
      </c>
      <c r="R15" s="24">
        <f t="shared" si="9"/>
        <v>1100000</v>
      </c>
      <c r="S15" s="24">
        <f t="shared" si="9"/>
        <v>1100000</v>
      </c>
      <c r="T15" s="24">
        <f t="shared" si="9"/>
        <v>1100001</v>
      </c>
      <c r="U15" s="144">
        <f t="shared" si="9"/>
        <v>23255967</v>
      </c>
      <c r="V15" s="168">
        <f t="shared" si="9"/>
        <v>7904000</v>
      </c>
      <c r="W15" s="138">
        <f t="shared" si="9"/>
        <v>0</v>
      </c>
      <c r="X15" s="144">
        <f t="shared" si="9"/>
        <v>0</v>
      </c>
      <c r="Y15" s="149">
        <f t="shared" si="9"/>
        <v>3644000</v>
      </c>
      <c r="Z15" s="94"/>
      <c r="AA15" s="75">
        <f t="shared" ref="AA15:AP15" si="10">SUM(AA5:AA14)</f>
        <v>0</v>
      </c>
      <c r="AB15" s="25">
        <f t="shared" si="10"/>
        <v>0</v>
      </c>
      <c r="AC15" s="25">
        <f t="shared" si="10"/>
        <v>0</v>
      </c>
      <c r="AD15" s="25">
        <f t="shared" si="10"/>
        <v>400000</v>
      </c>
      <c r="AE15" s="25">
        <f t="shared" si="10"/>
        <v>2802653</v>
      </c>
      <c r="AF15" s="25">
        <f t="shared" si="10"/>
        <v>134000</v>
      </c>
      <c r="AG15" s="25">
        <f t="shared" si="10"/>
        <v>0</v>
      </c>
      <c r="AH15" s="25">
        <f t="shared" si="10"/>
        <v>0</v>
      </c>
      <c r="AI15" s="25">
        <f t="shared" si="10"/>
        <v>46000</v>
      </c>
      <c r="AJ15" s="25">
        <f t="shared" si="10"/>
        <v>0</v>
      </c>
      <c r="AK15" s="25">
        <f t="shared" si="10"/>
        <v>0</v>
      </c>
      <c r="AL15" s="25">
        <f t="shared" si="10"/>
        <v>1555826</v>
      </c>
      <c r="AM15" s="25">
        <f t="shared" si="10"/>
        <v>0</v>
      </c>
      <c r="AN15" s="25">
        <f t="shared" si="10"/>
        <v>200000</v>
      </c>
      <c r="AO15" s="25">
        <f t="shared" si="10"/>
        <v>1142200</v>
      </c>
      <c r="AP15" s="94">
        <f t="shared" si="10"/>
        <v>600000</v>
      </c>
      <c r="AQ15" s="15">
        <f t="shared" si="0"/>
        <v>10524679</v>
      </c>
      <c r="AR15" s="117">
        <f t="shared" si="3"/>
        <v>-2500000</v>
      </c>
      <c r="AS15" s="152"/>
      <c r="AT15" s="192"/>
      <c r="AU15" s="204"/>
      <c r="AV15" s="204"/>
    </row>
    <row r="16" spans="1:92" ht="14.7" customHeight="1" x14ac:dyDescent="0.3">
      <c r="B16" s="444" t="s">
        <v>123</v>
      </c>
      <c r="C16" s="8" t="s">
        <v>124</v>
      </c>
      <c r="D16" s="177" t="s">
        <v>125</v>
      </c>
      <c r="E16" s="10" t="s">
        <v>126</v>
      </c>
      <c r="F16" s="53">
        <v>2000000</v>
      </c>
      <c r="G16" s="58">
        <v>2350000</v>
      </c>
      <c r="H16" s="54">
        <v>6495</v>
      </c>
      <c r="I16" s="62">
        <v>750000</v>
      </c>
      <c r="J16" s="54">
        <f>F16-H16-I16</f>
        <v>1243505</v>
      </c>
      <c r="K16" s="58">
        <f>J16+40000</f>
        <v>1283505</v>
      </c>
      <c r="L16" s="58"/>
      <c r="M16" s="55"/>
      <c r="N16" s="55"/>
      <c r="O16" s="54">
        <f>K16</f>
        <v>1283505</v>
      </c>
      <c r="P16" s="54"/>
      <c r="Q16" s="54"/>
      <c r="R16" s="54"/>
      <c r="S16" s="54"/>
      <c r="T16" s="54"/>
      <c r="U16" s="161">
        <f t="shared" ref="U16:U23" si="11">SUM(N16:T16)</f>
        <v>1283505</v>
      </c>
      <c r="V16" s="166">
        <v>1204352</v>
      </c>
      <c r="W16" s="165" t="s">
        <v>361</v>
      </c>
      <c r="X16" s="143" t="s">
        <v>362</v>
      </c>
      <c r="Y16" s="147">
        <f>V16</f>
        <v>1204352</v>
      </c>
      <c r="Z16" s="155"/>
      <c r="AA16" s="119"/>
      <c r="AB16" s="120"/>
      <c r="AC16" s="120"/>
      <c r="AD16" s="120"/>
      <c r="AE16" s="120"/>
      <c r="AF16" s="120"/>
      <c r="AG16" s="120"/>
      <c r="AH16" s="120"/>
      <c r="AI16" s="120"/>
      <c r="AJ16" s="120">
        <f>O16-Y16</f>
        <v>79153</v>
      </c>
      <c r="AK16" s="120"/>
      <c r="AL16" s="121"/>
      <c r="AM16" s="120"/>
      <c r="AN16" s="120"/>
      <c r="AO16" s="120"/>
      <c r="AP16" s="148"/>
      <c r="AQ16" s="15">
        <f t="shared" si="0"/>
        <v>1283505</v>
      </c>
      <c r="AR16" s="16">
        <f t="shared" si="3"/>
        <v>0</v>
      </c>
      <c r="AT16" s="192">
        <f t="shared" si="4"/>
        <v>0.375</v>
      </c>
      <c r="AU16" s="204">
        <f t="shared" si="5"/>
        <v>1175</v>
      </c>
      <c r="AV16" s="204">
        <f t="shared" si="6"/>
        <v>375</v>
      </c>
    </row>
    <row r="17" spans="2:48" ht="14.7" customHeight="1" x14ac:dyDescent="0.3">
      <c r="B17" s="444"/>
      <c r="C17" s="8" t="s">
        <v>156</v>
      </c>
      <c r="D17" s="177" t="s">
        <v>157</v>
      </c>
      <c r="E17" s="10" t="s">
        <v>158</v>
      </c>
      <c r="F17" s="53">
        <f>K17+O17+P17+Q17+R17+S17</f>
        <v>3664774</v>
      </c>
      <c r="G17" s="129">
        <v>332387</v>
      </c>
      <c r="H17" s="56">
        <v>0</v>
      </c>
      <c r="I17" s="56">
        <v>0</v>
      </c>
      <c r="J17" s="56">
        <f>G17-I17</f>
        <v>332387</v>
      </c>
      <c r="K17" s="54">
        <f>J17</f>
        <v>332387</v>
      </c>
      <c r="L17" s="111"/>
      <c r="M17" s="57"/>
      <c r="N17" s="57"/>
      <c r="O17" s="54">
        <f>K17</f>
        <v>332387</v>
      </c>
      <c r="P17" s="54">
        <v>3000000</v>
      </c>
      <c r="Q17" s="54"/>
      <c r="R17" s="54"/>
      <c r="S17" s="54"/>
      <c r="T17" s="54"/>
      <c r="U17" s="161">
        <f>SUM(N17:T17)</f>
        <v>3332387</v>
      </c>
      <c r="V17" s="166">
        <v>500000</v>
      </c>
      <c r="W17" s="29" t="s">
        <v>367</v>
      </c>
      <c r="X17" s="143" t="s">
        <v>155</v>
      </c>
      <c r="Y17" s="147">
        <f>V17</f>
        <v>500000</v>
      </c>
      <c r="Z17" s="155"/>
      <c r="AA17" s="119"/>
      <c r="AB17" s="120"/>
      <c r="AC17" s="120"/>
      <c r="AD17" s="120"/>
      <c r="AE17" s="120"/>
      <c r="AF17" s="120"/>
      <c r="AG17" s="120"/>
      <c r="AH17" s="120"/>
      <c r="AI17" s="120"/>
      <c r="AJ17" s="120">
        <f>O17</f>
        <v>332387</v>
      </c>
      <c r="AK17" s="120"/>
      <c r="AL17" s="121"/>
      <c r="AM17" s="120"/>
      <c r="AN17" s="120"/>
      <c r="AO17" s="120"/>
      <c r="AP17" s="148"/>
      <c r="AQ17" s="15">
        <f t="shared" si="0"/>
        <v>832387</v>
      </c>
      <c r="AR17" s="117">
        <f>K17-AQ17</f>
        <v>-500000</v>
      </c>
      <c r="AT17" s="192">
        <f t="shared" si="4"/>
        <v>0</v>
      </c>
      <c r="AU17" s="204">
        <f t="shared" si="5"/>
        <v>166.19349999999997</v>
      </c>
      <c r="AV17" s="204">
        <f t="shared" si="6"/>
        <v>0</v>
      </c>
    </row>
    <row r="18" spans="2:48" ht="14.7" customHeight="1" x14ac:dyDescent="0.3">
      <c r="B18" s="444"/>
      <c r="C18" s="8" t="s">
        <v>150</v>
      </c>
      <c r="D18" s="177" t="s">
        <v>151</v>
      </c>
      <c r="E18" s="10" t="s">
        <v>152</v>
      </c>
      <c r="F18" s="53">
        <v>2455589</v>
      </c>
      <c r="G18" s="129">
        <v>2955089</v>
      </c>
      <c r="H18" s="56">
        <v>0</v>
      </c>
      <c r="I18" s="56">
        <v>0</v>
      </c>
      <c r="J18" s="56">
        <f>G18-I18</f>
        <v>2955089</v>
      </c>
      <c r="K18" s="54">
        <v>500000</v>
      </c>
      <c r="L18" s="111"/>
      <c r="M18" s="57" t="s">
        <v>314</v>
      </c>
      <c r="N18" s="57"/>
      <c r="O18" s="62">
        <f>K18</f>
        <v>500000</v>
      </c>
      <c r="P18" s="54">
        <v>1955589</v>
      </c>
      <c r="Q18" s="54"/>
      <c r="R18" s="54"/>
      <c r="S18" s="54"/>
      <c r="T18" s="54"/>
      <c r="U18" s="161">
        <f>SUM(N18:T18)</f>
        <v>2455589</v>
      </c>
      <c r="V18" s="166">
        <v>2455589</v>
      </c>
      <c r="W18" s="29" t="s">
        <v>366</v>
      </c>
      <c r="X18" s="143" t="s">
        <v>155</v>
      </c>
      <c r="Y18" s="147">
        <f>V18</f>
        <v>2455589</v>
      </c>
      <c r="Z18" s="155"/>
      <c r="AA18" s="119"/>
      <c r="AB18" s="120"/>
      <c r="AC18" s="120"/>
      <c r="AD18" s="120"/>
      <c r="AE18" s="120"/>
      <c r="AF18" s="120"/>
      <c r="AG18" s="120"/>
      <c r="AH18" s="120"/>
      <c r="AI18" s="120"/>
      <c r="AJ18" s="120">
        <v>0</v>
      </c>
      <c r="AK18" s="120"/>
      <c r="AL18" s="120"/>
      <c r="AM18" s="120"/>
      <c r="AN18" s="120"/>
      <c r="AO18" s="120"/>
      <c r="AP18" s="148"/>
      <c r="AQ18" s="15">
        <f t="shared" si="0"/>
        <v>2455589</v>
      </c>
      <c r="AR18" s="117">
        <f>K18-AQ18</f>
        <v>-1955589</v>
      </c>
      <c r="AT18" s="192">
        <f t="shared" si="4"/>
        <v>0</v>
      </c>
      <c r="AU18" s="204">
        <f t="shared" si="5"/>
        <v>1477.5445</v>
      </c>
      <c r="AV18" s="204">
        <f t="shared" si="6"/>
        <v>0</v>
      </c>
    </row>
    <row r="19" spans="2:48" ht="14.7" customHeight="1" x14ac:dyDescent="0.3">
      <c r="B19" s="444"/>
      <c r="C19" s="8" t="s">
        <v>147</v>
      </c>
      <c r="D19" s="177" t="s">
        <v>148</v>
      </c>
      <c r="E19" s="10" t="s">
        <v>149</v>
      </c>
      <c r="F19" s="53">
        <v>100000</v>
      </c>
      <c r="G19" s="56">
        <v>100000</v>
      </c>
      <c r="H19" s="56">
        <v>0</v>
      </c>
      <c r="I19" s="56">
        <v>0</v>
      </c>
      <c r="J19" s="56">
        <f>G19-I19</f>
        <v>100000</v>
      </c>
      <c r="K19" s="54">
        <v>100000</v>
      </c>
      <c r="L19" s="111"/>
      <c r="M19" s="57" t="s">
        <v>12</v>
      </c>
      <c r="N19" s="57"/>
      <c r="O19" s="54">
        <f>K19</f>
        <v>100000</v>
      </c>
      <c r="P19" s="54"/>
      <c r="Q19" s="54"/>
      <c r="R19" s="54"/>
      <c r="S19" s="54"/>
      <c r="T19" s="54"/>
      <c r="U19" s="161">
        <f>SUM(N19:T19)</f>
        <v>100000</v>
      </c>
      <c r="V19" s="166">
        <v>100000</v>
      </c>
      <c r="W19" s="29" t="s">
        <v>363</v>
      </c>
      <c r="X19" s="143"/>
      <c r="Y19" s="147">
        <f>V19</f>
        <v>100000</v>
      </c>
      <c r="Z19" s="155"/>
      <c r="AA19" s="119"/>
      <c r="AB19" s="120"/>
      <c r="AC19" s="120"/>
      <c r="AD19" s="120"/>
      <c r="AE19" s="120"/>
      <c r="AF19" s="120"/>
      <c r="AG19" s="120"/>
      <c r="AH19" s="120"/>
      <c r="AI19" s="120"/>
      <c r="AJ19" s="120">
        <v>0</v>
      </c>
      <c r="AK19" s="120"/>
      <c r="AL19" s="120"/>
      <c r="AM19" s="120"/>
      <c r="AN19" s="120"/>
      <c r="AO19" s="120"/>
      <c r="AP19" s="148"/>
      <c r="AQ19" s="15">
        <f t="shared" si="0"/>
        <v>100000</v>
      </c>
      <c r="AR19" s="16">
        <f t="shared" si="3"/>
        <v>0</v>
      </c>
      <c r="AT19" s="192">
        <f t="shared" si="4"/>
        <v>0</v>
      </c>
      <c r="AU19" s="204">
        <f t="shared" si="5"/>
        <v>50</v>
      </c>
      <c r="AV19" s="204">
        <f t="shared" si="6"/>
        <v>0</v>
      </c>
    </row>
    <row r="20" spans="2:48" ht="14.7" customHeight="1" x14ac:dyDescent="0.3">
      <c r="B20" s="444"/>
      <c r="C20" s="8" t="s">
        <v>144</v>
      </c>
      <c r="D20" s="177" t="s">
        <v>145</v>
      </c>
      <c r="E20" s="10" t="s">
        <v>146</v>
      </c>
      <c r="F20" s="53">
        <v>100000</v>
      </c>
      <c r="G20" s="54">
        <v>100000</v>
      </c>
      <c r="H20" s="54">
        <v>27025</v>
      </c>
      <c r="I20" s="54">
        <v>27025</v>
      </c>
      <c r="J20" s="54">
        <f t="shared" ref="J20:J23" si="12">G20-I20</f>
        <v>72975</v>
      </c>
      <c r="K20" s="54">
        <f>180000</f>
        <v>180000</v>
      </c>
      <c r="L20" s="110" t="s">
        <v>326</v>
      </c>
      <c r="M20" s="57" t="s">
        <v>12</v>
      </c>
      <c r="N20" s="57"/>
      <c r="O20" s="54">
        <f>K20</f>
        <v>180000</v>
      </c>
      <c r="P20" s="54"/>
      <c r="Q20" s="54"/>
      <c r="R20" s="54"/>
      <c r="S20" s="54"/>
      <c r="T20" s="54"/>
      <c r="U20" s="161">
        <f t="shared" si="11"/>
        <v>180000</v>
      </c>
      <c r="V20" s="167"/>
      <c r="X20" s="143"/>
      <c r="Y20" s="147"/>
      <c r="Z20" s="155"/>
      <c r="AA20" s="119"/>
      <c r="AB20" s="120"/>
      <c r="AC20" s="120"/>
      <c r="AD20" s="120"/>
      <c r="AE20" s="120"/>
      <c r="AF20" s="120"/>
      <c r="AG20" s="120"/>
      <c r="AH20" s="120"/>
      <c r="AI20" s="120"/>
      <c r="AJ20" s="120">
        <v>0</v>
      </c>
      <c r="AK20" s="120"/>
      <c r="AL20" s="120">
        <f>O20</f>
        <v>180000</v>
      </c>
      <c r="AM20" s="120"/>
      <c r="AN20" s="120"/>
      <c r="AO20" s="120"/>
      <c r="AP20" s="148"/>
      <c r="AQ20" s="15">
        <f t="shared" si="0"/>
        <v>180000</v>
      </c>
      <c r="AR20" s="16">
        <f t="shared" si="3"/>
        <v>0</v>
      </c>
      <c r="AT20" s="192">
        <f t="shared" si="4"/>
        <v>0.27024999999999999</v>
      </c>
      <c r="AU20" s="204">
        <f t="shared" si="5"/>
        <v>50</v>
      </c>
      <c r="AV20" s="204">
        <f t="shared" si="6"/>
        <v>13.512499999999999</v>
      </c>
    </row>
    <row r="21" spans="2:48" ht="14.7" customHeight="1" x14ac:dyDescent="0.3">
      <c r="B21" s="444"/>
      <c r="C21" s="8" t="s">
        <v>160</v>
      </c>
      <c r="D21" s="177" t="s">
        <v>161</v>
      </c>
      <c r="E21" s="10" t="s">
        <v>162</v>
      </c>
      <c r="F21" s="53">
        <v>4125000</v>
      </c>
      <c r="G21" s="54">
        <v>160000</v>
      </c>
      <c r="H21" s="54">
        <v>0</v>
      </c>
      <c r="I21" s="54">
        <v>0</v>
      </c>
      <c r="J21" s="54">
        <f t="shared" si="12"/>
        <v>160000</v>
      </c>
      <c r="K21" s="54">
        <v>400000</v>
      </c>
      <c r="L21" s="57"/>
      <c r="M21" s="57"/>
      <c r="N21" s="57"/>
      <c r="O21" s="62">
        <v>400000</v>
      </c>
      <c r="P21" s="54">
        <v>3725000</v>
      </c>
      <c r="Q21" s="54"/>
      <c r="R21" s="54"/>
      <c r="S21" s="54"/>
      <c r="T21" s="54"/>
      <c r="U21" s="161">
        <f t="shared" si="11"/>
        <v>4125000</v>
      </c>
      <c r="V21" s="166">
        <f>40000+200000+87000</f>
        <v>327000</v>
      </c>
      <c r="W21" s="29" t="s">
        <v>351</v>
      </c>
      <c r="X21" s="143" t="s">
        <v>155</v>
      </c>
      <c r="Y21" s="147">
        <f>V21</f>
        <v>327000</v>
      </c>
      <c r="Z21" s="155"/>
      <c r="AA21" s="119"/>
      <c r="AB21" s="120"/>
      <c r="AC21" s="120"/>
      <c r="AD21" s="120"/>
      <c r="AE21" s="120"/>
      <c r="AF21" s="120"/>
      <c r="AG21" s="120"/>
      <c r="AH21" s="120"/>
      <c r="AI21" s="120"/>
      <c r="AJ21" s="120">
        <f>O21-Y21</f>
        <v>73000</v>
      </c>
      <c r="AK21" s="120"/>
      <c r="AL21" s="121"/>
      <c r="AM21" s="120"/>
      <c r="AN21" s="120"/>
      <c r="AO21" s="120"/>
      <c r="AP21" s="148"/>
      <c r="AQ21" s="15">
        <f t="shared" si="0"/>
        <v>400000</v>
      </c>
      <c r="AR21" s="16">
        <f t="shared" si="3"/>
        <v>0</v>
      </c>
      <c r="AT21" s="192">
        <f t="shared" si="4"/>
        <v>0</v>
      </c>
      <c r="AU21" s="204">
        <f t="shared" si="5"/>
        <v>80</v>
      </c>
      <c r="AV21" s="204">
        <f t="shared" si="6"/>
        <v>0</v>
      </c>
    </row>
    <row r="22" spans="2:48" ht="14.7" customHeight="1" x14ac:dyDescent="0.3">
      <c r="B22" s="444"/>
      <c r="C22" s="8" t="s">
        <v>174</v>
      </c>
      <c r="D22" s="177" t="s">
        <v>352</v>
      </c>
      <c r="E22" s="10" t="s">
        <v>176</v>
      </c>
      <c r="F22" s="53">
        <f t="shared" ref="F22:F23" si="13">K22+O22+P22+Q22+R22+S22</f>
        <v>1546000</v>
      </c>
      <c r="G22" s="54">
        <v>800000</v>
      </c>
      <c r="H22" s="54">
        <v>113982</v>
      </c>
      <c r="I22" s="54">
        <v>135000</v>
      </c>
      <c r="J22" s="54">
        <f>G22-I22</f>
        <v>665000</v>
      </c>
      <c r="K22" s="54">
        <v>773000</v>
      </c>
      <c r="L22" s="110"/>
      <c r="M22" s="57" t="s">
        <v>12</v>
      </c>
      <c r="N22" s="57"/>
      <c r="O22" s="54">
        <f>K22</f>
        <v>773000</v>
      </c>
      <c r="P22" s="54"/>
      <c r="Q22" s="54"/>
      <c r="R22" s="54"/>
      <c r="S22" s="54"/>
      <c r="T22" s="54"/>
      <c r="U22" s="161">
        <f t="shared" si="11"/>
        <v>773000</v>
      </c>
      <c r="V22" s="166"/>
      <c r="X22" s="143"/>
      <c r="Y22" s="147"/>
      <c r="Z22" s="155"/>
      <c r="AA22" s="119"/>
      <c r="AB22" s="120"/>
      <c r="AC22" s="120"/>
      <c r="AD22" s="120"/>
      <c r="AE22" s="120"/>
      <c r="AF22" s="120"/>
      <c r="AG22" s="120"/>
      <c r="AH22" s="120"/>
      <c r="AI22" s="120"/>
      <c r="AJ22" s="120">
        <f>O22-AL22</f>
        <v>561000</v>
      </c>
      <c r="AK22" s="120"/>
      <c r="AL22" s="120">
        <v>212000</v>
      </c>
      <c r="AM22" s="120"/>
      <c r="AN22" s="120"/>
      <c r="AO22" s="120"/>
      <c r="AP22" s="148"/>
      <c r="AQ22" s="15">
        <f t="shared" si="0"/>
        <v>773000</v>
      </c>
      <c r="AR22" s="16">
        <f t="shared" si="3"/>
        <v>0</v>
      </c>
      <c r="AT22" s="192">
        <f t="shared" si="4"/>
        <v>8.7322121604139713E-2</v>
      </c>
      <c r="AU22" s="204">
        <f t="shared" si="5"/>
        <v>400</v>
      </c>
      <c r="AV22" s="204">
        <f>I22*0.075/150</f>
        <v>67.5</v>
      </c>
    </row>
    <row r="23" spans="2:48" ht="14.7" customHeight="1" x14ac:dyDescent="0.3">
      <c r="B23" s="444"/>
      <c r="C23" s="8" t="s">
        <v>177</v>
      </c>
      <c r="D23" s="177" t="s">
        <v>178</v>
      </c>
      <c r="E23" s="10" t="s">
        <v>179</v>
      </c>
      <c r="F23" s="53">
        <f t="shared" si="13"/>
        <v>3470000</v>
      </c>
      <c r="G23" s="54">
        <v>500000</v>
      </c>
      <c r="H23" s="54">
        <v>0</v>
      </c>
      <c r="I23" s="54">
        <v>0</v>
      </c>
      <c r="J23" s="54">
        <f t="shared" si="12"/>
        <v>500000</v>
      </c>
      <c r="K23" s="54">
        <v>635000</v>
      </c>
      <c r="L23" s="110"/>
      <c r="M23" s="57"/>
      <c r="N23" s="57"/>
      <c r="O23" s="54">
        <v>635000</v>
      </c>
      <c r="P23" s="54">
        <v>2200000</v>
      </c>
      <c r="Q23" s="54"/>
      <c r="R23" s="54"/>
      <c r="S23" s="58"/>
      <c r="T23" s="58"/>
      <c r="U23" s="161">
        <f t="shared" si="11"/>
        <v>2835000</v>
      </c>
      <c r="V23" s="166">
        <v>500000</v>
      </c>
      <c r="W23" s="29" t="s">
        <v>364</v>
      </c>
      <c r="X23" s="143"/>
      <c r="Y23" s="147">
        <f>V23</f>
        <v>500000</v>
      </c>
      <c r="Z23" s="155"/>
      <c r="AA23" s="119"/>
      <c r="AB23" s="120"/>
      <c r="AC23" s="120"/>
      <c r="AD23" s="120"/>
      <c r="AE23" s="120"/>
      <c r="AF23" s="120"/>
      <c r="AG23" s="120"/>
      <c r="AH23" s="120"/>
      <c r="AI23" s="120"/>
      <c r="AJ23" s="120">
        <f>O23-Y23</f>
        <v>135000</v>
      </c>
      <c r="AK23" s="120"/>
      <c r="AL23" s="120"/>
      <c r="AM23" s="120"/>
      <c r="AN23" s="120"/>
      <c r="AO23" s="120"/>
      <c r="AP23" s="148"/>
      <c r="AQ23" s="15">
        <f t="shared" si="0"/>
        <v>635000</v>
      </c>
      <c r="AR23" s="16">
        <f t="shared" si="3"/>
        <v>0</v>
      </c>
      <c r="AT23" s="192">
        <f t="shared" si="4"/>
        <v>0</v>
      </c>
      <c r="AU23" s="204">
        <f t="shared" si="5"/>
        <v>250</v>
      </c>
      <c r="AV23" s="204">
        <f t="shared" si="6"/>
        <v>0</v>
      </c>
    </row>
    <row r="24" spans="2:48" s="26" customFormat="1" ht="14.7" customHeight="1" x14ac:dyDescent="0.3">
      <c r="B24" s="444"/>
      <c r="C24" s="30"/>
      <c r="D24" s="179"/>
      <c r="E24" s="189" t="s">
        <v>334</v>
      </c>
      <c r="F24" s="33">
        <f>SUM(F16:F23)</f>
        <v>17461363</v>
      </c>
      <c r="G24" s="33">
        <f>SUM(G16:G23)</f>
        <v>7297476</v>
      </c>
      <c r="H24" s="33">
        <f>SUM(H16:H23)</f>
        <v>147502</v>
      </c>
      <c r="I24" s="33"/>
      <c r="J24" s="33">
        <f>SUM(J16:J23)</f>
        <v>6028956</v>
      </c>
      <c r="K24" s="33">
        <f>SUM(K16:K23)</f>
        <v>4203892</v>
      </c>
      <c r="L24" s="33"/>
      <c r="M24" s="33"/>
      <c r="N24" s="33"/>
      <c r="O24" s="33">
        <f t="shared" ref="O24:V24" si="14">SUM(O16:O23)</f>
        <v>4203892</v>
      </c>
      <c r="P24" s="33">
        <f t="shared" si="14"/>
        <v>10880589</v>
      </c>
      <c r="Q24" s="33">
        <f t="shared" si="14"/>
        <v>0</v>
      </c>
      <c r="R24" s="33">
        <f t="shared" si="14"/>
        <v>0</v>
      </c>
      <c r="S24" s="33">
        <f t="shared" si="14"/>
        <v>0</v>
      </c>
      <c r="T24" s="33">
        <f t="shared" si="14"/>
        <v>0</v>
      </c>
      <c r="U24" s="145">
        <f t="shared" si="14"/>
        <v>15084481</v>
      </c>
      <c r="V24" s="169">
        <f t="shared" si="14"/>
        <v>5086941</v>
      </c>
      <c r="W24" s="139"/>
      <c r="X24" s="145"/>
      <c r="Y24" s="149">
        <f t="shared" ref="Y24:AP24" si="15">SUM(Y16:Y23)</f>
        <v>5086941</v>
      </c>
      <c r="Z24" s="94">
        <f t="shared" si="15"/>
        <v>0</v>
      </c>
      <c r="AA24" s="75">
        <f t="shared" si="15"/>
        <v>0</v>
      </c>
      <c r="AB24" s="25">
        <f t="shared" si="15"/>
        <v>0</v>
      </c>
      <c r="AC24" s="25">
        <f t="shared" si="15"/>
        <v>0</v>
      </c>
      <c r="AD24" s="25">
        <f t="shared" si="15"/>
        <v>0</v>
      </c>
      <c r="AE24" s="25">
        <f t="shared" si="15"/>
        <v>0</v>
      </c>
      <c r="AF24" s="25">
        <f t="shared" si="15"/>
        <v>0</v>
      </c>
      <c r="AG24" s="25">
        <f t="shared" si="15"/>
        <v>0</v>
      </c>
      <c r="AH24" s="25">
        <f t="shared" si="15"/>
        <v>0</v>
      </c>
      <c r="AI24" s="25">
        <f t="shared" si="15"/>
        <v>0</v>
      </c>
      <c r="AJ24" s="25">
        <f t="shared" si="15"/>
        <v>1180540</v>
      </c>
      <c r="AK24" s="25">
        <f t="shared" si="15"/>
        <v>0</v>
      </c>
      <c r="AL24" s="25">
        <f t="shared" si="15"/>
        <v>392000</v>
      </c>
      <c r="AM24" s="25">
        <f t="shared" si="15"/>
        <v>0</v>
      </c>
      <c r="AN24" s="25">
        <f t="shared" si="15"/>
        <v>0</v>
      </c>
      <c r="AO24" s="25">
        <f t="shared" si="15"/>
        <v>0</v>
      </c>
      <c r="AP24" s="94">
        <f t="shared" si="15"/>
        <v>0</v>
      </c>
      <c r="AQ24" s="15">
        <f t="shared" si="0"/>
        <v>6659481</v>
      </c>
      <c r="AR24" s="16"/>
      <c r="AS24" s="16"/>
      <c r="AT24" s="192"/>
      <c r="AU24" s="204"/>
      <c r="AV24" s="204">
        <f t="shared" si="6"/>
        <v>0</v>
      </c>
    </row>
    <row r="25" spans="2:48" ht="14.7" customHeight="1" x14ac:dyDescent="0.3">
      <c r="B25" s="448" t="s">
        <v>206</v>
      </c>
      <c r="D25" s="180" t="s">
        <v>354</v>
      </c>
      <c r="E25" s="10" t="s">
        <v>359</v>
      </c>
      <c r="F25" s="53">
        <f>K25+O25+P25+Q25+R25+S25</f>
        <v>194000</v>
      </c>
      <c r="G25" s="54">
        <v>257000</v>
      </c>
      <c r="H25" s="54">
        <v>0</v>
      </c>
      <c r="I25" s="54">
        <v>160000</v>
      </c>
      <c r="J25" s="54">
        <f t="shared" ref="J25" si="16">SUM(G25-(H25+I25))</f>
        <v>97000</v>
      </c>
      <c r="K25" s="54">
        <f>J25</f>
        <v>97000</v>
      </c>
      <c r="L25" s="112"/>
      <c r="M25" s="57" t="s">
        <v>12</v>
      </c>
      <c r="N25" s="57"/>
      <c r="O25" s="56">
        <f>K25</f>
        <v>97000</v>
      </c>
      <c r="P25" s="56"/>
      <c r="Q25" s="56"/>
      <c r="R25" s="56"/>
      <c r="S25" s="56"/>
      <c r="T25" s="56"/>
      <c r="U25" s="160">
        <f>SUM(O25:T25)</f>
        <v>97000</v>
      </c>
      <c r="V25" s="166"/>
      <c r="X25" s="142"/>
      <c r="Y25" s="147"/>
      <c r="Z25" s="155"/>
      <c r="AA25" s="119"/>
      <c r="AB25" s="120"/>
      <c r="AC25" s="120">
        <f>O25</f>
        <v>97000</v>
      </c>
      <c r="AD25" s="120"/>
      <c r="AE25" s="120"/>
      <c r="AF25" s="120"/>
      <c r="AG25" s="120"/>
      <c r="AH25" s="120"/>
      <c r="AI25" s="120"/>
      <c r="AJ25" s="120"/>
      <c r="AK25" s="120"/>
      <c r="AL25" s="120"/>
      <c r="AM25" s="120"/>
      <c r="AN25" s="120"/>
      <c r="AO25" s="120"/>
      <c r="AP25" s="148"/>
      <c r="AQ25" s="15">
        <f t="shared" si="0"/>
        <v>97000</v>
      </c>
      <c r="AR25" s="16">
        <f>K25-AQ25</f>
        <v>0</v>
      </c>
      <c r="AT25" s="192">
        <f t="shared" si="4"/>
        <v>0.82474226804123707</v>
      </c>
      <c r="AU25" s="204">
        <f t="shared" si="5"/>
        <v>128.5</v>
      </c>
      <c r="AV25" s="204">
        <f t="shared" si="6"/>
        <v>80</v>
      </c>
    </row>
    <row r="26" spans="2:48" s="26" customFormat="1" ht="14.7" customHeight="1" x14ac:dyDescent="0.3">
      <c r="B26" s="449"/>
      <c r="C26" s="36"/>
      <c r="D26" s="181"/>
      <c r="E26" s="190" t="s">
        <v>333</v>
      </c>
      <c r="F26" s="39">
        <f>SUM(F25:F25)</f>
        <v>194000</v>
      </c>
      <c r="G26" s="39">
        <f>SUM(G25:G25)</f>
        <v>257000</v>
      </c>
      <c r="H26" s="39">
        <f>SUM(H25:H25)</f>
        <v>0</v>
      </c>
      <c r="I26" s="39"/>
      <c r="J26" s="39">
        <f>SUM(J25:J25)</f>
        <v>97000</v>
      </c>
      <c r="K26" s="39">
        <f>SUM(K25:K25)</f>
        <v>97000</v>
      </c>
      <c r="L26" s="113"/>
      <c r="M26" s="40"/>
      <c r="N26" s="40"/>
      <c r="O26" s="39">
        <f>SUM(O25:O25)</f>
        <v>97000</v>
      </c>
      <c r="P26" s="39">
        <f>SUM(P25:P25)</f>
        <v>0</v>
      </c>
      <c r="Q26" s="39">
        <f>SUM(Q25:Q25)</f>
        <v>0</v>
      </c>
      <c r="R26" s="39">
        <f>SUM(R25:R25)</f>
        <v>0</v>
      </c>
      <c r="S26" s="39">
        <f>SUM(S25:S25)</f>
        <v>0</v>
      </c>
      <c r="T26" s="39"/>
      <c r="U26" s="146"/>
      <c r="V26" s="170">
        <f>SUM(V25:V25)</f>
        <v>0</v>
      </c>
      <c r="W26" s="140"/>
      <c r="X26" s="146"/>
      <c r="Y26" s="150">
        <f t="shared" ref="Y26:AP26" si="17">SUM(Y25:Y25)</f>
        <v>0</v>
      </c>
      <c r="Z26" s="151">
        <f t="shared" si="17"/>
        <v>0</v>
      </c>
      <c r="AA26" s="77">
        <f t="shared" si="17"/>
        <v>0</v>
      </c>
      <c r="AB26" s="77">
        <f t="shared" si="17"/>
        <v>0</v>
      </c>
      <c r="AC26" s="77">
        <f t="shared" si="17"/>
        <v>97000</v>
      </c>
      <c r="AD26" s="77">
        <f t="shared" si="17"/>
        <v>0</v>
      </c>
      <c r="AE26" s="77">
        <f t="shared" si="17"/>
        <v>0</v>
      </c>
      <c r="AF26" s="77">
        <f t="shared" si="17"/>
        <v>0</v>
      </c>
      <c r="AG26" s="77">
        <f t="shared" si="17"/>
        <v>0</v>
      </c>
      <c r="AH26" s="77">
        <f t="shared" si="17"/>
        <v>0</v>
      </c>
      <c r="AI26" s="77">
        <f t="shared" si="17"/>
        <v>0</v>
      </c>
      <c r="AJ26" s="77">
        <f t="shared" si="17"/>
        <v>0</v>
      </c>
      <c r="AK26" s="77">
        <f t="shared" si="17"/>
        <v>0</v>
      </c>
      <c r="AL26" s="77">
        <f t="shared" si="17"/>
        <v>0</v>
      </c>
      <c r="AM26" s="77">
        <f t="shared" si="17"/>
        <v>0</v>
      </c>
      <c r="AN26" s="77">
        <f t="shared" si="17"/>
        <v>0</v>
      </c>
      <c r="AO26" s="77">
        <f t="shared" si="17"/>
        <v>0</v>
      </c>
      <c r="AP26" s="151">
        <f t="shared" si="17"/>
        <v>0</v>
      </c>
      <c r="AQ26" s="15">
        <f t="shared" si="0"/>
        <v>97000</v>
      </c>
      <c r="AR26" s="16"/>
      <c r="AS26" s="182"/>
      <c r="AT26" s="192"/>
      <c r="AU26" s="204"/>
      <c r="AV26" s="204">
        <f t="shared" si="6"/>
        <v>0</v>
      </c>
    </row>
    <row r="27" spans="2:48" ht="14.7" customHeight="1" x14ac:dyDescent="0.3">
      <c r="B27" s="500" t="s">
        <v>242</v>
      </c>
      <c r="C27" s="8" t="s">
        <v>245</v>
      </c>
      <c r="D27" s="183" t="s">
        <v>246</v>
      </c>
      <c r="E27" s="42" t="s">
        <v>247</v>
      </c>
      <c r="F27" s="53">
        <v>4000000</v>
      </c>
      <c r="G27" s="116">
        <v>1353000</v>
      </c>
      <c r="H27" s="54">
        <v>60000</v>
      </c>
      <c r="I27" s="54">
        <v>180000</v>
      </c>
      <c r="J27" s="54">
        <f>G27-I27</f>
        <v>1173000</v>
      </c>
      <c r="K27" s="54">
        <f>911000-I27</f>
        <v>731000</v>
      </c>
      <c r="L27" s="110"/>
      <c r="M27" s="57" t="s">
        <v>248</v>
      </c>
      <c r="N27" s="57"/>
      <c r="O27" s="109">
        <f>K27</f>
        <v>731000</v>
      </c>
      <c r="P27" s="54"/>
      <c r="Q27" s="54"/>
      <c r="R27" s="54"/>
      <c r="S27" s="54"/>
      <c r="T27" s="54"/>
      <c r="U27" s="161">
        <f>SUM(N27:T27)</f>
        <v>731000</v>
      </c>
      <c r="V27" s="167">
        <v>911000</v>
      </c>
      <c r="W27" s="29" t="s">
        <v>249</v>
      </c>
      <c r="X27" s="142" t="s">
        <v>250</v>
      </c>
      <c r="Y27" s="147"/>
      <c r="Z27" s="155">
        <f>O27</f>
        <v>731000</v>
      </c>
      <c r="AA27" s="119"/>
      <c r="AB27" s="120"/>
      <c r="AC27" s="120"/>
      <c r="AD27" s="120"/>
      <c r="AE27" s="120"/>
      <c r="AF27" s="120"/>
      <c r="AG27" s="120"/>
      <c r="AH27" s="120"/>
      <c r="AI27" s="120"/>
      <c r="AJ27" s="120"/>
      <c r="AK27" s="120"/>
      <c r="AL27" s="121"/>
      <c r="AM27" s="120"/>
      <c r="AN27" s="120"/>
      <c r="AO27" s="120">
        <f>O27-Z27</f>
        <v>0</v>
      </c>
      <c r="AP27" s="148"/>
      <c r="AQ27" s="15">
        <f t="shared" si="0"/>
        <v>731000</v>
      </c>
      <c r="AR27" s="16">
        <f>K27-AQ27</f>
        <v>0</v>
      </c>
      <c r="AT27" s="192">
        <f t="shared" si="4"/>
        <v>4.4999999999999998E-2</v>
      </c>
      <c r="AU27" s="204">
        <f t="shared" si="5"/>
        <v>676.5</v>
      </c>
      <c r="AV27" s="204">
        <f t="shared" si="6"/>
        <v>90</v>
      </c>
    </row>
    <row r="28" spans="2:48" ht="14.7" customHeight="1" x14ac:dyDescent="0.3">
      <c r="B28" s="500"/>
      <c r="C28" s="8" t="s">
        <v>251</v>
      </c>
      <c r="D28" s="183" t="s">
        <v>252</v>
      </c>
      <c r="E28" s="42" t="s">
        <v>253</v>
      </c>
      <c r="F28" s="53">
        <v>6500000</v>
      </c>
      <c r="G28" s="116">
        <v>780000</v>
      </c>
      <c r="H28" s="54">
        <v>0</v>
      </c>
      <c r="I28" s="54">
        <v>50000</v>
      </c>
      <c r="J28" s="54">
        <f>G28-I28</f>
        <v>730000</v>
      </c>
      <c r="K28" s="54">
        <v>1250000</v>
      </c>
      <c r="L28" s="110"/>
      <c r="M28" s="57"/>
      <c r="N28" s="57"/>
      <c r="O28" s="118">
        <f>K28</f>
        <v>1250000</v>
      </c>
      <c r="P28" s="54">
        <f>2625000</f>
        <v>2625000</v>
      </c>
      <c r="Q28" s="54">
        <v>2625000</v>
      </c>
      <c r="R28" s="54"/>
      <c r="S28" s="54"/>
      <c r="T28" s="54"/>
      <c r="U28" s="161">
        <f t="shared" ref="U28" si="18">SUM(N28:T28)</f>
        <v>6500000</v>
      </c>
      <c r="V28" s="167"/>
      <c r="X28" s="142"/>
      <c r="Y28" s="147"/>
      <c r="Z28" s="155"/>
      <c r="AA28" s="119"/>
      <c r="AB28" s="120"/>
      <c r="AC28" s="120"/>
      <c r="AD28" s="120"/>
      <c r="AE28" s="120"/>
      <c r="AF28" s="120"/>
      <c r="AG28" s="120"/>
      <c r="AH28" s="120"/>
      <c r="AI28" s="120"/>
      <c r="AJ28" s="120"/>
      <c r="AK28" s="120"/>
      <c r="AL28" s="122"/>
      <c r="AM28" s="120"/>
      <c r="AN28" s="120"/>
      <c r="AO28" s="120">
        <f>O28</f>
        <v>1250000</v>
      </c>
      <c r="AP28" s="148"/>
      <c r="AQ28" s="15">
        <f t="shared" si="0"/>
        <v>1250000</v>
      </c>
      <c r="AR28" s="16">
        <f>K28-AQ28</f>
        <v>0</v>
      </c>
      <c r="AT28" s="192">
        <f t="shared" si="4"/>
        <v>7.6923076923076927E-3</v>
      </c>
      <c r="AU28" s="204">
        <f t="shared" si="5"/>
        <v>390</v>
      </c>
      <c r="AV28" s="204">
        <f t="shared" si="6"/>
        <v>25</v>
      </c>
    </row>
    <row r="29" spans="2:48" s="27" customFormat="1" ht="14.7" customHeight="1" thickBot="1" x14ac:dyDescent="0.35">
      <c r="B29" s="501"/>
      <c r="C29" s="107"/>
      <c r="D29" s="184"/>
      <c r="E29" s="191" t="s">
        <v>332</v>
      </c>
      <c r="F29" s="185">
        <f>SUM(F27:F28)</f>
        <v>10500000</v>
      </c>
      <c r="G29" s="185">
        <f>SUM(G27:G28)</f>
        <v>2133000</v>
      </c>
      <c r="H29" s="185">
        <f>SUM(H27:H28)</f>
        <v>60000</v>
      </c>
      <c r="I29" s="185"/>
      <c r="J29" s="185">
        <f>SUM(J27:J28)</f>
        <v>1903000</v>
      </c>
      <c r="K29" s="185">
        <f>SUM(K27:K28)</f>
        <v>1981000</v>
      </c>
      <c r="L29" s="185"/>
      <c r="M29" s="185">
        <f>SUM(M27:M28)</f>
        <v>0</v>
      </c>
      <c r="N29" s="185"/>
      <c r="O29" s="185">
        <f>SUM(O27:O28)</f>
        <v>1981000</v>
      </c>
      <c r="P29" s="185">
        <f>SUM(P27:P28)</f>
        <v>2625000</v>
      </c>
      <c r="Q29" s="185">
        <f>SUM(Q27:Q28)</f>
        <v>2625000</v>
      </c>
      <c r="R29" s="185">
        <f>SUM(R27:R28)</f>
        <v>0</v>
      </c>
      <c r="S29" s="185">
        <f>SUM(S27:S28)</f>
        <v>0</v>
      </c>
      <c r="T29" s="185"/>
      <c r="U29" s="173"/>
      <c r="V29" s="171">
        <f>SUM(V27:V28)</f>
        <v>911000</v>
      </c>
      <c r="W29" s="172"/>
      <c r="X29" s="173"/>
      <c r="Y29" s="174">
        <f t="shared" ref="Y29:AP29" si="19">SUM(Y27:Y28)</f>
        <v>0</v>
      </c>
      <c r="Z29" s="175">
        <f t="shared" si="19"/>
        <v>731000</v>
      </c>
      <c r="AA29" s="186">
        <f t="shared" si="19"/>
        <v>0</v>
      </c>
      <c r="AB29" s="186">
        <f t="shared" si="19"/>
        <v>0</v>
      </c>
      <c r="AC29" s="186">
        <f t="shared" si="19"/>
        <v>0</v>
      </c>
      <c r="AD29" s="186">
        <f t="shared" si="19"/>
        <v>0</v>
      </c>
      <c r="AE29" s="186">
        <f t="shared" si="19"/>
        <v>0</v>
      </c>
      <c r="AF29" s="186">
        <f t="shared" si="19"/>
        <v>0</v>
      </c>
      <c r="AG29" s="186">
        <f t="shared" si="19"/>
        <v>0</v>
      </c>
      <c r="AH29" s="186">
        <f t="shared" si="19"/>
        <v>0</v>
      </c>
      <c r="AI29" s="186">
        <f t="shared" si="19"/>
        <v>0</v>
      </c>
      <c r="AJ29" s="186">
        <f t="shared" si="19"/>
        <v>0</v>
      </c>
      <c r="AK29" s="186">
        <f t="shared" si="19"/>
        <v>0</v>
      </c>
      <c r="AL29" s="186">
        <f t="shared" si="19"/>
        <v>0</v>
      </c>
      <c r="AM29" s="186">
        <f t="shared" si="19"/>
        <v>0</v>
      </c>
      <c r="AN29" s="186">
        <f t="shared" si="19"/>
        <v>0</v>
      </c>
      <c r="AO29" s="186">
        <f t="shared" si="19"/>
        <v>1250000</v>
      </c>
      <c r="AP29" s="175">
        <f t="shared" si="19"/>
        <v>0</v>
      </c>
      <c r="AQ29" s="187"/>
      <c r="AR29" s="187"/>
      <c r="AS29" s="187"/>
      <c r="AT29" s="193"/>
      <c r="AU29" s="205"/>
      <c r="AV29" s="205"/>
    </row>
    <row r="30" spans="2:48" s="47" customFormat="1" ht="21.45" customHeight="1" thickBot="1" x14ac:dyDescent="0.35">
      <c r="B30" s="69"/>
      <c r="C30" s="70"/>
      <c r="D30" s="502" t="s">
        <v>336</v>
      </c>
      <c r="E30" s="503"/>
      <c r="F30" s="202">
        <f>SUM(F15+F24+F26+F29)</f>
        <v>52245363</v>
      </c>
      <c r="G30" s="71">
        <f>SUM(G15+G24+G26+G29)</f>
        <v>17938216</v>
      </c>
      <c r="H30" s="71">
        <f>SUM(H15+H24+H26+H29)</f>
        <v>2974534</v>
      </c>
      <c r="I30" s="202">
        <f>SUM(I5:I14,I16:I23,I25:I25,I27:I28)</f>
        <v>6620561</v>
      </c>
      <c r="J30" s="162">
        <f>SUM(J15+J24+J26+J29)</f>
        <v>10961160</v>
      </c>
      <c r="K30" s="162">
        <f>SUM(K15+K24+K26+K29)</f>
        <v>14306571</v>
      </c>
      <c r="L30" s="162"/>
      <c r="M30" s="162">
        <f>SUM(M15+M24+M26+M29)</f>
        <v>0</v>
      </c>
      <c r="N30" s="162"/>
      <c r="O30" s="162">
        <f>SUM(O15+O24+O26+O29)</f>
        <v>14306571</v>
      </c>
      <c r="P30" s="162">
        <f>SUM(P15+P24+P26+P29)</f>
        <v>20527374</v>
      </c>
      <c r="Q30" s="162">
        <f>SUM(Q15+Q24+Q26+Q29)</f>
        <v>3725000</v>
      </c>
      <c r="R30" s="162">
        <f>SUM(R15+R24+R26+R29)</f>
        <v>1100000</v>
      </c>
      <c r="S30" s="162">
        <f>SUM(S15+S24+S26+S29)</f>
        <v>1100000</v>
      </c>
      <c r="T30" s="162"/>
      <c r="U30" s="162"/>
      <c r="V30" s="162">
        <f>SUM(V15+V24+V26+V29)</f>
        <v>13901941</v>
      </c>
      <c r="W30" s="163"/>
      <c r="X30" s="164" t="s">
        <v>338</v>
      </c>
      <c r="Y30" s="197"/>
      <c r="Z30" s="198">
        <f t="shared" ref="Z30:AP30" si="20">SUM(Z29,Z26,Z24,Z15,)</f>
        <v>731000</v>
      </c>
      <c r="AA30" s="187">
        <f t="shared" si="20"/>
        <v>0</v>
      </c>
      <c r="AB30" s="187">
        <f t="shared" si="20"/>
        <v>0</v>
      </c>
      <c r="AC30" s="187">
        <f t="shared" si="20"/>
        <v>97000</v>
      </c>
      <c r="AD30" s="187">
        <f t="shared" si="20"/>
        <v>400000</v>
      </c>
      <c r="AE30" s="187">
        <f t="shared" si="20"/>
        <v>2802653</v>
      </c>
      <c r="AF30" s="187">
        <f t="shared" si="20"/>
        <v>134000</v>
      </c>
      <c r="AG30" s="187">
        <f t="shared" si="20"/>
        <v>0</v>
      </c>
      <c r="AH30" s="187">
        <f t="shared" si="20"/>
        <v>0</v>
      </c>
      <c r="AI30" s="187">
        <f t="shared" si="20"/>
        <v>46000</v>
      </c>
      <c r="AJ30" s="187">
        <f t="shared" si="20"/>
        <v>1180540</v>
      </c>
      <c r="AK30" s="187">
        <f t="shared" si="20"/>
        <v>0</v>
      </c>
      <c r="AL30" s="187">
        <f t="shared" si="20"/>
        <v>1947826</v>
      </c>
      <c r="AM30" s="187">
        <f t="shared" si="20"/>
        <v>0</v>
      </c>
      <c r="AN30" s="187">
        <f t="shared" si="20"/>
        <v>200000</v>
      </c>
      <c r="AO30" s="187">
        <f t="shared" si="20"/>
        <v>2392200</v>
      </c>
      <c r="AP30" s="198">
        <f t="shared" si="20"/>
        <v>600000</v>
      </c>
      <c r="AQ30" s="199"/>
      <c r="AR30" s="199"/>
      <c r="AS30" s="199"/>
      <c r="AT30" s="200" t="s">
        <v>380</v>
      </c>
      <c r="AU30" s="206">
        <f>SUM(AU5:AU29)</f>
        <v>8969.1080000000002</v>
      </c>
      <c r="AV30" s="206">
        <f>SUM(AV5:AV29)</f>
        <v>3310.2804999999998</v>
      </c>
    </row>
    <row r="31" spans="2:48" ht="21.6" thickBot="1" x14ac:dyDescent="0.35">
      <c r="B31" s="207"/>
      <c r="C31" s="208"/>
      <c r="D31" s="16"/>
      <c r="E31" s="133"/>
      <c r="F31" s="134"/>
      <c r="G31" s="135"/>
      <c r="H31" s="135"/>
      <c r="I31" s="135"/>
      <c r="J31" s="194"/>
      <c r="K31" s="86"/>
      <c r="L31" s="86"/>
      <c r="M31" s="86"/>
      <c r="N31" s="86"/>
      <c r="O31" s="86"/>
      <c r="P31" s="86"/>
      <c r="Q31" s="86"/>
      <c r="R31" s="86"/>
      <c r="S31" s="86"/>
      <c r="T31" s="86"/>
      <c r="U31" s="86"/>
      <c r="V31" s="86"/>
      <c r="W31" s="195"/>
      <c r="X31" s="196" t="s">
        <v>339</v>
      </c>
      <c r="Y31" s="156"/>
      <c r="Z31" s="154">
        <f t="shared" ref="Z31:AP31" si="21">Z1</f>
        <v>0</v>
      </c>
      <c r="AA31" s="153">
        <f t="shared" si="21"/>
        <v>0</v>
      </c>
      <c r="AB31" s="153">
        <f t="shared" si="21"/>
        <v>0</v>
      </c>
      <c r="AC31" s="153">
        <f t="shared" si="21"/>
        <v>0</v>
      </c>
      <c r="AD31" s="153">
        <f t="shared" si="21"/>
        <v>0</v>
      </c>
      <c r="AE31" s="153">
        <f t="shared" si="21"/>
        <v>0</v>
      </c>
      <c r="AF31" s="153">
        <f t="shared" si="21"/>
        <v>0</v>
      </c>
      <c r="AG31" s="153">
        <f t="shared" si="21"/>
        <v>0</v>
      </c>
      <c r="AH31" s="153">
        <f t="shared" si="21"/>
        <v>0</v>
      </c>
      <c r="AI31" s="153">
        <f t="shared" si="21"/>
        <v>0</v>
      </c>
      <c r="AJ31" s="153">
        <f t="shared" si="21"/>
        <v>0</v>
      </c>
      <c r="AK31" s="153">
        <f t="shared" si="21"/>
        <v>0</v>
      </c>
      <c r="AL31" s="153">
        <f t="shared" si="21"/>
        <v>0</v>
      </c>
      <c r="AM31" s="153">
        <f t="shared" si="21"/>
        <v>0</v>
      </c>
      <c r="AN31" s="153">
        <f t="shared" si="21"/>
        <v>0</v>
      </c>
      <c r="AO31" s="153">
        <f t="shared" si="21"/>
        <v>0</v>
      </c>
      <c r="AP31" s="154">
        <f t="shared" si="21"/>
        <v>0</v>
      </c>
      <c r="AT31" s="201" t="s">
        <v>379</v>
      </c>
      <c r="AU31" s="209">
        <f>AU30/1600</f>
        <v>5.6056925</v>
      </c>
      <c r="AV31" s="209">
        <f>AV30/1600</f>
        <v>2.0689253124999998</v>
      </c>
    </row>
    <row r="32" spans="2:48" ht="15" thickBot="1" x14ac:dyDescent="0.35">
      <c r="B32" s="131"/>
      <c r="C32" s="132"/>
      <c r="D32" s="16"/>
      <c r="E32" s="133"/>
      <c r="F32" s="134"/>
      <c r="G32" s="135"/>
      <c r="H32" s="135"/>
      <c r="I32" s="135"/>
      <c r="J32" s="135"/>
      <c r="K32" s="128"/>
      <c r="L32" s="128"/>
      <c r="M32" s="128"/>
      <c r="N32" s="128"/>
      <c r="O32" s="128"/>
      <c r="P32" s="128"/>
      <c r="Q32" s="128"/>
      <c r="R32" s="128"/>
      <c r="S32" s="128"/>
      <c r="T32" s="128"/>
      <c r="U32" s="128"/>
      <c r="V32" s="128"/>
      <c r="W32" s="141"/>
      <c r="X32" s="50" t="s">
        <v>377</v>
      </c>
      <c r="Y32" s="157">
        <f>SUM(Y26,Y15,Y24)</f>
        <v>8730941</v>
      </c>
      <c r="Z32" s="158"/>
    </row>
    <row r="33" spans="2:25" x14ac:dyDescent="0.3">
      <c r="B33" s="131"/>
      <c r="C33" s="132"/>
      <c r="D33" s="16"/>
      <c r="E33" s="133"/>
      <c r="F33" s="134"/>
      <c r="G33" s="135"/>
      <c r="H33" s="135"/>
      <c r="I33" s="135"/>
      <c r="J33" s="135"/>
      <c r="K33" s="128"/>
      <c r="L33" s="128"/>
      <c r="M33" s="128"/>
      <c r="N33" s="128"/>
      <c r="O33" s="128"/>
      <c r="P33" s="128"/>
      <c r="Q33" s="128"/>
      <c r="R33" s="128"/>
      <c r="S33" s="128"/>
      <c r="T33" s="128"/>
      <c r="U33" s="128"/>
      <c r="V33" s="128"/>
      <c r="W33" s="141"/>
      <c r="X33" s="50"/>
      <c r="Y33" s="128"/>
    </row>
    <row r="34" spans="2:25" x14ac:dyDescent="0.3">
      <c r="B34" s="131"/>
      <c r="C34" s="132"/>
      <c r="D34" s="16"/>
      <c r="E34" s="133"/>
      <c r="F34" s="134"/>
      <c r="G34" s="135"/>
      <c r="H34" s="135"/>
      <c r="I34" s="135"/>
      <c r="J34" s="135"/>
      <c r="K34" s="128"/>
      <c r="L34" s="128"/>
      <c r="M34" s="128"/>
      <c r="N34" s="128"/>
      <c r="O34" s="128"/>
      <c r="P34" s="128"/>
      <c r="Q34" s="128"/>
      <c r="R34" s="128"/>
      <c r="S34" s="128"/>
      <c r="T34" s="128"/>
      <c r="U34" s="128"/>
      <c r="V34" s="128"/>
      <c r="W34" s="141"/>
      <c r="X34" s="50"/>
      <c r="Y34" s="128"/>
    </row>
    <row r="35" spans="2:25" x14ac:dyDescent="0.3">
      <c r="B35" s="131"/>
      <c r="C35" s="132"/>
      <c r="D35" s="16"/>
      <c r="E35" s="133"/>
      <c r="F35" s="134"/>
      <c r="G35" s="135"/>
      <c r="H35" s="135"/>
      <c r="I35" s="135"/>
      <c r="J35" s="135"/>
      <c r="K35" s="128"/>
      <c r="L35" s="128"/>
      <c r="M35" s="128"/>
      <c r="N35" s="128"/>
      <c r="O35" s="128"/>
      <c r="P35" s="128"/>
      <c r="Q35" s="128"/>
      <c r="R35" s="128"/>
      <c r="S35" s="128"/>
      <c r="T35" s="128"/>
      <c r="U35" s="128"/>
      <c r="V35" s="128"/>
      <c r="W35" s="141"/>
      <c r="X35" s="50"/>
      <c r="Y35" s="128"/>
    </row>
    <row r="36" spans="2:25" x14ac:dyDescent="0.3">
      <c r="B36" s="131"/>
      <c r="C36" s="132"/>
      <c r="D36" s="16"/>
      <c r="E36" s="133"/>
      <c r="F36" s="134"/>
      <c r="G36" s="135"/>
      <c r="H36" s="135"/>
      <c r="I36" s="135"/>
      <c r="J36" s="135"/>
      <c r="K36" s="128"/>
      <c r="L36" s="128"/>
      <c r="M36" s="128"/>
      <c r="N36" s="128"/>
      <c r="O36" s="128"/>
      <c r="P36" s="128"/>
      <c r="Q36" s="128"/>
      <c r="R36" s="128"/>
      <c r="S36" s="128"/>
      <c r="T36" s="128"/>
      <c r="U36" s="128"/>
      <c r="V36" s="128"/>
      <c r="W36" s="141"/>
      <c r="X36" s="50"/>
      <c r="Y36" s="128"/>
    </row>
    <row r="37" spans="2:25" x14ac:dyDescent="0.3">
      <c r="B37" s="131"/>
      <c r="C37" s="132"/>
      <c r="D37" s="16"/>
      <c r="E37" s="133"/>
      <c r="F37" s="134"/>
      <c r="G37" s="135"/>
      <c r="H37" s="135"/>
      <c r="I37" s="135"/>
      <c r="J37" s="135"/>
      <c r="K37" s="128"/>
      <c r="L37" s="128"/>
      <c r="M37" s="128"/>
      <c r="N37" s="128"/>
      <c r="O37" s="128"/>
      <c r="P37" s="128"/>
      <c r="Q37" s="128"/>
      <c r="R37" s="128"/>
      <c r="S37" s="128"/>
      <c r="T37" s="128"/>
      <c r="U37" s="128"/>
      <c r="V37" s="128"/>
      <c r="W37" s="141"/>
      <c r="X37" s="50"/>
      <c r="Y37" s="128"/>
    </row>
    <row r="38" spans="2:25" x14ac:dyDescent="0.3">
      <c r="B38" s="131"/>
      <c r="C38" s="132"/>
      <c r="D38" s="16"/>
      <c r="E38" s="133"/>
      <c r="F38" s="134"/>
      <c r="G38" s="135"/>
      <c r="H38" s="135"/>
      <c r="I38" s="135"/>
      <c r="J38" s="135"/>
      <c r="K38" s="128"/>
      <c r="L38" s="128"/>
      <c r="M38" s="128"/>
      <c r="N38" s="128"/>
      <c r="O38" s="128"/>
      <c r="P38" s="128"/>
      <c r="Q38" s="128"/>
      <c r="R38" s="128"/>
      <c r="S38" s="128"/>
      <c r="T38" s="128"/>
      <c r="U38" s="128"/>
      <c r="V38" s="128"/>
      <c r="W38" s="141"/>
      <c r="X38" s="50"/>
      <c r="Y38" s="128"/>
    </row>
    <row r="39" spans="2:25" x14ac:dyDescent="0.3">
      <c r="B39" s="131"/>
      <c r="C39" s="132"/>
      <c r="D39" s="16"/>
      <c r="E39" s="133"/>
      <c r="F39" s="134"/>
      <c r="G39" s="135"/>
      <c r="H39" s="135"/>
      <c r="I39" s="135"/>
      <c r="J39" s="135"/>
      <c r="K39" s="128"/>
      <c r="L39" s="128"/>
      <c r="M39" s="128"/>
      <c r="N39" s="128"/>
      <c r="O39" s="128"/>
      <c r="P39" s="128"/>
      <c r="Q39" s="128"/>
      <c r="R39" s="128"/>
      <c r="S39" s="128"/>
      <c r="T39" s="128"/>
      <c r="U39" s="128"/>
      <c r="V39" s="128"/>
      <c r="W39" s="141"/>
      <c r="X39" s="50"/>
      <c r="Y39" s="128"/>
    </row>
    <row r="40" spans="2:25" x14ac:dyDescent="0.3">
      <c r="B40" s="131"/>
      <c r="C40" s="132"/>
      <c r="D40" s="16"/>
      <c r="E40" s="133"/>
      <c r="F40" s="134"/>
      <c r="G40" s="135"/>
      <c r="H40" s="135"/>
      <c r="I40" s="135"/>
      <c r="J40" s="135"/>
      <c r="K40" s="128"/>
      <c r="L40" s="128"/>
      <c r="M40" s="128"/>
      <c r="N40" s="128"/>
      <c r="O40" s="128"/>
      <c r="P40" s="128"/>
      <c r="Q40" s="128"/>
      <c r="R40" s="128"/>
      <c r="S40" s="128"/>
      <c r="T40" s="128"/>
      <c r="U40" s="128"/>
      <c r="V40" s="128"/>
      <c r="W40" s="141"/>
      <c r="X40" s="50"/>
      <c r="Y40" s="128"/>
    </row>
    <row r="41" spans="2:25" x14ac:dyDescent="0.3">
      <c r="B41" s="131"/>
      <c r="C41" s="132"/>
      <c r="D41" s="16"/>
      <c r="E41" s="133"/>
      <c r="F41" s="134"/>
      <c r="G41" s="135"/>
      <c r="H41" s="135"/>
      <c r="I41" s="135"/>
      <c r="J41" s="135"/>
      <c r="K41" s="128"/>
      <c r="L41" s="128"/>
      <c r="M41" s="128"/>
      <c r="N41" s="128"/>
      <c r="O41" s="128"/>
      <c r="P41" s="128"/>
      <c r="Q41" s="128"/>
      <c r="R41" s="128"/>
      <c r="S41" s="128"/>
      <c r="T41" s="128"/>
      <c r="U41" s="128"/>
      <c r="V41" s="128"/>
      <c r="W41" s="141"/>
      <c r="X41" s="50"/>
      <c r="Y41" s="128"/>
    </row>
    <row r="42" spans="2:25" x14ac:dyDescent="0.3">
      <c r="B42" s="131"/>
      <c r="C42" s="132"/>
      <c r="D42" s="16"/>
      <c r="E42" s="133"/>
      <c r="F42" s="134"/>
      <c r="G42" s="135"/>
      <c r="H42" s="135"/>
      <c r="I42" s="135"/>
      <c r="J42" s="135"/>
      <c r="K42" s="128"/>
      <c r="L42" s="128"/>
      <c r="M42" s="128"/>
      <c r="N42" s="128"/>
      <c r="O42" s="128"/>
      <c r="P42" s="128"/>
      <c r="Q42" s="128"/>
      <c r="R42" s="128"/>
      <c r="S42" s="128"/>
      <c r="T42" s="128"/>
      <c r="U42" s="128"/>
      <c r="V42" s="128"/>
      <c r="W42" s="141"/>
      <c r="X42" s="50"/>
      <c r="Y42" s="128"/>
    </row>
    <row r="43" spans="2:25" x14ac:dyDescent="0.3">
      <c r="B43" s="131"/>
      <c r="C43" s="132"/>
      <c r="D43" s="16"/>
      <c r="E43" s="133"/>
      <c r="F43" s="134"/>
      <c r="G43" s="135"/>
      <c r="H43" s="135"/>
      <c r="I43" s="135"/>
      <c r="J43" s="135"/>
      <c r="K43" s="128"/>
      <c r="L43" s="128"/>
      <c r="M43" s="128"/>
      <c r="N43" s="128"/>
      <c r="O43" s="128"/>
      <c r="P43" s="128"/>
      <c r="Q43" s="128"/>
      <c r="R43" s="128"/>
      <c r="S43" s="128"/>
      <c r="T43" s="128"/>
      <c r="U43" s="128"/>
      <c r="V43" s="128"/>
      <c r="W43" s="141"/>
      <c r="X43" s="50"/>
      <c r="Y43" s="128"/>
    </row>
    <row r="44" spans="2:25" x14ac:dyDescent="0.3">
      <c r="B44" s="131"/>
      <c r="C44" s="132"/>
      <c r="D44" s="16"/>
      <c r="E44" s="133"/>
      <c r="F44" s="134"/>
      <c r="G44" s="135"/>
      <c r="H44" s="135"/>
      <c r="I44" s="135"/>
      <c r="J44" s="135"/>
      <c r="K44" s="128"/>
      <c r="L44" s="128"/>
      <c r="M44" s="128"/>
      <c r="N44" s="128"/>
      <c r="O44" s="128"/>
      <c r="P44" s="128"/>
      <c r="Q44" s="128"/>
      <c r="R44" s="128"/>
      <c r="S44" s="128"/>
      <c r="T44" s="128"/>
      <c r="U44" s="128"/>
      <c r="V44" s="128"/>
      <c r="W44" s="141"/>
      <c r="X44" s="50"/>
      <c r="Y44" s="128"/>
    </row>
    <row r="45" spans="2:25" x14ac:dyDescent="0.3">
      <c r="B45" s="131"/>
      <c r="C45" s="132"/>
      <c r="D45" s="16"/>
      <c r="E45" s="133"/>
      <c r="F45" s="134"/>
      <c r="G45" s="135"/>
      <c r="H45" s="135"/>
      <c r="I45" s="135"/>
      <c r="J45" s="135"/>
      <c r="K45" s="128"/>
      <c r="L45" s="128"/>
      <c r="M45" s="128"/>
      <c r="N45" s="128"/>
      <c r="O45" s="128"/>
      <c r="P45" s="128"/>
      <c r="Q45" s="128"/>
      <c r="R45" s="128"/>
      <c r="S45" s="128"/>
      <c r="T45" s="128"/>
      <c r="U45" s="128"/>
      <c r="V45" s="128"/>
      <c r="W45" s="141"/>
      <c r="X45" s="50"/>
      <c r="Y45" s="128"/>
    </row>
    <row r="46" spans="2:25" x14ac:dyDescent="0.3">
      <c r="B46" s="131"/>
      <c r="C46" s="132"/>
      <c r="D46" s="16"/>
      <c r="E46" s="133"/>
      <c r="F46" s="134"/>
      <c r="G46" s="135"/>
      <c r="H46" s="135"/>
      <c r="I46" s="135"/>
      <c r="J46" s="135"/>
      <c r="K46" s="128"/>
      <c r="L46" s="128"/>
      <c r="M46" s="128"/>
      <c r="N46" s="128"/>
      <c r="O46" s="128"/>
      <c r="P46" s="128"/>
      <c r="Q46" s="128"/>
      <c r="R46" s="128"/>
      <c r="S46" s="128"/>
      <c r="T46" s="128"/>
      <c r="U46" s="128"/>
      <c r="V46" s="128"/>
      <c r="W46" s="141"/>
      <c r="X46" s="50"/>
      <c r="Y46" s="128"/>
    </row>
    <row r="47" spans="2:25" x14ac:dyDescent="0.3">
      <c r="B47" s="131"/>
      <c r="C47" s="132"/>
      <c r="D47" s="16"/>
      <c r="E47" s="133"/>
      <c r="F47" s="134"/>
      <c r="G47" s="135"/>
      <c r="H47" s="135"/>
      <c r="I47" s="135"/>
      <c r="J47" s="135"/>
      <c r="K47" s="128"/>
      <c r="L47" s="128"/>
      <c r="M47" s="128"/>
      <c r="N47" s="128"/>
      <c r="O47" s="128"/>
      <c r="P47" s="128"/>
      <c r="Q47" s="128"/>
      <c r="R47" s="128"/>
      <c r="S47" s="128"/>
      <c r="T47" s="128"/>
      <c r="U47" s="128"/>
      <c r="V47" s="128"/>
      <c r="W47" s="141"/>
      <c r="X47" s="50"/>
      <c r="Y47" s="128"/>
    </row>
    <row r="48" spans="2:25" x14ac:dyDescent="0.3">
      <c r="B48" s="131"/>
      <c r="C48" s="132"/>
      <c r="D48" s="16"/>
      <c r="E48" s="133"/>
      <c r="F48" s="134"/>
      <c r="G48" s="135"/>
      <c r="H48" s="135"/>
      <c r="I48" s="135"/>
      <c r="J48" s="135"/>
      <c r="K48" s="128"/>
      <c r="L48" s="128"/>
      <c r="M48" s="128"/>
      <c r="N48" s="128"/>
      <c r="O48" s="128"/>
      <c r="P48" s="128"/>
      <c r="Q48" s="128"/>
      <c r="R48" s="128"/>
      <c r="S48" s="128"/>
      <c r="T48" s="128"/>
      <c r="U48" s="128"/>
      <c r="V48" s="128"/>
      <c r="W48" s="141"/>
      <c r="X48" s="50"/>
      <c r="Y48" s="128"/>
    </row>
    <row r="49" spans="2:25" x14ac:dyDescent="0.3">
      <c r="B49" s="131"/>
      <c r="C49" s="132"/>
      <c r="D49" s="16"/>
      <c r="E49" s="133"/>
      <c r="F49" s="134"/>
      <c r="G49" s="135"/>
      <c r="H49" s="135"/>
      <c r="I49" s="135"/>
      <c r="J49" s="135"/>
      <c r="K49" s="128"/>
      <c r="L49" s="128"/>
      <c r="M49" s="128"/>
      <c r="N49" s="128"/>
      <c r="O49" s="128"/>
      <c r="P49" s="128"/>
      <c r="Q49" s="128"/>
      <c r="R49" s="128"/>
      <c r="S49" s="128"/>
      <c r="T49" s="128"/>
      <c r="U49" s="128"/>
      <c r="V49" s="128"/>
      <c r="W49" s="141"/>
      <c r="X49" s="50"/>
      <c r="Y49" s="128"/>
    </row>
    <row r="50" spans="2:25" x14ac:dyDescent="0.3">
      <c r="B50" s="131"/>
      <c r="C50" s="132"/>
      <c r="D50" s="16"/>
      <c r="E50" s="133"/>
      <c r="F50" s="134"/>
      <c r="G50" s="135"/>
      <c r="H50" s="135"/>
      <c r="I50" s="135"/>
      <c r="J50" s="135"/>
      <c r="K50" s="128"/>
      <c r="L50" s="128"/>
      <c r="M50" s="128"/>
      <c r="N50" s="128"/>
      <c r="O50" s="128"/>
      <c r="P50" s="128"/>
      <c r="Q50" s="128"/>
      <c r="R50" s="128"/>
      <c r="S50" s="128"/>
      <c r="T50" s="128"/>
      <c r="U50" s="128"/>
      <c r="V50" s="128"/>
      <c r="W50" s="141"/>
      <c r="X50" s="50"/>
      <c r="Y50" s="128"/>
    </row>
    <row r="51" spans="2:25" x14ac:dyDescent="0.3">
      <c r="B51" s="131"/>
      <c r="C51" s="132"/>
      <c r="D51" s="16"/>
      <c r="E51" s="133"/>
      <c r="F51" s="134"/>
      <c r="G51" s="135"/>
      <c r="H51" s="135"/>
      <c r="I51" s="135"/>
      <c r="J51" s="135"/>
      <c r="K51" s="128"/>
      <c r="L51" s="128"/>
      <c r="M51" s="128"/>
      <c r="N51" s="128"/>
      <c r="O51" s="128"/>
      <c r="P51" s="128"/>
      <c r="Q51" s="128"/>
      <c r="R51" s="128"/>
      <c r="S51" s="128"/>
      <c r="T51" s="128"/>
      <c r="U51" s="128"/>
      <c r="V51" s="128"/>
      <c r="W51" s="141"/>
      <c r="X51" s="50"/>
      <c r="Y51" s="128"/>
    </row>
    <row r="52" spans="2:25" x14ac:dyDescent="0.3">
      <c r="B52" s="131"/>
      <c r="C52" s="132"/>
      <c r="D52" s="16"/>
      <c r="E52" s="133"/>
      <c r="F52" s="134"/>
      <c r="G52" s="135"/>
      <c r="H52" s="135"/>
      <c r="I52" s="135"/>
      <c r="J52" s="135"/>
      <c r="K52" s="128"/>
      <c r="L52" s="128"/>
      <c r="M52" s="128"/>
      <c r="N52" s="128"/>
      <c r="O52" s="128"/>
      <c r="P52" s="128"/>
      <c r="Q52" s="128"/>
      <c r="R52" s="128"/>
      <c r="S52" s="128"/>
      <c r="T52" s="128"/>
      <c r="U52" s="128"/>
      <c r="V52" s="128"/>
      <c r="W52" s="141"/>
      <c r="X52" s="50"/>
      <c r="Y52" s="128"/>
    </row>
    <row r="53" spans="2:25" x14ac:dyDescent="0.3">
      <c r="B53" s="131"/>
      <c r="C53" s="132"/>
      <c r="D53" s="16"/>
      <c r="E53" s="133"/>
      <c r="F53" s="134"/>
      <c r="G53" s="135"/>
      <c r="H53" s="135"/>
      <c r="I53" s="135"/>
      <c r="J53" s="135"/>
      <c r="K53" s="128"/>
      <c r="L53" s="128"/>
      <c r="M53" s="128"/>
      <c r="N53" s="128"/>
      <c r="O53" s="128"/>
      <c r="P53" s="128"/>
      <c r="Q53" s="128"/>
      <c r="R53" s="128"/>
      <c r="S53" s="128"/>
      <c r="T53" s="128"/>
      <c r="U53" s="128"/>
      <c r="V53" s="128"/>
      <c r="W53" s="141"/>
      <c r="X53" s="50"/>
      <c r="Y53" s="128"/>
    </row>
    <row r="54" spans="2:25" x14ac:dyDescent="0.3">
      <c r="B54" s="131"/>
      <c r="C54" s="132"/>
      <c r="D54" s="16"/>
      <c r="E54" s="133"/>
      <c r="F54" s="134"/>
      <c r="G54" s="135"/>
      <c r="H54" s="135"/>
      <c r="I54" s="135"/>
      <c r="J54" s="135"/>
      <c r="K54" s="128"/>
      <c r="L54" s="128"/>
      <c r="M54" s="128"/>
      <c r="N54" s="128"/>
      <c r="O54" s="128"/>
      <c r="P54" s="128"/>
      <c r="Q54" s="128"/>
      <c r="R54" s="128"/>
      <c r="S54" s="128"/>
      <c r="T54" s="128"/>
      <c r="U54" s="128"/>
      <c r="V54" s="128"/>
      <c r="W54" s="141"/>
      <c r="X54" s="50"/>
      <c r="Y54" s="128"/>
    </row>
    <row r="55" spans="2:25" x14ac:dyDescent="0.3">
      <c r="B55" s="131"/>
      <c r="C55" s="132"/>
      <c r="D55" s="16"/>
      <c r="E55" s="133"/>
      <c r="F55" s="134"/>
      <c r="G55" s="135"/>
      <c r="H55" s="135"/>
      <c r="I55" s="135"/>
      <c r="J55" s="135"/>
      <c r="K55" s="128"/>
      <c r="L55" s="128"/>
      <c r="M55" s="128"/>
      <c r="N55" s="128"/>
      <c r="O55" s="128"/>
      <c r="P55" s="128"/>
      <c r="Q55" s="128"/>
      <c r="R55" s="128"/>
      <c r="S55" s="128"/>
      <c r="T55" s="128"/>
      <c r="U55" s="128"/>
      <c r="V55" s="128"/>
      <c r="W55" s="141"/>
      <c r="X55" s="50"/>
      <c r="Y55" s="128"/>
    </row>
    <row r="56" spans="2:25" x14ac:dyDescent="0.3">
      <c r="B56" s="131"/>
      <c r="C56" s="132"/>
      <c r="D56" s="16"/>
      <c r="E56" s="133"/>
      <c r="F56" s="134"/>
      <c r="G56" s="135"/>
      <c r="H56" s="135"/>
      <c r="I56" s="135"/>
      <c r="J56" s="135"/>
      <c r="K56" s="128"/>
      <c r="L56" s="128"/>
      <c r="M56" s="128"/>
      <c r="N56" s="128"/>
      <c r="O56" s="128"/>
      <c r="P56" s="128"/>
      <c r="Q56" s="128"/>
      <c r="R56" s="128"/>
      <c r="S56" s="128"/>
      <c r="T56" s="128"/>
      <c r="U56" s="128"/>
      <c r="V56" s="128"/>
      <c r="W56" s="141"/>
      <c r="X56" s="50"/>
      <c r="Y56" s="128"/>
    </row>
    <row r="57" spans="2:25" x14ac:dyDescent="0.3">
      <c r="B57" s="131"/>
      <c r="C57" s="132"/>
      <c r="D57" s="16"/>
      <c r="E57" s="133"/>
      <c r="F57" s="134"/>
      <c r="G57" s="135"/>
      <c r="H57" s="135"/>
      <c r="I57" s="135"/>
      <c r="J57" s="135"/>
      <c r="K57" s="128"/>
      <c r="L57" s="128"/>
      <c r="M57" s="128"/>
      <c r="N57" s="128"/>
      <c r="O57" s="128"/>
      <c r="P57" s="128"/>
      <c r="Q57" s="128"/>
      <c r="R57" s="128"/>
      <c r="S57" s="128"/>
      <c r="T57" s="128"/>
      <c r="U57" s="128"/>
      <c r="V57" s="128"/>
      <c r="W57" s="141"/>
      <c r="X57" s="50"/>
      <c r="Y57" s="128"/>
    </row>
    <row r="58" spans="2:25" x14ac:dyDescent="0.3">
      <c r="B58" s="131"/>
      <c r="C58" s="132"/>
      <c r="D58" s="16"/>
      <c r="E58" s="133"/>
      <c r="F58" s="134"/>
      <c r="G58" s="135"/>
      <c r="H58" s="135"/>
      <c r="I58" s="135"/>
      <c r="J58" s="135"/>
      <c r="K58" s="128"/>
      <c r="L58" s="128"/>
      <c r="M58" s="128"/>
      <c r="N58" s="128"/>
      <c r="O58" s="128"/>
      <c r="P58" s="128"/>
      <c r="Q58" s="128"/>
      <c r="R58" s="128"/>
      <c r="S58" s="128"/>
      <c r="T58" s="128"/>
      <c r="U58" s="128"/>
      <c r="V58" s="128"/>
      <c r="W58" s="141"/>
      <c r="X58" s="50"/>
      <c r="Y58" s="128"/>
    </row>
    <row r="59" spans="2:25" x14ac:dyDescent="0.3">
      <c r="B59" s="131"/>
      <c r="C59" s="132"/>
      <c r="D59" s="16"/>
      <c r="E59" s="133"/>
      <c r="F59" s="134"/>
      <c r="G59" s="135"/>
      <c r="H59" s="135"/>
      <c r="I59" s="135"/>
      <c r="J59" s="135"/>
      <c r="K59" s="128"/>
      <c r="L59" s="128"/>
      <c r="M59" s="128"/>
      <c r="N59" s="128"/>
      <c r="O59" s="128"/>
      <c r="P59" s="128"/>
      <c r="Q59" s="128"/>
      <c r="R59" s="128"/>
      <c r="S59" s="128"/>
      <c r="T59" s="128"/>
      <c r="U59" s="128"/>
      <c r="V59" s="128"/>
      <c r="W59" s="141"/>
      <c r="X59" s="50"/>
      <c r="Y59" s="128"/>
    </row>
    <row r="60" spans="2:25" x14ac:dyDescent="0.3">
      <c r="B60" s="131"/>
      <c r="C60" s="132"/>
      <c r="D60" s="16"/>
      <c r="E60" s="133"/>
      <c r="F60" s="134"/>
      <c r="G60" s="135"/>
      <c r="H60" s="135"/>
      <c r="I60" s="135"/>
      <c r="J60" s="135"/>
      <c r="K60" s="128"/>
      <c r="L60" s="128"/>
      <c r="M60" s="128"/>
      <c r="N60" s="128"/>
      <c r="O60" s="128"/>
      <c r="P60" s="128"/>
      <c r="Q60" s="128"/>
      <c r="R60" s="128"/>
      <c r="S60" s="128"/>
      <c r="T60" s="128"/>
      <c r="U60" s="128"/>
      <c r="V60" s="128"/>
      <c r="W60" s="141"/>
      <c r="X60" s="50"/>
      <c r="Y60" s="128"/>
    </row>
    <row r="61" spans="2:25" x14ac:dyDescent="0.3">
      <c r="B61" s="131"/>
      <c r="C61" s="132"/>
      <c r="D61" s="16"/>
      <c r="E61" s="133"/>
      <c r="F61" s="134"/>
      <c r="G61" s="135"/>
      <c r="H61" s="135"/>
      <c r="I61" s="135"/>
      <c r="J61" s="135"/>
      <c r="K61" s="128"/>
      <c r="L61" s="128"/>
      <c r="M61" s="128"/>
      <c r="N61" s="128"/>
      <c r="O61" s="128"/>
      <c r="P61" s="128"/>
      <c r="Q61" s="128"/>
      <c r="R61" s="128"/>
      <c r="S61" s="128"/>
      <c r="T61" s="128"/>
      <c r="U61" s="128"/>
      <c r="V61" s="128"/>
      <c r="W61" s="141"/>
      <c r="X61" s="50"/>
      <c r="Y61" s="128"/>
    </row>
    <row r="62" spans="2:25" x14ac:dyDescent="0.3">
      <c r="B62" s="131"/>
      <c r="C62" s="132"/>
      <c r="D62" s="16"/>
      <c r="E62" s="133"/>
      <c r="F62" s="134"/>
      <c r="G62" s="135"/>
      <c r="H62" s="135"/>
      <c r="I62" s="135"/>
      <c r="J62" s="135"/>
      <c r="K62" s="128"/>
      <c r="L62" s="128"/>
      <c r="M62" s="128"/>
      <c r="N62" s="128"/>
      <c r="O62" s="128"/>
      <c r="P62" s="128"/>
      <c r="Q62" s="128"/>
      <c r="R62" s="128"/>
      <c r="S62" s="128"/>
      <c r="T62" s="128"/>
      <c r="U62" s="128"/>
      <c r="V62" s="128"/>
      <c r="W62" s="141"/>
      <c r="X62" s="50"/>
      <c r="Y62" s="128"/>
    </row>
    <row r="63" spans="2:25" x14ac:dyDescent="0.3">
      <c r="B63" s="131"/>
      <c r="C63" s="132"/>
      <c r="D63" s="16"/>
      <c r="E63" s="133"/>
      <c r="F63" s="134"/>
      <c r="G63" s="135"/>
      <c r="H63" s="135"/>
      <c r="I63" s="135"/>
      <c r="J63" s="135"/>
      <c r="K63" s="128"/>
      <c r="L63" s="128"/>
      <c r="M63" s="128"/>
      <c r="N63" s="128"/>
      <c r="O63" s="128"/>
      <c r="P63" s="128"/>
      <c r="Q63" s="128"/>
      <c r="R63" s="128"/>
      <c r="S63" s="128"/>
      <c r="T63" s="128"/>
      <c r="U63" s="128"/>
      <c r="V63" s="128"/>
      <c r="W63" s="141"/>
      <c r="X63" s="50"/>
      <c r="Y63" s="128"/>
    </row>
    <row r="64" spans="2:25" x14ac:dyDescent="0.3">
      <c r="B64" s="131"/>
      <c r="C64" s="132"/>
      <c r="D64" s="16"/>
      <c r="E64" s="133"/>
      <c r="F64" s="134"/>
      <c r="G64" s="135"/>
      <c r="H64" s="135"/>
      <c r="I64" s="135"/>
      <c r="J64" s="135"/>
      <c r="K64" s="128"/>
      <c r="L64" s="128"/>
      <c r="M64" s="128"/>
      <c r="N64" s="128"/>
      <c r="O64" s="128"/>
      <c r="P64" s="128"/>
      <c r="Q64" s="128"/>
      <c r="R64" s="128"/>
      <c r="S64" s="128"/>
      <c r="T64" s="128"/>
      <c r="U64" s="128"/>
      <c r="V64" s="128"/>
      <c r="W64" s="141"/>
      <c r="X64" s="50"/>
      <c r="Y64" s="128"/>
    </row>
    <row r="65" spans="2:25" x14ac:dyDescent="0.3">
      <c r="B65" s="131"/>
      <c r="C65" s="132"/>
      <c r="D65" s="16"/>
      <c r="E65" s="133"/>
      <c r="F65" s="134"/>
      <c r="G65" s="135"/>
      <c r="H65" s="135"/>
      <c r="I65" s="135"/>
      <c r="J65" s="135"/>
      <c r="K65" s="128"/>
      <c r="L65" s="128"/>
      <c r="M65" s="128"/>
      <c r="N65" s="128"/>
      <c r="O65" s="128"/>
      <c r="P65" s="128"/>
      <c r="Q65" s="128"/>
      <c r="R65" s="128"/>
      <c r="S65" s="128"/>
      <c r="T65" s="128"/>
      <c r="U65" s="128"/>
      <c r="V65" s="128"/>
      <c r="W65" s="141"/>
      <c r="X65" s="50"/>
      <c r="Y65" s="128"/>
    </row>
    <row r="66" spans="2:25" x14ac:dyDescent="0.3">
      <c r="B66" s="131"/>
      <c r="C66" s="132"/>
      <c r="D66" s="16"/>
      <c r="E66" s="133"/>
      <c r="F66" s="134"/>
      <c r="G66" s="135"/>
      <c r="H66" s="135"/>
      <c r="I66" s="135"/>
      <c r="J66" s="135"/>
      <c r="K66" s="128"/>
      <c r="L66" s="128"/>
      <c r="M66" s="128"/>
      <c r="N66" s="128"/>
      <c r="O66" s="128"/>
      <c r="P66" s="128"/>
      <c r="Q66" s="128"/>
      <c r="R66" s="128"/>
      <c r="S66" s="128"/>
      <c r="T66" s="128"/>
      <c r="U66" s="128"/>
      <c r="V66" s="128"/>
      <c r="W66" s="141"/>
      <c r="X66" s="50"/>
      <c r="Y66" s="128"/>
    </row>
    <row r="67" spans="2:25" x14ac:dyDescent="0.3">
      <c r="B67" s="131"/>
      <c r="C67" s="132"/>
      <c r="D67" s="16"/>
      <c r="E67" s="133"/>
      <c r="F67" s="134"/>
      <c r="G67" s="135"/>
      <c r="H67" s="135"/>
      <c r="I67" s="135"/>
      <c r="J67" s="135"/>
      <c r="K67" s="128"/>
      <c r="L67" s="128"/>
      <c r="M67" s="128"/>
      <c r="N67" s="128"/>
      <c r="O67" s="128"/>
      <c r="P67" s="128"/>
      <c r="Q67" s="128"/>
      <c r="R67" s="128"/>
      <c r="S67" s="128"/>
      <c r="T67" s="128"/>
      <c r="U67" s="128"/>
      <c r="V67" s="128"/>
      <c r="W67" s="141"/>
      <c r="X67" s="50"/>
      <c r="Y67" s="128"/>
    </row>
    <row r="68" spans="2:25" x14ac:dyDescent="0.3">
      <c r="B68" s="131"/>
      <c r="C68" s="132"/>
      <c r="D68" s="16"/>
      <c r="E68" s="133"/>
      <c r="F68" s="134"/>
      <c r="G68" s="135"/>
      <c r="H68" s="135"/>
      <c r="I68" s="135"/>
      <c r="J68" s="135"/>
      <c r="K68" s="128"/>
      <c r="L68" s="128"/>
      <c r="M68" s="128"/>
      <c r="N68" s="128"/>
      <c r="O68" s="128"/>
      <c r="P68" s="128"/>
      <c r="Q68" s="128"/>
      <c r="R68" s="128"/>
      <c r="S68" s="128"/>
      <c r="T68" s="128"/>
      <c r="U68" s="128"/>
      <c r="V68" s="128"/>
      <c r="W68" s="141"/>
      <c r="X68" s="50"/>
      <c r="Y68" s="128"/>
    </row>
    <row r="69" spans="2:25" x14ac:dyDescent="0.3">
      <c r="B69" s="131"/>
      <c r="C69" s="132"/>
      <c r="D69" s="16"/>
      <c r="E69" s="133"/>
      <c r="F69" s="134"/>
      <c r="G69" s="135"/>
      <c r="H69" s="135"/>
      <c r="I69" s="135"/>
      <c r="J69" s="135"/>
      <c r="K69" s="128"/>
      <c r="L69" s="128"/>
      <c r="M69" s="128"/>
      <c r="N69" s="128"/>
      <c r="O69" s="128"/>
      <c r="P69" s="128"/>
      <c r="Q69" s="128"/>
      <c r="R69" s="128"/>
      <c r="S69" s="128"/>
      <c r="T69" s="128"/>
      <c r="U69" s="128"/>
      <c r="V69" s="128"/>
      <c r="W69" s="141"/>
      <c r="X69" s="50"/>
      <c r="Y69" s="128"/>
    </row>
    <row r="70" spans="2:25" x14ac:dyDescent="0.3">
      <c r="B70" s="131"/>
      <c r="C70" s="132"/>
      <c r="D70" s="16"/>
      <c r="E70" s="133"/>
      <c r="F70" s="134"/>
      <c r="G70" s="135"/>
      <c r="H70" s="135"/>
      <c r="I70" s="135"/>
      <c r="J70" s="135"/>
      <c r="K70" s="128"/>
      <c r="L70" s="128"/>
      <c r="M70" s="128"/>
      <c r="N70" s="128"/>
      <c r="O70" s="128"/>
      <c r="P70" s="128"/>
      <c r="Q70" s="128"/>
      <c r="R70" s="128"/>
      <c r="S70" s="128"/>
      <c r="T70" s="128"/>
      <c r="U70" s="128"/>
      <c r="V70" s="128"/>
      <c r="W70" s="141"/>
      <c r="X70" s="50"/>
      <c r="Y70" s="128"/>
    </row>
    <row r="71" spans="2:25" x14ac:dyDescent="0.3">
      <c r="B71" s="131"/>
      <c r="C71" s="132"/>
      <c r="D71" s="16"/>
      <c r="E71" s="133"/>
      <c r="F71" s="134"/>
      <c r="G71" s="135"/>
      <c r="H71" s="135"/>
      <c r="I71" s="135"/>
      <c r="J71" s="135"/>
      <c r="K71" s="128"/>
      <c r="L71" s="128"/>
      <c r="M71" s="128"/>
      <c r="N71" s="128"/>
      <c r="O71" s="128"/>
      <c r="P71" s="128"/>
      <c r="Q71" s="128"/>
      <c r="R71" s="128"/>
      <c r="S71" s="128"/>
      <c r="T71" s="128"/>
      <c r="U71" s="128"/>
      <c r="V71" s="128"/>
      <c r="W71" s="141"/>
      <c r="X71" s="50"/>
      <c r="Y71" s="128"/>
    </row>
    <row r="72" spans="2:25" x14ac:dyDescent="0.3">
      <c r="B72" s="131"/>
      <c r="C72" s="132"/>
      <c r="D72" s="16"/>
      <c r="E72" s="133"/>
      <c r="F72" s="134"/>
      <c r="G72" s="135"/>
      <c r="H72" s="135"/>
      <c r="I72" s="135"/>
      <c r="J72" s="135"/>
      <c r="K72" s="128"/>
      <c r="L72" s="128"/>
      <c r="M72" s="128"/>
      <c r="N72" s="128"/>
      <c r="O72" s="128"/>
      <c r="P72" s="128"/>
      <c r="Q72" s="128"/>
      <c r="R72" s="128"/>
      <c r="S72" s="128"/>
      <c r="T72" s="128"/>
      <c r="U72" s="128"/>
      <c r="V72" s="128"/>
      <c r="W72" s="141"/>
      <c r="X72" s="50"/>
      <c r="Y72" s="128"/>
    </row>
    <row r="73" spans="2:25" x14ac:dyDescent="0.3">
      <c r="B73" s="131"/>
      <c r="C73" s="132"/>
      <c r="D73" s="16"/>
      <c r="E73" s="133"/>
      <c r="F73" s="134"/>
      <c r="G73" s="135"/>
      <c r="H73" s="135"/>
      <c r="I73" s="135"/>
      <c r="J73" s="135"/>
      <c r="K73" s="128"/>
      <c r="L73" s="128"/>
      <c r="M73" s="128"/>
      <c r="N73" s="128"/>
      <c r="O73" s="128"/>
      <c r="P73" s="128"/>
      <c r="Q73" s="128"/>
      <c r="R73" s="128"/>
      <c r="S73" s="128"/>
      <c r="T73" s="128"/>
      <c r="U73" s="128"/>
      <c r="V73" s="128"/>
      <c r="W73" s="141"/>
      <c r="X73" s="50"/>
      <c r="Y73" s="128"/>
    </row>
    <row r="74" spans="2:25" x14ac:dyDescent="0.3">
      <c r="B74" s="131"/>
      <c r="C74" s="132"/>
      <c r="D74" s="16"/>
      <c r="E74" s="133"/>
      <c r="F74" s="134"/>
      <c r="G74" s="135"/>
      <c r="H74" s="135"/>
      <c r="I74" s="135"/>
      <c r="J74" s="135"/>
      <c r="K74" s="128"/>
      <c r="L74" s="128"/>
      <c r="M74" s="128"/>
      <c r="N74" s="128"/>
      <c r="O74" s="128"/>
      <c r="P74" s="128"/>
      <c r="Q74" s="128"/>
      <c r="R74" s="128"/>
      <c r="S74" s="128"/>
      <c r="T74" s="128"/>
      <c r="U74" s="128"/>
      <c r="V74" s="128"/>
      <c r="W74" s="141"/>
      <c r="X74" s="50"/>
      <c r="Y74" s="128"/>
    </row>
    <row r="75" spans="2:25" x14ac:dyDescent="0.3">
      <c r="B75" s="131"/>
      <c r="C75" s="132"/>
      <c r="D75" s="16"/>
      <c r="E75" s="133"/>
      <c r="F75" s="134"/>
      <c r="G75" s="135"/>
      <c r="H75" s="135"/>
      <c r="I75" s="135"/>
      <c r="J75" s="135"/>
      <c r="K75" s="128"/>
      <c r="L75" s="128"/>
      <c r="M75" s="128"/>
      <c r="N75" s="128"/>
      <c r="O75" s="128"/>
      <c r="P75" s="128"/>
      <c r="Q75" s="128"/>
      <c r="R75" s="128"/>
      <c r="S75" s="128"/>
      <c r="T75" s="128"/>
      <c r="U75" s="128"/>
      <c r="V75" s="128"/>
      <c r="W75" s="141"/>
      <c r="X75" s="50"/>
      <c r="Y75" s="128"/>
    </row>
    <row r="76" spans="2:25" x14ac:dyDescent="0.3">
      <c r="B76" s="131"/>
      <c r="C76" s="132"/>
      <c r="D76" s="16"/>
      <c r="E76" s="133"/>
      <c r="F76" s="134"/>
      <c r="G76" s="135"/>
      <c r="H76" s="135"/>
      <c r="I76" s="135"/>
      <c r="J76" s="135"/>
      <c r="K76" s="128"/>
      <c r="L76" s="128"/>
      <c r="M76" s="128"/>
      <c r="N76" s="128"/>
      <c r="O76" s="128"/>
      <c r="P76" s="128"/>
      <c r="Q76" s="128"/>
      <c r="R76" s="128"/>
      <c r="S76" s="128"/>
      <c r="T76" s="128"/>
      <c r="U76" s="128"/>
      <c r="V76" s="128"/>
      <c r="W76" s="141"/>
      <c r="X76" s="50"/>
      <c r="Y76" s="128"/>
    </row>
    <row r="77" spans="2:25" x14ac:dyDescent="0.3">
      <c r="B77" s="131"/>
      <c r="C77" s="132"/>
      <c r="D77" s="16"/>
      <c r="E77" s="133"/>
      <c r="F77" s="134"/>
      <c r="G77" s="135"/>
      <c r="H77" s="135"/>
      <c r="I77" s="135"/>
      <c r="J77" s="135"/>
      <c r="K77" s="128"/>
      <c r="L77" s="128"/>
      <c r="M77" s="128"/>
      <c r="N77" s="128"/>
      <c r="O77" s="128"/>
      <c r="P77" s="128"/>
      <c r="Q77" s="128"/>
      <c r="R77" s="128"/>
      <c r="S77" s="128"/>
      <c r="T77" s="128"/>
      <c r="U77" s="128"/>
      <c r="V77" s="128"/>
      <c r="W77" s="141"/>
      <c r="X77" s="50"/>
      <c r="Y77" s="128"/>
    </row>
    <row r="78" spans="2:25" x14ac:dyDescent="0.3">
      <c r="B78" s="131"/>
      <c r="C78" s="132"/>
      <c r="D78" s="16"/>
      <c r="E78" s="133"/>
      <c r="F78" s="134"/>
      <c r="G78" s="135"/>
      <c r="H78" s="135"/>
      <c r="I78" s="135"/>
      <c r="J78" s="135"/>
      <c r="K78" s="128"/>
      <c r="L78" s="128"/>
      <c r="M78" s="128"/>
      <c r="N78" s="128"/>
      <c r="O78" s="128"/>
      <c r="P78" s="128"/>
      <c r="Q78" s="128"/>
      <c r="R78" s="128"/>
      <c r="S78" s="128"/>
      <c r="T78" s="128"/>
      <c r="U78" s="128"/>
      <c r="V78" s="128"/>
      <c r="W78" s="141"/>
      <c r="X78" s="50"/>
      <c r="Y78" s="128"/>
    </row>
    <row r="79" spans="2:25" x14ac:dyDescent="0.3">
      <c r="B79" s="131"/>
      <c r="C79" s="132"/>
      <c r="D79" s="16"/>
      <c r="E79" s="133"/>
      <c r="F79" s="134"/>
      <c r="G79" s="135"/>
      <c r="H79" s="135"/>
      <c r="I79" s="135"/>
      <c r="J79" s="135"/>
      <c r="K79" s="128"/>
      <c r="L79" s="128"/>
      <c r="M79" s="128"/>
      <c r="N79" s="128"/>
      <c r="O79" s="128"/>
      <c r="P79" s="128"/>
      <c r="Q79" s="128"/>
      <c r="R79" s="128"/>
      <c r="S79" s="128"/>
      <c r="T79" s="128"/>
      <c r="U79" s="128"/>
      <c r="V79" s="128"/>
      <c r="W79" s="141"/>
      <c r="X79" s="50"/>
      <c r="Y79" s="128"/>
    </row>
    <row r="80" spans="2:25" x14ac:dyDescent="0.3">
      <c r="B80" s="131"/>
      <c r="C80" s="132"/>
      <c r="D80" s="16"/>
      <c r="E80" s="133"/>
      <c r="F80" s="134"/>
      <c r="G80" s="135"/>
      <c r="H80" s="135"/>
      <c r="I80" s="135"/>
      <c r="J80" s="135"/>
      <c r="K80" s="128"/>
      <c r="L80" s="128"/>
      <c r="M80" s="128"/>
      <c r="N80" s="128"/>
      <c r="O80" s="128"/>
      <c r="P80" s="128"/>
      <c r="Q80" s="128"/>
      <c r="R80" s="128"/>
      <c r="S80" s="128"/>
      <c r="T80" s="128"/>
      <c r="U80" s="128"/>
      <c r="V80" s="128"/>
      <c r="W80" s="141"/>
      <c r="X80" s="50"/>
      <c r="Y80" s="128"/>
    </row>
    <row r="81" spans="2:25" x14ac:dyDescent="0.3">
      <c r="B81" s="131"/>
      <c r="C81" s="132"/>
      <c r="D81" s="16"/>
      <c r="E81" s="133"/>
      <c r="F81" s="134"/>
      <c r="G81" s="135"/>
      <c r="H81" s="135"/>
      <c r="I81" s="135"/>
      <c r="J81" s="135"/>
      <c r="K81" s="128"/>
      <c r="L81" s="128"/>
      <c r="M81" s="128"/>
      <c r="N81" s="128"/>
      <c r="O81" s="128"/>
      <c r="P81" s="128"/>
      <c r="Q81" s="128"/>
      <c r="R81" s="128"/>
      <c r="S81" s="128"/>
      <c r="T81" s="128"/>
      <c r="U81" s="128"/>
      <c r="V81" s="128"/>
      <c r="W81" s="141"/>
      <c r="X81" s="50"/>
      <c r="Y81" s="128"/>
    </row>
    <row r="82" spans="2:25" x14ac:dyDescent="0.3">
      <c r="B82" s="131"/>
      <c r="C82" s="132"/>
      <c r="D82" s="16"/>
      <c r="E82" s="133"/>
      <c r="F82" s="134"/>
      <c r="G82" s="135"/>
      <c r="H82" s="135"/>
      <c r="I82" s="135"/>
      <c r="J82" s="135"/>
      <c r="K82" s="128"/>
      <c r="L82" s="128"/>
      <c r="M82" s="128"/>
      <c r="N82" s="128"/>
      <c r="O82" s="128"/>
      <c r="P82" s="128"/>
      <c r="Q82" s="128"/>
      <c r="R82" s="128"/>
      <c r="S82" s="128"/>
      <c r="T82" s="128"/>
      <c r="U82" s="128"/>
      <c r="V82" s="128"/>
      <c r="W82" s="141"/>
      <c r="X82" s="50"/>
      <c r="Y82" s="128"/>
    </row>
    <row r="83" spans="2:25" x14ac:dyDescent="0.3">
      <c r="B83" s="131"/>
      <c r="C83" s="132"/>
      <c r="D83" s="16"/>
      <c r="E83" s="133"/>
      <c r="F83" s="134"/>
      <c r="G83" s="135"/>
      <c r="H83" s="135"/>
      <c r="I83" s="135"/>
      <c r="J83" s="135"/>
      <c r="K83" s="128"/>
      <c r="L83" s="128"/>
      <c r="M83" s="128"/>
      <c r="N83" s="128"/>
      <c r="O83" s="128"/>
      <c r="P83" s="128"/>
      <c r="Q83" s="128"/>
      <c r="R83" s="128"/>
      <c r="S83" s="128"/>
      <c r="T83" s="128"/>
      <c r="U83" s="128"/>
      <c r="V83" s="128"/>
      <c r="W83" s="141"/>
      <c r="X83" s="50"/>
      <c r="Y83" s="128"/>
    </row>
    <row r="84" spans="2:25" x14ac:dyDescent="0.3">
      <c r="B84" s="131"/>
      <c r="C84" s="132"/>
      <c r="D84" s="16"/>
      <c r="E84" s="133"/>
      <c r="F84" s="134"/>
      <c r="G84" s="135"/>
      <c r="H84" s="135"/>
      <c r="I84" s="135"/>
      <c r="J84" s="135"/>
      <c r="K84" s="128"/>
      <c r="L84" s="128"/>
      <c r="M84" s="128"/>
      <c r="N84" s="128"/>
      <c r="O84" s="128"/>
      <c r="P84" s="128"/>
      <c r="Q84" s="128"/>
      <c r="R84" s="128"/>
      <c r="S84" s="128"/>
      <c r="T84" s="128"/>
      <c r="U84" s="128"/>
      <c r="V84" s="128"/>
      <c r="W84" s="141"/>
      <c r="X84" s="50"/>
      <c r="Y84" s="128"/>
    </row>
    <row r="85" spans="2:25" x14ac:dyDescent="0.3">
      <c r="B85" s="131"/>
      <c r="C85" s="132"/>
      <c r="D85" s="16"/>
      <c r="E85" s="133"/>
      <c r="F85" s="134"/>
      <c r="G85" s="135"/>
      <c r="H85" s="135"/>
      <c r="I85" s="135"/>
      <c r="J85" s="135"/>
      <c r="K85" s="128"/>
      <c r="L85" s="128"/>
      <c r="M85" s="128"/>
      <c r="N85" s="128"/>
      <c r="O85" s="128"/>
      <c r="P85" s="128"/>
      <c r="Q85" s="128"/>
      <c r="R85" s="128"/>
      <c r="S85" s="128"/>
      <c r="T85" s="128"/>
      <c r="U85" s="128"/>
      <c r="V85" s="128"/>
      <c r="W85" s="141"/>
      <c r="X85" s="50"/>
      <c r="Y85" s="128"/>
    </row>
    <row r="86" spans="2:25" x14ac:dyDescent="0.3">
      <c r="B86" s="131"/>
      <c r="C86" s="132"/>
      <c r="D86" s="16"/>
      <c r="E86" s="133"/>
      <c r="F86" s="134"/>
      <c r="G86" s="135"/>
      <c r="H86" s="135"/>
      <c r="I86" s="135"/>
      <c r="J86" s="135"/>
      <c r="K86" s="128"/>
      <c r="L86" s="128"/>
      <c r="M86" s="128"/>
      <c r="N86" s="128"/>
      <c r="O86" s="128"/>
      <c r="P86" s="128"/>
      <c r="Q86" s="128"/>
      <c r="R86" s="128"/>
      <c r="S86" s="128"/>
      <c r="T86" s="128"/>
      <c r="U86" s="128"/>
      <c r="V86" s="128"/>
      <c r="W86" s="141"/>
      <c r="X86" s="50"/>
      <c r="Y86" s="128"/>
    </row>
    <row r="87" spans="2:25" x14ac:dyDescent="0.3">
      <c r="B87" s="131"/>
      <c r="C87" s="132"/>
      <c r="D87" s="16"/>
      <c r="E87" s="133"/>
      <c r="F87" s="134"/>
      <c r="G87" s="135"/>
      <c r="H87" s="135"/>
      <c r="I87" s="135"/>
      <c r="J87" s="135"/>
      <c r="K87" s="128"/>
      <c r="L87" s="128"/>
      <c r="M87" s="128"/>
      <c r="N87" s="128"/>
      <c r="O87" s="128"/>
      <c r="P87" s="128"/>
      <c r="Q87" s="128"/>
      <c r="R87" s="128"/>
      <c r="S87" s="128"/>
      <c r="T87" s="128"/>
      <c r="U87" s="128"/>
      <c r="V87" s="128"/>
      <c r="W87" s="141"/>
      <c r="X87" s="50"/>
      <c r="Y87" s="128"/>
    </row>
    <row r="88" spans="2:25" x14ac:dyDescent="0.3">
      <c r="B88" s="131"/>
      <c r="C88" s="132"/>
      <c r="D88" s="16"/>
      <c r="E88" s="133"/>
      <c r="F88" s="134"/>
      <c r="G88" s="135"/>
      <c r="H88" s="135"/>
      <c r="I88" s="135"/>
      <c r="J88" s="135"/>
      <c r="K88" s="128"/>
      <c r="L88" s="128"/>
      <c r="M88" s="128"/>
      <c r="N88" s="128"/>
      <c r="O88" s="128"/>
      <c r="P88" s="128"/>
      <c r="Q88" s="128"/>
      <c r="R88" s="128"/>
      <c r="S88" s="128"/>
      <c r="T88" s="128"/>
      <c r="U88" s="128"/>
      <c r="V88" s="128"/>
      <c r="W88" s="141"/>
      <c r="X88" s="50"/>
      <c r="Y88" s="128"/>
    </row>
    <row r="89" spans="2:25" x14ac:dyDescent="0.3">
      <c r="B89" s="131"/>
      <c r="C89" s="132"/>
      <c r="D89" s="16"/>
      <c r="E89" s="133"/>
      <c r="F89" s="134"/>
      <c r="G89" s="135"/>
      <c r="H89" s="135"/>
      <c r="I89" s="135"/>
      <c r="J89" s="135"/>
      <c r="K89" s="128"/>
      <c r="L89" s="128"/>
      <c r="M89" s="128"/>
      <c r="N89" s="128"/>
      <c r="O89" s="128"/>
      <c r="P89" s="128"/>
      <c r="Q89" s="128"/>
      <c r="R89" s="128"/>
      <c r="S89" s="128"/>
      <c r="T89" s="128"/>
      <c r="U89" s="128"/>
      <c r="V89" s="128"/>
      <c r="W89" s="141"/>
      <c r="X89" s="50"/>
      <c r="Y89" s="128"/>
    </row>
    <row r="90" spans="2:25" x14ac:dyDescent="0.3">
      <c r="B90" s="131"/>
      <c r="C90" s="132"/>
      <c r="D90" s="16"/>
      <c r="E90" s="133"/>
      <c r="F90" s="134"/>
      <c r="G90" s="135"/>
      <c r="H90" s="135"/>
      <c r="I90" s="135"/>
      <c r="J90" s="135"/>
      <c r="K90" s="128"/>
      <c r="L90" s="128"/>
      <c r="M90" s="128"/>
      <c r="N90" s="128"/>
      <c r="O90" s="128"/>
      <c r="P90" s="128"/>
      <c r="Q90" s="128"/>
      <c r="R90" s="128"/>
      <c r="S90" s="128"/>
      <c r="T90" s="128"/>
      <c r="U90" s="128"/>
      <c r="V90" s="128"/>
      <c r="W90" s="141"/>
      <c r="X90" s="50"/>
      <c r="Y90" s="128"/>
    </row>
    <row r="91" spans="2:25" x14ac:dyDescent="0.3">
      <c r="B91" s="131"/>
      <c r="C91" s="132"/>
      <c r="D91" s="16"/>
      <c r="E91" s="133"/>
      <c r="F91" s="134"/>
      <c r="G91" s="135"/>
      <c r="H91" s="135"/>
      <c r="I91" s="135"/>
      <c r="J91" s="135"/>
      <c r="K91" s="128"/>
      <c r="L91" s="128"/>
      <c r="M91" s="128"/>
      <c r="N91" s="128"/>
      <c r="O91" s="128"/>
      <c r="P91" s="128"/>
      <c r="Q91" s="128"/>
      <c r="R91" s="128"/>
      <c r="S91" s="128"/>
      <c r="T91" s="128"/>
      <c r="U91" s="128"/>
      <c r="V91" s="128"/>
      <c r="W91" s="141"/>
      <c r="X91" s="50"/>
      <c r="Y91" s="128"/>
    </row>
    <row r="92" spans="2:25" x14ac:dyDescent="0.3">
      <c r="B92" s="131"/>
      <c r="C92" s="132"/>
      <c r="D92" s="16"/>
      <c r="E92" s="133"/>
      <c r="F92" s="134"/>
      <c r="G92" s="135"/>
      <c r="H92" s="135"/>
      <c r="I92" s="135"/>
      <c r="J92" s="135"/>
      <c r="K92" s="128"/>
      <c r="L92" s="128"/>
      <c r="M92" s="128"/>
      <c r="N92" s="128"/>
      <c r="O92" s="128"/>
      <c r="P92" s="128"/>
      <c r="Q92" s="128"/>
      <c r="R92" s="128"/>
      <c r="S92" s="128"/>
      <c r="T92" s="128"/>
      <c r="U92" s="128"/>
      <c r="V92" s="128"/>
      <c r="W92" s="141"/>
      <c r="X92" s="50"/>
      <c r="Y92" s="128"/>
    </row>
    <row r="93" spans="2:25" x14ac:dyDescent="0.3">
      <c r="B93" s="131"/>
      <c r="C93" s="132"/>
      <c r="D93" s="16"/>
      <c r="E93" s="133"/>
      <c r="F93" s="134"/>
      <c r="G93" s="135"/>
      <c r="H93" s="135"/>
      <c r="I93" s="135"/>
      <c r="J93" s="135"/>
      <c r="K93" s="128"/>
      <c r="L93" s="128"/>
      <c r="M93" s="128"/>
      <c r="N93" s="128"/>
      <c r="O93" s="128"/>
      <c r="P93" s="128"/>
      <c r="Q93" s="128"/>
      <c r="R93" s="128"/>
      <c r="S93" s="128"/>
      <c r="T93" s="128"/>
      <c r="U93" s="128"/>
      <c r="V93" s="128"/>
      <c r="W93" s="141"/>
      <c r="X93" s="50"/>
      <c r="Y93" s="128"/>
    </row>
    <row r="94" spans="2:25" x14ac:dyDescent="0.3">
      <c r="B94" s="131"/>
      <c r="C94" s="132"/>
      <c r="D94" s="16"/>
      <c r="E94" s="133"/>
      <c r="F94" s="134"/>
      <c r="G94" s="135"/>
      <c r="H94" s="135"/>
      <c r="I94" s="135"/>
      <c r="J94" s="135"/>
      <c r="K94" s="128"/>
      <c r="L94" s="128"/>
      <c r="M94" s="128"/>
      <c r="N94" s="128"/>
      <c r="O94" s="128"/>
      <c r="P94" s="128"/>
      <c r="Q94" s="128"/>
      <c r="R94" s="128"/>
      <c r="S94" s="128"/>
      <c r="T94" s="128"/>
      <c r="U94" s="128"/>
      <c r="V94" s="128"/>
      <c r="W94" s="141"/>
      <c r="X94" s="50"/>
      <c r="Y94" s="128"/>
    </row>
    <row r="95" spans="2:25" x14ac:dyDescent="0.3">
      <c r="B95" s="131"/>
      <c r="C95" s="132"/>
      <c r="D95" s="16"/>
      <c r="E95" s="133"/>
      <c r="F95" s="134"/>
      <c r="G95" s="135"/>
      <c r="H95" s="135"/>
      <c r="I95" s="135"/>
      <c r="J95" s="135"/>
      <c r="K95" s="128"/>
      <c r="L95" s="128"/>
      <c r="M95" s="128"/>
      <c r="N95" s="128"/>
      <c r="O95" s="128"/>
      <c r="P95" s="128"/>
      <c r="Q95" s="128"/>
      <c r="R95" s="128"/>
      <c r="S95" s="128"/>
      <c r="T95" s="128"/>
      <c r="U95" s="128"/>
      <c r="V95" s="128"/>
      <c r="W95" s="141"/>
      <c r="X95" s="50"/>
      <c r="Y95" s="128"/>
    </row>
    <row r="96" spans="2:25" x14ac:dyDescent="0.3">
      <c r="B96" s="131"/>
      <c r="C96" s="132"/>
      <c r="D96" s="16"/>
      <c r="E96" s="133"/>
      <c r="F96" s="134"/>
      <c r="G96" s="135"/>
      <c r="H96" s="135"/>
      <c r="I96" s="135"/>
      <c r="J96" s="135"/>
      <c r="K96" s="128"/>
      <c r="L96" s="128"/>
      <c r="M96" s="128"/>
      <c r="N96" s="128"/>
      <c r="O96" s="128"/>
      <c r="P96" s="128"/>
      <c r="Q96" s="128"/>
      <c r="R96" s="128"/>
      <c r="S96" s="128"/>
      <c r="T96" s="128"/>
      <c r="U96" s="128"/>
      <c r="V96" s="128"/>
      <c r="W96" s="141"/>
      <c r="X96" s="50"/>
      <c r="Y96" s="128"/>
    </row>
    <row r="97" spans="2:25" x14ac:dyDescent="0.3">
      <c r="B97" s="131"/>
      <c r="C97" s="132"/>
      <c r="D97" s="16"/>
      <c r="E97" s="133"/>
      <c r="F97" s="134"/>
      <c r="G97" s="135"/>
      <c r="H97" s="135"/>
      <c r="I97" s="135"/>
      <c r="J97" s="135"/>
      <c r="K97" s="128"/>
      <c r="L97" s="128"/>
      <c r="M97" s="128"/>
      <c r="N97" s="128"/>
      <c r="O97" s="128"/>
      <c r="P97" s="128"/>
      <c r="Q97" s="128"/>
      <c r="R97" s="128"/>
      <c r="S97" s="128"/>
      <c r="T97" s="128"/>
      <c r="U97" s="128"/>
      <c r="V97" s="128"/>
      <c r="W97" s="141"/>
      <c r="X97" s="50"/>
      <c r="Y97" s="128"/>
    </row>
    <row r="98" spans="2:25" x14ac:dyDescent="0.3">
      <c r="B98" s="131"/>
      <c r="C98" s="132"/>
      <c r="D98" s="16"/>
      <c r="E98" s="133"/>
      <c r="F98" s="134"/>
      <c r="G98" s="135"/>
      <c r="H98" s="135"/>
      <c r="I98" s="135"/>
      <c r="J98" s="135"/>
      <c r="K98" s="128"/>
      <c r="L98" s="128"/>
      <c r="M98" s="128"/>
      <c r="N98" s="128"/>
      <c r="O98" s="128"/>
      <c r="P98" s="128"/>
      <c r="Q98" s="128"/>
      <c r="R98" s="128"/>
      <c r="S98" s="128"/>
      <c r="T98" s="128"/>
      <c r="U98" s="128"/>
      <c r="V98" s="128"/>
      <c r="W98" s="141"/>
      <c r="X98" s="50"/>
      <c r="Y98" s="128"/>
    </row>
    <row r="99" spans="2:25" x14ac:dyDescent="0.3">
      <c r="B99" s="131"/>
      <c r="C99" s="132"/>
      <c r="D99" s="16"/>
      <c r="E99" s="133"/>
      <c r="F99" s="134"/>
      <c r="G99" s="135"/>
      <c r="H99" s="135"/>
      <c r="I99" s="135"/>
      <c r="J99" s="135"/>
      <c r="K99" s="128"/>
      <c r="L99" s="128"/>
      <c r="M99" s="128"/>
      <c r="N99" s="128"/>
      <c r="O99" s="128"/>
      <c r="P99" s="128"/>
      <c r="Q99" s="128"/>
      <c r="R99" s="128"/>
      <c r="S99" s="128"/>
      <c r="T99" s="128"/>
      <c r="U99" s="128"/>
      <c r="V99" s="128"/>
      <c r="W99" s="141"/>
      <c r="X99" s="50"/>
      <c r="Y99" s="128"/>
    </row>
    <row r="100" spans="2:25" x14ac:dyDescent="0.3">
      <c r="B100" s="131"/>
      <c r="C100" s="132"/>
      <c r="D100" s="16"/>
      <c r="E100" s="133"/>
      <c r="F100" s="134"/>
      <c r="G100" s="135"/>
      <c r="H100" s="135"/>
      <c r="I100" s="135"/>
      <c r="J100" s="135"/>
      <c r="K100" s="128"/>
      <c r="L100" s="128"/>
      <c r="M100" s="128"/>
      <c r="N100" s="128"/>
      <c r="O100" s="128"/>
      <c r="P100" s="128"/>
      <c r="Q100" s="128"/>
      <c r="R100" s="128"/>
      <c r="S100" s="128"/>
      <c r="T100" s="128"/>
      <c r="U100" s="128"/>
      <c r="V100" s="128"/>
      <c r="W100" s="141"/>
      <c r="X100" s="50"/>
      <c r="Y100" s="128"/>
    </row>
    <row r="101" spans="2:25" x14ac:dyDescent="0.3">
      <c r="B101" s="131"/>
      <c r="C101" s="132"/>
      <c r="D101" s="16"/>
      <c r="E101" s="133"/>
      <c r="F101" s="134"/>
      <c r="G101" s="135"/>
      <c r="H101" s="135"/>
      <c r="I101" s="135"/>
      <c r="J101" s="135"/>
      <c r="K101" s="128"/>
      <c r="L101" s="128"/>
      <c r="M101" s="128"/>
      <c r="N101" s="128"/>
      <c r="O101" s="128"/>
      <c r="P101" s="128"/>
      <c r="Q101" s="128"/>
      <c r="R101" s="128"/>
      <c r="S101" s="128"/>
      <c r="T101" s="128"/>
      <c r="U101" s="128"/>
      <c r="V101" s="128"/>
      <c r="W101" s="141"/>
      <c r="X101" s="50"/>
      <c r="Y101" s="128"/>
    </row>
    <row r="102" spans="2:25" x14ac:dyDescent="0.3">
      <c r="B102" s="131"/>
      <c r="C102" s="132"/>
      <c r="D102" s="16"/>
      <c r="E102" s="133"/>
      <c r="F102" s="134"/>
      <c r="G102" s="135"/>
      <c r="H102" s="135"/>
      <c r="I102" s="135"/>
      <c r="J102" s="135"/>
      <c r="K102" s="128"/>
      <c r="L102" s="128"/>
      <c r="M102" s="128"/>
      <c r="N102" s="128"/>
      <c r="O102" s="128"/>
      <c r="P102" s="128"/>
      <c r="Q102" s="128"/>
      <c r="R102" s="128"/>
      <c r="S102" s="128"/>
      <c r="T102" s="128"/>
      <c r="U102" s="128"/>
      <c r="V102" s="128"/>
      <c r="W102" s="141"/>
      <c r="X102" s="50"/>
      <c r="Y102" s="128"/>
    </row>
    <row r="103" spans="2:25" x14ac:dyDescent="0.3">
      <c r="B103" s="131"/>
      <c r="C103" s="132"/>
      <c r="D103" s="16"/>
      <c r="E103" s="133"/>
      <c r="F103" s="134"/>
      <c r="G103" s="135"/>
      <c r="H103" s="135"/>
      <c r="I103" s="135"/>
      <c r="J103" s="135"/>
      <c r="K103" s="128"/>
      <c r="L103" s="128"/>
      <c r="M103" s="128"/>
      <c r="N103" s="128"/>
      <c r="O103" s="128"/>
      <c r="P103" s="128"/>
      <c r="Q103" s="128"/>
      <c r="R103" s="128"/>
      <c r="S103" s="128"/>
      <c r="T103" s="128"/>
      <c r="U103" s="128"/>
      <c r="V103" s="128"/>
      <c r="W103" s="141"/>
      <c r="X103" s="50"/>
      <c r="Y103" s="128"/>
    </row>
    <row r="104" spans="2:25" x14ac:dyDescent="0.3">
      <c r="B104" s="131"/>
      <c r="C104" s="132"/>
      <c r="D104" s="16"/>
      <c r="E104" s="133"/>
      <c r="F104" s="134"/>
      <c r="G104" s="135"/>
      <c r="H104" s="135"/>
      <c r="I104" s="135"/>
      <c r="J104" s="135"/>
      <c r="K104" s="128"/>
      <c r="L104" s="128"/>
      <c r="M104" s="128"/>
      <c r="N104" s="128"/>
      <c r="O104" s="128"/>
      <c r="P104" s="128"/>
      <c r="Q104" s="128"/>
      <c r="R104" s="128"/>
      <c r="S104" s="128"/>
      <c r="T104" s="128"/>
      <c r="U104" s="128"/>
      <c r="V104" s="128"/>
      <c r="W104" s="141"/>
      <c r="X104" s="50"/>
      <c r="Y104" s="128"/>
    </row>
    <row r="105" spans="2:25" x14ac:dyDescent="0.3">
      <c r="B105" s="131"/>
      <c r="C105" s="132"/>
      <c r="D105" s="16"/>
      <c r="E105" s="133"/>
      <c r="F105" s="134"/>
      <c r="G105" s="135"/>
      <c r="H105" s="135"/>
      <c r="I105" s="135"/>
      <c r="J105" s="135"/>
      <c r="K105" s="128"/>
      <c r="L105" s="128"/>
      <c r="M105" s="128"/>
      <c r="N105" s="128"/>
      <c r="O105" s="128"/>
      <c r="P105" s="128"/>
      <c r="Q105" s="128"/>
      <c r="R105" s="128"/>
      <c r="S105" s="128"/>
      <c r="T105" s="128"/>
      <c r="U105" s="128"/>
      <c r="V105" s="128"/>
      <c r="W105" s="141"/>
      <c r="X105" s="50"/>
      <c r="Y105" s="128"/>
    </row>
    <row r="106" spans="2:25" x14ac:dyDescent="0.3">
      <c r="B106" s="131"/>
      <c r="C106" s="132"/>
      <c r="D106" s="16"/>
      <c r="E106" s="133"/>
      <c r="F106" s="134"/>
      <c r="G106" s="135"/>
      <c r="H106" s="135"/>
      <c r="I106" s="135"/>
      <c r="J106" s="135"/>
      <c r="K106" s="128"/>
      <c r="L106" s="128"/>
      <c r="M106" s="128"/>
      <c r="N106" s="128"/>
      <c r="O106" s="128"/>
      <c r="P106" s="128"/>
      <c r="Q106" s="128"/>
      <c r="R106" s="128"/>
      <c r="S106" s="128"/>
      <c r="T106" s="128"/>
      <c r="U106" s="128"/>
      <c r="V106" s="128"/>
      <c r="W106" s="141"/>
      <c r="X106" s="50"/>
      <c r="Y106" s="128"/>
    </row>
    <row r="107" spans="2:25" x14ac:dyDescent="0.3">
      <c r="B107" s="131"/>
      <c r="C107" s="132"/>
      <c r="D107" s="16"/>
      <c r="E107" s="133"/>
      <c r="F107" s="134"/>
      <c r="G107" s="135"/>
      <c r="H107" s="135"/>
      <c r="I107" s="135"/>
      <c r="J107" s="135"/>
      <c r="K107" s="128"/>
      <c r="L107" s="128"/>
      <c r="M107" s="128"/>
      <c r="N107" s="128"/>
      <c r="O107" s="128"/>
      <c r="P107" s="128"/>
      <c r="Q107" s="128"/>
      <c r="R107" s="128"/>
      <c r="S107" s="128"/>
      <c r="T107" s="128"/>
      <c r="U107" s="128"/>
      <c r="V107" s="128"/>
      <c r="W107" s="141"/>
      <c r="X107" s="50"/>
      <c r="Y107" s="128"/>
    </row>
    <row r="108" spans="2:25" x14ac:dyDescent="0.3">
      <c r="B108" s="131"/>
      <c r="C108" s="132"/>
      <c r="D108" s="16"/>
      <c r="E108" s="133"/>
      <c r="F108" s="134"/>
      <c r="G108" s="135"/>
      <c r="H108" s="135"/>
      <c r="I108" s="135"/>
      <c r="J108" s="135"/>
      <c r="K108" s="128"/>
      <c r="L108" s="128"/>
      <c r="M108" s="128"/>
      <c r="N108" s="128"/>
      <c r="O108" s="128"/>
      <c r="P108" s="128"/>
      <c r="Q108" s="128"/>
      <c r="R108" s="128"/>
      <c r="S108" s="128"/>
      <c r="T108" s="128"/>
      <c r="U108" s="128"/>
      <c r="V108" s="128"/>
      <c r="W108" s="141"/>
      <c r="X108" s="50"/>
      <c r="Y108" s="128"/>
    </row>
    <row r="109" spans="2:25" x14ac:dyDescent="0.3">
      <c r="B109" s="131"/>
      <c r="C109" s="132"/>
      <c r="D109" s="16"/>
      <c r="E109" s="133"/>
      <c r="F109" s="134"/>
      <c r="G109" s="135"/>
      <c r="H109" s="135"/>
      <c r="I109" s="135"/>
      <c r="J109" s="135"/>
      <c r="K109" s="128"/>
      <c r="L109" s="128"/>
      <c r="M109" s="128"/>
      <c r="N109" s="128"/>
      <c r="O109" s="128"/>
      <c r="P109" s="128"/>
      <c r="Q109" s="128"/>
      <c r="R109" s="128"/>
      <c r="S109" s="128"/>
      <c r="T109" s="128"/>
      <c r="U109" s="128"/>
      <c r="V109" s="128"/>
      <c r="W109" s="141"/>
      <c r="X109" s="50"/>
      <c r="Y109" s="128"/>
    </row>
    <row r="110" spans="2:25" x14ac:dyDescent="0.3">
      <c r="B110" s="131"/>
      <c r="C110" s="132"/>
      <c r="D110" s="16"/>
      <c r="E110" s="133"/>
      <c r="F110" s="134"/>
      <c r="G110" s="135"/>
      <c r="H110" s="135"/>
      <c r="I110" s="135"/>
      <c r="J110" s="135"/>
      <c r="K110" s="128"/>
      <c r="L110" s="128"/>
      <c r="M110" s="128"/>
      <c r="N110" s="128"/>
      <c r="O110" s="128"/>
      <c r="P110" s="128"/>
      <c r="Q110" s="128"/>
      <c r="R110" s="128"/>
      <c r="S110" s="128"/>
      <c r="T110" s="128"/>
      <c r="U110" s="128"/>
      <c r="V110" s="128"/>
      <c r="W110" s="141"/>
      <c r="X110" s="50"/>
      <c r="Y110" s="128"/>
    </row>
    <row r="111" spans="2:25" x14ac:dyDescent="0.3">
      <c r="B111" s="131"/>
      <c r="C111" s="132"/>
      <c r="D111" s="16"/>
      <c r="E111" s="133"/>
      <c r="F111" s="134"/>
      <c r="G111" s="135"/>
      <c r="H111" s="135"/>
      <c r="I111" s="135"/>
      <c r="J111" s="135"/>
      <c r="K111" s="128"/>
      <c r="L111" s="128"/>
      <c r="M111" s="128"/>
      <c r="N111" s="128"/>
      <c r="O111" s="128"/>
      <c r="P111" s="128"/>
      <c r="Q111" s="128"/>
      <c r="R111" s="128"/>
      <c r="S111" s="128"/>
      <c r="T111" s="128"/>
      <c r="U111" s="128"/>
      <c r="V111" s="128"/>
      <c r="W111" s="141"/>
      <c r="X111" s="50"/>
      <c r="Y111" s="128"/>
    </row>
    <row r="112" spans="2:25" x14ac:dyDescent="0.3">
      <c r="B112" s="131"/>
      <c r="C112" s="132"/>
      <c r="D112" s="16"/>
      <c r="E112" s="133"/>
      <c r="F112" s="134"/>
      <c r="G112" s="135"/>
      <c r="H112" s="135"/>
      <c r="I112" s="135"/>
      <c r="J112" s="135"/>
      <c r="K112" s="128"/>
      <c r="L112" s="128"/>
      <c r="M112" s="128"/>
      <c r="N112" s="128"/>
      <c r="O112" s="128"/>
      <c r="P112" s="128"/>
      <c r="Q112" s="128"/>
      <c r="R112" s="128"/>
      <c r="S112" s="128"/>
      <c r="T112" s="128"/>
      <c r="U112" s="128"/>
      <c r="V112" s="128"/>
      <c r="W112" s="141"/>
      <c r="X112" s="50"/>
      <c r="Y112" s="128"/>
    </row>
    <row r="113" spans="2:25" x14ac:dyDescent="0.3">
      <c r="B113" s="131"/>
      <c r="C113" s="132"/>
      <c r="D113" s="16"/>
      <c r="E113" s="133"/>
      <c r="F113" s="134"/>
      <c r="G113" s="135"/>
      <c r="H113" s="135"/>
      <c r="I113" s="135"/>
      <c r="J113" s="135"/>
      <c r="K113" s="128"/>
      <c r="L113" s="128"/>
      <c r="M113" s="128"/>
      <c r="N113" s="128"/>
      <c r="O113" s="128"/>
      <c r="P113" s="128"/>
      <c r="Q113" s="128"/>
      <c r="R113" s="128"/>
      <c r="S113" s="128"/>
      <c r="T113" s="128"/>
      <c r="U113" s="128"/>
      <c r="V113" s="128"/>
      <c r="W113" s="141"/>
      <c r="X113" s="50"/>
      <c r="Y113" s="128"/>
    </row>
    <row r="114" spans="2:25" x14ac:dyDescent="0.3">
      <c r="B114" s="131"/>
      <c r="C114" s="132"/>
      <c r="D114" s="16"/>
      <c r="E114" s="133"/>
      <c r="F114" s="134"/>
      <c r="G114" s="135"/>
      <c r="H114" s="135"/>
      <c r="I114" s="135"/>
      <c r="J114" s="135"/>
      <c r="K114" s="128"/>
      <c r="L114" s="128"/>
      <c r="M114" s="128"/>
      <c r="N114" s="128"/>
      <c r="O114" s="128"/>
      <c r="P114" s="128"/>
      <c r="Q114" s="128"/>
      <c r="R114" s="128"/>
      <c r="S114" s="128"/>
      <c r="T114" s="128"/>
      <c r="U114" s="128"/>
      <c r="V114" s="128"/>
      <c r="W114" s="141"/>
      <c r="X114" s="50"/>
      <c r="Y114" s="128"/>
    </row>
    <row r="115" spans="2:25" x14ac:dyDescent="0.3">
      <c r="B115" s="131"/>
      <c r="C115" s="132"/>
      <c r="D115" s="16"/>
      <c r="E115" s="133"/>
      <c r="F115" s="134"/>
      <c r="G115" s="135"/>
      <c r="H115" s="135"/>
      <c r="I115" s="135"/>
      <c r="J115" s="135"/>
      <c r="K115" s="128"/>
      <c r="L115" s="128"/>
      <c r="M115" s="128"/>
      <c r="N115" s="128"/>
      <c r="O115" s="128"/>
      <c r="P115" s="128"/>
      <c r="Q115" s="128"/>
      <c r="R115" s="128"/>
      <c r="S115" s="128"/>
      <c r="T115" s="128"/>
      <c r="U115" s="128"/>
      <c r="V115" s="128"/>
      <c r="W115" s="141"/>
      <c r="X115" s="50"/>
      <c r="Y115" s="128"/>
    </row>
    <row r="116" spans="2:25" x14ac:dyDescent="0.3">
      <c r="B116" s="131"/>
      <c r="C116" s="132"/>
      <c r="D116" s="16"/>
      <c r="E116" s="133"/>
      <c r="F116" s="134"/>
      <c r="G116" s="135"/>
      <c r="H116" s="135"/>
      <c r="I116" s="135"/>
      <c r="J116" s="135"/>
      <c r="K116" s="128"/>
      <c r="L116" s="128"/>
      <c r="M116" s="128"/>
      <c r="N116" s="128"/>
      <c r="O116" s="128"/>
      <c r="P116" s="128"/>
      <c r="Q116" s="128"/>
      <c r="R116" s="128"/>
      <c r="S116" s="128"/>
      <c r="T116" s="128"/>
      <c r="U116" s="128"/>
      <c r="V116" s="128"/>
      <c r="W116" s="141"/>
      <c r="X116" s="50"/>
      <c r="Y116" s="128"/>
    </row>
    <row r="117" spans="2:25" x14ac:dyDescent="0.3">
      <c r="B117" s="131"/>
      <c r="C117" s="132"/>
      <c r="D117" s="16"/>
      <c r="E117" s="133"/>
      <c r="F117" s="134"/>
      <c r="G117" s="135"/>
      <c r="H117" s="135"/>
      <c r="I117" s="135"/>
      <c r="J117" s="135"/>
      <c r="K117" s="128"/>
      <c r="L117" s="128"/>
      <c r="M117" s="128"/>
      <c r="N117" s="128"/>
      <c r="O117" s="128"/>
      <c r="P117" s="128"/>
      <c r="Q117" s="128"/>
      <c r="R117" s="128"/>
      <c r="S117" s="128"/>
      <c r="T117" s="128"/>
      <c r="U117" s="128"/>
      <c r="V117" s="128"/>
      <c r="W117" s="141"/>
      <c r="X117" s="50"/>
      <c r="Y117" s="128"/>
    </row>
    <row r="118" spans="2:25" x14ac:dyDescent="0.3">
      <c r="B118" s="131"/>
      <c r="C118" s="132"/>
      <c r="D118" s="16"/>
      <c r="E118" s="133"/>
      <c r="F118" s="134"/>
      <c r="G118" s="135"/>
      <c r="H118" s="135"/>
      <c r="I118" s="135"/>
      <c r="J118" s="135"/>
      <c r="K118" s="128"/>
      <c r="L118" s="128"/>
      <c r="M118" s="128"/>
      <c r="N118" s="128"/>
      <c r="O118" s="128"/>
      <c r="P118" s="128"/>
      <c r="Q118" s="128"/>
      <c r="R118" s="128"/>
      <c r="S118" s="128"/>
      <c r="T118" s="128"/>
      <c r="U118" s="128"/>
      <c r="V118" s="128"/>
      <c r="W118" s="141"/>
      <c r="X118" s="50"/>
      <c r="Y118" s="128"/>
    </row>
    <row r="119" spans="2:25" x14ac:dyDescent="0.3">
      <c r="B119" s="131"/>
      <c r="C119" s="132"/>
      <c r="D119" s="16"/>
      <c r="E119" s="133"/>
      <c r="F119" s="134"/>
      <c r="G119" s="135"/>
      <c r="H119" s="135"/>
      <c r="I119" s="135"/>
      <c r="J119" s="135"/>
      <c r="K119" s="128"/>
      <c r="L119" s="128"/>
      <c r="M119" s="128"/>
      <c r="N119" s="128"/>
      <c r="O119" s="128"/>
      <c r="P119" s="128"/>
      <c r="Q119" s="128"/>
      <c r="R119" s="128"/>
      <c r="S119" s="128"/>
      <c r="T119" s="128"/>
      <c r="U119" s="128"/>
      <c r="V119" s="128"/>
      <c r="W119" s="141"/>
      <c r="X119" s="50"/>
      <c r="Y119" s="128"/>
    </row>
    <row r="120" spans="2:25" x14ac:dyDescent="0.3">
      <c r="B120" s="131"/>
      <c r="C120" s="132"/>
      <c r="D120" s="16"/>
      <c r="E120" s="133"/>
      <c r="F120" s="134"/>
      <c r="G120" s="135"/>
      <c r="H120" s="135"/>
      <c r="I120" s="135"/>
      <c r="J120" s="135"/>
      <c r="K120" s="128"/>
      <c r="L120" s="128"/>
      <c r="M120" s="128"/>
      <c r="N120" s="128"/>
      <c r="O120" s="128"/>
      <c r="P120" s="128"/>
      <c r="Q120" s="128"/>
      <c r="R120" s="128"/>
      <c r="S120" s="128"/>
      <c r="T120" s="128"/>
      <c r="U120" s="128"/>
      <c r="V120" s="128"/>
      <c r="W120" s="141"/>
      <c r="X120" s="50"/>
      <c r="Y120" s="128"/>
    </row>
    <row r="121" spans="2:25" x14ac:dyDescent="0.3">
      <c r="B121" s="131"/>
      <c r="C121" s="132"/>
      <c r="D121" s="16"/>
      <c r="E121" s="133"/>
      <c r="F121" s="134"/>
      <c r="G121" s="135"/>
      <c r="H121" s="135"/>
      <c r="I121" s="135"/>
      <c r="J121" s="135"/>
      <c r="K121" s="128"/>
      <c r="L121" s="128"/>
      <c r="M121" s="128"/>
      <c r="N121" s="128"/>
      <c r="O121" s="128"/>
      <c r="P121" s="128"/>
      <c r="Q121" s="128"/>
      <c r="R121" s="128"/>
      <c r="S121" s="128"/>
      <c r="T121" s="128"/>
      <c r="U121" s="128"/>
      <c r="V121" s="128"/>
      <c r="W121" s="141"/>
      <c r="X121" s="50"/>
      <c r="Y121" s="128"/>
    </row>
    <row r="122" spans="2:25" x14ac:dyDescent="0.3">
      <c r="B122" s="131"/>
      <c r="C122" s="132"/>
      <c r="D122" s="16"/>
      <c r="E122" s="133"/>
      <c r="F122" s="134"/>
      <c r="G122" s="135"/>
      <c r="H122" s="135"/>
      <c r="I122" s="135"/>
      <c r="J122" s="135"/>
      <c r="K122" s="128"/>
      <c r="L122" s="128"/>
      <c r="M122" s="128"/>
      <c r="N122" s="128"/>
      <c r="O122" s="128"/>
      <c r="P122" s="128"/>
      <c r="Q122" s="128"/>
      <c r="R122" s="128"/>
      <c r="S122" s="128"/>
      <c r="T122" s="128"/>
      <c r="U122" s="128"/>
      <c r="V122" s="128"/>
      <c r="W122" s="141"/>
      <c r="X122" s="50"/>
      <c r="Y122" s="128"/>
    </row>
    <row r="123" spans="2:25" x14ac:dyDescent="0.3">
      <c r="B123" s="131"/>
      <c r="C123" s="132"/>
      <c r="D123" s="16"/>
      <c r="E123" s="133"/>
      <c r="F123" s="134"/>
      <c r="G123" s="135"/>
      <c r="H123" s="135"/>
      <c r="I123" s="135"/>
      <c r="J123" s="135"/>
      <c r="K123" s="128"/>
      <c r="L123" s="128"/>
      <c r="M123" s="128"/>
      <c r="N123" s="128"/>
      <c r="O123" s="128"/>
      <c r="P123" s="128"/>
      <c r="Q123" s="128"/>
      <c r="R123" s="128"/>
      <c r="S123" s="128"/>
      <c r="T123" s="128"/>
      <c r="U123" s="128"/>
      <c r="V123" s="128"/>
      <c r="W123" s="141"/>
      <c r="X123" s="50"/>
      <c r="Y123" s="128"/>
    </row>
    <row r="124" spans="2:25" x14ac:dyDescent="0.3">
      <c r="B124" s="131"/>
      <c r="C124" s="132"/>
      <c r="D124" s="16"/>
      <c r="E124" s="133"/>
      <c r="F124" s="134"/>
      <c r="G124" s="135"/>
      <c r="H124" s="135"/>
      <c r="I124" s="135"/>
      <c r="J124" s="135"/>
      <c r="K124" s="128"/>
      <c r="L124" s="128"/>
      <c r="M124" s="128"/>
      <c r="N124" s="128"/>
      <c r="O124" s="128"/>
      <c r="P124" s="128"/>
      <c r="Q124" s="128"/>
      <c r="R124" s="128"/>
      <c r="S124" s="128"/>
      <c r="T124" s="128"/>
      <c r="U124" s="128"/>
      <c r="V124" s="128"/>
      <c r="W124" s="141"/>
      <c r="X124" s="50"/>
      <c r="Y124" s="128"/>
    </row>
    <row r="125" spans="2:25" x14ac:dyDescent="0.3">
      <c r="B125" s="131"/>
      <c r="C125" s="132"/>
      <c r="D125" s="16"/>
      <c r="E125" s="133"/>
      <c r="F125" s="134"/>
      <c r="G125" s="135"/>
      <c r="H125" s="135"/>
      <c r="I125" s="135"/>
      <c r="J125" s="135"/>
      <c r="K125" s="128"/>
      <c r="L125" s="128"/>
      <c r="M125" s="128"/>
      <c r="N125" s="128"/>
      <c r="O125" s="128"/>
      <c r="P125" s="128"/>
      <c r="Q125" s="128"/>
      <c r="R125" s="128"/>
      <c r="S125" s="128"/>
      <c r="T125" s="128"/>
      <c r="U125" s="128"/>
      <c r="V125" s="128"/>
      <c r="W125" s="141"/>
      <c r="X125" s="50"/>
      <c r="Y125" s="128"/>
    </row>
    <row r="126" spans="2:25" x14ac:dyDescent="0.3">
      <c r="B126" s="131"/>
      <c r="C126" s="132"/>
      <c r="D126" s="16"/>
      <c r="E126" s="133"/>
      <c r="F126" s="134"/>
      <c r="G126" s="135"/>
      <c r="H126" s="135"/>
      <c r="I126" s="135"/>
      <c r="J126" s="135"/>
      <c r="K126" s="128"/>
      <c r="L126" s="128"/>
      <c r="M126" s="128"/>
      <c r="N126" s="128"/>
      <c r="O126" s="128"/>
      <c r="P126" s="128"/>
      <c r="Q126" s="128"/>
      <c r="R126" s="128"/>
      <c r="S126" s="128"/>
      <c r="T126" s="128"/>
      <c r="U126" s="128"/>
      <c r="V126" s="128"/>
      <c r="W126" s="141"/>
      <c r="X126" s="50"/>
      <c r="Y126" s="128"/>
    </row>
    <row r="127" spans="2:25" x14ac:dyDescent="0.3">
      <c r="B127" s="131"/>
      <c r="C127" s="132"/>
      <c r="D127" s="16"/>
      <c r="E127" s="133"/>
      <c r="F127" s="134"/>
      <c r="G127" s="135"/>
      <c r="H127" s="135"/>
      <c r="I127" s="135"/>
      <c r="J127" s="135"/>
      <c r="K127" s="128"/>
      <c r="L127" s="128"/>
      <c r="M127" s="128"/>
      <c r="N127" s="128"/>
      <c r="O127" s="128"/>
      <c r="P127" s="128"/>
      <c r="Q127" s="128"/>
      <c r="R127" s="128"/>
      <c r="S127" s="128"/>
      <c r="T127" s="128"/>
      <c r="U127" s="128"/>
      <c r="V127" s="128"/>
      <c r="W127" s="141"/>
      <c r="X127" s="50"/>
      <c r="Y127" s="128"/>
    </row>
    <row r="128" spans="2:25" x14ac:dyDescent="0.3">
      <c r="B128" s="131"/>
      <c r="C128" s="132"/>
      <c r="D128" s="16"/>
      <c r="E128" s="133"/>
      <c r="F128" s="134"/>
      <c r="G128" s="135"/>
      <c r="H128" s="135"/>
      <c r="I128" s="135"/>
      <c r="J128" s="135"/>
      <c r="K128" s="128"/>
      <c r="L128" s="128"/>
      <c r="M128" s="128"/>
      <c r="N128" s="128"/>
      <c r="O128" s="128"/>
      <c r="P128" s="128"/>
      <c r="Q128" s="128"/>
      <c r="R128" s="128"/>
      <c r="S128" s="128"/>
      <c r="T128" s="128"/>
      <c r="U128" s="128"/>
      <c r="V128" s="128"/>
      <c r="W128" s="141"/>
      <c r="X128" s="50"/>
      <c r="Y128" s="128"/>
    </row>
    <row r="129" spans="2:25" x14ac:dyDescent="0.3">
      <c r="B129" s="131"/>
      <c r="C129" s="132"/>
      <c r="D129" s="16"/>
      <c r="E129" s="133"/>
      <c r="F129" s="134"/>
      <c r="G129" s="135"/>
      <c r="H129" s="135"/>
      <c r="I129" s="135"/>
      <c r="J129" s="135"/>
      <c r="K129" s="128"/>
      <c r="L129" s="128"/>
      <c r="M129" s="128"/>
      <c r="N129" s="128"/>
      <c r="O129" s="128"/>
      <c r="P129" s="128"/>
      <c r="Q129" s="128"/>
      <c r="R129" s="128"/>
      <c r="S129" s="128"/>
      <c r="T129" s="128"/>
      <c r="U129" s="128"/>
      <c r="V129" s="128"/>
      <c r="W129" s="141"/>
      <c r="X129" s="50"/>
      <c r="Y129" s="128"/>
    </row>
    <row r="130" spans="2:25" x14ac:dyDescent="0.3">
      <c r="B130" s="131"/>
      <c r="C130" s="132"/>
      <c r="D130" s="16"/>
      <c r="E130" s="133"/>
      <c r="F130" s="134"/>
      <c r="G130" s="135"/>
      <c r="H130" s="135"/>
      <c r="I130" s="135"/>
      <c r="J130" s="135"/>
      <c r="K130" s="128"/>
      <c r="L130" s="128"/>
      <c r="M130" s="128"/>
      <c r="N130" s="128"/>
      <c r="O130" s="128"/>
      <c r="P130" s="128"/>
      <c r="Q130" s="128"/>
      <c r="R130" s="128"/>
      <c r="S130" s="128"/>
      <c r="T130" s="128"/>
      <c r="U130" s="128"/>
      <c r="V130" s="128"/>
      <c r="W130" s="141"/>
      <c r="X130" s="50"/>
      <c r="Y130" s="128"/>
    </row>
    <row r="131" spans="2:25" x14ac:dyDescent="0.3">
      <c r="B131" s="131"/>
      <c r="C131" s="132"/>
      <c r="D131" s="16"/>
      <c r="E131" s="133"/>
      <c r="F131" s="134"/>
      <c r="G131" s="135"/>
      <c r="H131" s="135"/>
      <c r="I131" s="135"/>
      <c r="J131" s="135"/>
      <c r="K131" s="128"/>
      <c r="L131" s="128"/>
      <c r="M131" s="128"/>
      <c r="N131" s="128"/>
      <c r="O131" s="128"/>
      <c r="P131" s="128"/>
      <c r="Q131" s="128"/>
      <c r="R131" s="128"/>
      <c r="S131" s="128"/>
      <c r="T131" s="128"/>
      <c r="U131" s="128"/>
      <c r="V131" s="128"/>
      <c r="W131" s="141"/>
      <c r="X131" s="50"/>
      <c r="Y131" s="128"/>
    </row>
    <row r="132" spans="2:25" x14ac:dyDescent="0.3">
      <c r="B132" s="131"/>
      <c r="C132" s="132"/>
      <c r="D132" s="16"/>
      <c r="E132" s="133"/>
      <c r="F132" s="134"/>
      <c r="G132" s="135"/>
      <c r="H132" s="135"/>
      <c r="I132" s="135"/>
      <c r="J132" s="135"/>
      <c r="K132" s="128"/>
      <c r="L132" s="128"/>
      <c r="M132" s="128"/>
      <c r="N132" s="128"/>
      <c r="O132" s="128"/>
      <c r="P132" s="128"/>
      <c r="Q132" s="128"/>
      <c r="R132" s="128"/>
      <c r="S132" s="128"/>
      <c r="T132" s="128"/>
      <c r="U132" s="128"/>
      <c r="V132" s="128"/>
      <c r="W132" s="141"/>
      <c r="X132" s="50"/>
      <c r="Y132" s="128"/>
    </row>
    <row r="133" spans="2:25" x14ac:dyDescent="0.3">
      <c r="B133" s="131"/>
      <c r="C133" s="132"/>
      <c r="D133" s="16"/>
      <c r="E133" s="133"/>
      <c r="F133" s="134"/>
      <c r="G133" s="135"/>
      <c r="H133" s="135"/>
      <c r="I133" s="135"/>
      <c r="J133" s="135"/>
      <c r="K133" s="128"/>
      <c r="L133" s="128"/>
      <c r="M133" s="128"/>
      <c r="N133" s="128"/>
      <c r="O133" s="128"/>
      <c r="P133" s="128"/>
      <c r="Q133" s="128"/>
      <c r="R133" s="128"/>
      <c r="S133" s="128"/>
      <c r="T133" s="128"/>
      <c r="U133" s="128"/>
      <c r="V133" s="128"/>
      <c r="W133" s="141"/>
      <c r="X133" s="50"/>
      <c r="Y133" s="128"/>
    </row>
    <row r="134" spans="2:25" x14ac:dyDescent="0.3">
      <c r="B134" s="131"/>
      <c r="C134" s="132"/>
      <c r="D134" s="16"/>
      <c r="E134" s="133"/>
      <c r="F134" s="134"/>
      <c r="G134" s="135"/>
      <c r="H134" s="135"/>
      <c r="I134" s="135"/>
      <c r="J134" s="135"/>
      <c r="K134" s="128"/>
      <c r="L134" s="128"/>
      <c r="M134" s="128"/>
      <c r="N134" s="128"/>
      <c r="O134" s="128"/>
      <c r="P134" s="128"/>
      <c r="Q134" s="128"/>
      <c r="R134" s="128"/>
      <c r="S134" s="128"/>
      <c r="T134" s="128"/>
      <c r="U134" s="128"/>
      <c r="V134" s="128"/>
      <c r="W134" s="141"/>
      <c r="X134" s="50"/>
      <c r="Y134" s="128"/>
    </row>
    <row r="135" spans="2:25" x14ac:dyDescent="0.3">
      <c r="B135" s="131"/>
      <c r="C135" s="132"/>
      <c r="D135" s="16"/>
      <c r="E135" s="133"/>
      <c r="F135" s="134"/>
      <c r="G135" s="135"/>
      <c r="H135" s="135"/>
      <c r="I135" s="135"/>
      <c r="J135" s="135"/>
      <c r="K135" s="128"/>
      <c r="L135" s="128"/>
      <c r="M135" s="128"/>
      <c r="N135" s="128"/>
      <c r="O135" s="128"/>
      <c r="P135" s="128"/>
      <c r="Q135" s="128"/>
      <c r="R135" s="128"/>
      <c r="S135" s="128"/>
      <c r="T135" s="128"/>
      <c r="U135" s="128"/>
      <c r="V135" s="128"/>
      <c r="W135" s="141"/>
      <c r="X135" s="50"/>
      <c r="Y135" s="128"/>
    </row>
    <row r="136" spans="2:25" x14ac:dyDescent="0.3">
      <c r="B136" s="131"/>
      <c r="C136" s="132"/>
      <c r="D136" s="16"/>
      <c r="E136" s="133"/>
      <c r="F136" s="134"/>
      <c r="G136" s="135"/>
      <c r="H136" s="135"/>
      <c r="I136" s="135"/>
      <c r="J136" s="135"/>
      <c r="K136" s="128"/>
      <c r="L136" s="128"/>
      <c r="M136" s="128"/>
      <c r="N136" s="128"/>
      <c r="O136" s="128"/>
      <c r="P136" s="128"/>
      <c r="Q136" s="128"/>
      <c r="R136" s="128"/>
      <c r="S136" s="128"/>
      <c r="T136" s="128"/>
      <c r="U136" s="128"/>
      <c r="V136" s="128"/>
      <c r="W136" s="141"/>
      <c r="X136" s="50"/>
      <c r="Y136" s="128"/>
    </row>
    <row r="137" spans="2:25" x14ac:dyDescent="0.3">
      <c r="B137" s="131"/>
      <c r="C137" s="132"/>
      <c r="D137" s="16"/>
      <c r="E137" s="133"/>
      <c r="F137" s="134"/>
      <c r="G137" s="135"/>
      <c r="H137" s="135"/>
      <c r="I137" s="135"/>
      <c r="J137" s="135"/>
      <c r="K137" s="128"/>
      <c r="L137" s="128"/>
      <c r="M137" s="128"/>
      <c r="N137" s="128"/>
      <c r="O137" s="128"/>
      <c r="P137" s="128"/>
      <c r="Q137" s="128"/>
      <c r="R137" s="128"/>
      <c r="S137" s="128"/>
      <c r="T137" s="128"/>
      <c r="U137" s="128"/>
      <c r="V137" s="128"/>
      <c r="W137" s="141"/>
      <c r="X137" s="50"/>
      <c r="Y137" s="128"/>
    </row>
    <row r="138" spans="2:25" x14ac:dyDescent="0.3">
      <c r="B138" s="131"/>
      <c r="C138" s="132"/>
      <c r="D138" s="16"/>
      <c r="E138" s="133"/>
      <c r="F138" s="134"/>
      <c r="G138" s="135"/>
      <c r="H138" s="135"/>
      <c r="I138" s="135"/>
      <c r="J138" s="135"/>
      <c r="K138" s="128"/>
      <c r="L138" s="128"/>
      <c r="M138" s="128"/>
      <c r="N138" s="128"/>
      <c r="O138" s="128"/>
      <c r="P138" s="128"/>
      <c r="Q138" s="128"/>
      <c r="R138" s="128"/>
      <c r="S138" s="128"/>
      <c r="T138" s="128"/>
      <c r="U138" s="128"/>
      <c r="V138" s="128"/>
      <c r="W138" s="141"/>
      <c r="X138" s="50"/>
      <c r="Y138" s="128"/>
    </row>
    <row r="139" spans="2:25" x14ac:dyDescent="0.3">
      <c r="B139" s="131"/>
      <c r="C139" s="132"/>
      <c r="D139" s="16"/>
      <c r="E139" s="133"/>
      <c r="F139" s="134"/>
      <c r="G139" s="135"/>
      <c r="H139" s="135"/>
      <c r="I139" s="135"/>
      <c r="J139" s="135"/>
      <c r="K139" s="128"/>
      <c r="L139" s="128"/>
      <c r="M139" s="128"/>
      <c r="N139" s="128"/>
      <c r="O139" s="128"/>
      <c r="P139" s="128"/>
      <c r="Q139" s="128"/>
      <c r="R139" s="128"/>
      <c r="S139" s="128"/>
      <c r="T139" s="128"/>
      <c r="U139" s="128"/>
      <c r="V139" s="128"/>
      <c r="W139" s="141"/>
      <c r="X139" s="50"/>
      <c r="Y139" s="128"/>
    </row>
    <row r="140" spans="2:25" x14ac:dyDescent="0.3">
      <c r="B140" s="131"/>
      <c r="C140" s="132"/>
      <c r="D140" s="16"/>
      <c r="E140" s="133"/>
      <c r="F140" s="134"/>
      <c r="G140" s="135"/>
      <c r="H140" s="135"/>
      <c r="I140" s="135"/>
      <c r="J140" s="135"/>
      <c r="K140" s="128"/>
      <c r="L140" s="128"/>
      <c r="M140" s="128"/>
      <c r="N140" s="128"/>
      <c r="O140" s="128"/>
      <c r="P140" s="128"/>
      <c r="Q140" s="128"/>
      <c r="R140" s="128"/>
      <c r="S140" s="128"/>
      <c r="T140" s="128"/>
      <c r="U140" s="128"/>
      <c r="V140" s="128"/>
      <c r="W140" s="141"/>
      <c r="X140" s="50"/>
      <c r="Y140" s="128"/>
    </row>
    <row r="141" spans="2:25" x14ac:dyDescent="0.3">
      <c r="B141" s="131"/>
      <c r="C141" s="132"/>
      <c r="D141" s="16"/>
      <c r="E141" s="133"/>
      <c r="F141" s="134"/>
      <c r="G141" s="135"/>
      <c r="H141" s="135"/>
      <c r="I141" s="135"/>
      <c r="J141" s="135"/>
      <c r="K141" s="128"/>
      <c r="L141" s="128"/>
      <c r="M141" s="128"/>
      <c r="N141" s="128"/>
      <c r="O141" s="128"/>
      <c r="P141" s="128"/>
      <c r="Q141" s="128"/>
      <c r="R141" s="128"/>
      <c r="S141" s="128"/>
      <c r="T141" s="128"/>
      <c r="U141" s="128"/>
      <c r="V141" s="128"/>
      <c r="W141" s="141"/>
      <c r="X141" s="50"/>
      <c r="Y141" s="128"/>
    </row>
    <row r="142" spans="2:25" x14ac:dyDescent="0.3">
      <c r="B142" s="131"/>
      <c r="C142" s="132"/>
      <c r="D142" s="16"/>
      <c r="E142" s="133"/>
      <c r="F142" s="134"/>
      <c r="G142" s="135"/>
      <c r="H142" s="135"/>
      <c r="I142" s="135"/>
      <c r="J142" s="135"/>
      <c r="K142" s="128"/>
      <c r="L142" s="128"/>
      <c r="M142" s="128"/>
      <c r="N142" s="128"/>
      <c r="O142" s="128"/>
      <c r="P142" s="128"/>
      <c r="Q142" s="128"/>
      <c r="R142" s="128"/>
      <c r="S142" s="128"/>
      <c r="T142" s="128"/>
      <c r="U142" s="128"/>
      <c r="V142" s="128"/>
      <c r="W142" s="141"/>
      <c r="X142" s="50"/>
      <c r="Y142" s="128"/>
    </row>
    <row r="143" spans="2:25" x14ac:dyDescent="0.3">
      <c r="B143" s="131"/>
      <c r="C143" s="132"/>
      <c r="D143" s="16"/>
      <c r="E143" s="133"/>
      <c r="F143" s="134"/>
      <c r="G143" s="135"/>
      <c r="H143" s="135"/>
      <c r="I143" s="135"/>
      <c r="J143" s="135"/>
      <c r="K143" s="128"/>
      <c r="L143" s="128"/>
      <c r="M143" s="128"/>
      <c r="N143" s="128"/>
      <c r="O143" s="128"/>
      <c r="P143" s="128"/>
      <c r="Q143" s="128"/>
      <c r="R143" s="128"/>
      <c r="S143" s="128"/>
      <c r="T143" s="128"/>
      <c r="U143" s="128"/>
      <c r="V143" s="128"/>
      <c r="W143" s="141"/>
      <c r="X143" s="50"/>
      <c r="Y143" s="128"/>
    </row>
    <row r="144" spans="2:25" x14ac:dyDescent="0.3">
      <c r="B144" s="131"/>
      <c r="C144" s="132"/>
      <c r="D144" s="16"/>
      <c r="E144" s="133"/>
      <c r="F144" s="134"/>
      <c r="G144" s="135"/>
      <c r="H144" s="135"/>
      <c r="I144" s="135"/>
      <c r="J144" s="135"/>
      <c r="K144" s="128"/>
      <c r="L144" s="128"/>
      <c r="M144" s="128"/>
      <c r="N144" s="128"/>
      <c r="O144" s="128"/>
      <c r="P144" s="128"/>
      <c r="Q144" s="128"/>
      <c r="R144" s="128"/>
      <c r="S144" s="128"/>
      <c r="T144" s="128"/>
      <c r="U144" s="128"/>
      <c r="V144" s="128"/>
      <c r="W144" s="141"/>
      <c r="X144" s="50"/>
      <c r="Y144" s="128"/>
    </row>
    <row r="145" spans="2:25" x14ac:dyDescent="0.3">
      <c r="B145" s="131"/>
      <c r="C145" s="132"/>
      <c r="D145" s="16"/>
      <c r="E145" s="133"/>
      <c r="F145" s="134"/>
      <c r="G145" s="135"/>
      <c r="H145" s="135"/>
      <c r="I145" s="135"/>
      <c r="J145" s="135"/>
      <c r="K145" s="128"/>
      <c r="L145" s="128"/>
      <c r="M145" s="128"/>
      <c r="N145" s="128"/>
      <c r="O145" s="128"/>
      <c r="P145" s="128"/>
      <c r="Q145" s="128"/>
      <c r="R145" s="128"/>
      <c r="S145" s="128"/>
      <c r="T145" s="128"/>
      <c r="U145" s="128"/>
      <c r="V145" s="128"/>
      <c r="W145" s="141"/>
      <c r="X145" s="50"/>
      <c r="Y145" s="128"/>
    </row>
    <row r="146" spans="2:25" x14ac:dyDescent="0.3">
      <c r="B146" s="131"/>
      <c r="C146" s="132"/>
      <c r="D146" s="16"/>
      <c r="E146" s="133"/>
      <c r="F146" s="134"/>
      <c r="G146" s="135"/>
      <c r="H146" s="135"/>
      <c r="I146" s="135"/>
      <c r="J146" s="135"/>
      <c r="K146" s="128"/>
      <c r="L146" s="128"/>
      <c r="M146" s="128"/>
      <c r="N146" s="128"/>
      <c r="O146" s="128"/>
      <c r="P146" s="128"/>
      <c r="Q146" s="128"/>
      <c r="R146" s="128"/>
      <c r="S146" s="128"/>
      <c r="T146" s="128"/>
      <c r="U146" s="128"/>
      <c r="V146" s="128"/>
      <c r="W146" s="141"/>
      <c r="X146" s="50"/>
      <c r="Y146" s="128"/>
    </row>
    <row r="147" spans="2:25" x14ac:dyDescent="0.3">
      <c r="B147" s="131"/>
      <c r="C147" s="132"/>
      <c r="D147" s="16"/>
      <c r="E147" s="133"/>
      <c r="F147" s="134"/>
      <c r="G147" s="135"/>
      <c r="H147" s="135"/>
      <c r="I147" s="135"/>
      <c r="J147" s="135"/>
      <c r="K147" s="128"/>
      <c r="L147" s="128"/>
      <c r="M147" s="128"/>
      <c r="N147" s="128"/>
      <c r="O147" s="128"/>
      <c r="P147" s="128"/>
      <c r="Q147" s="128"/>
      <c r="R147" s="128"/>
      <c r="S147" s="128"/>
      <c r="T147" s="128"/>
      <c r="U147" s="128"/>
      <c r="V147" s="128"/>
      <c r="W147" s="141"/>
      <c r="X147" s="50"/>
      <c r="Y147" s="128"/>
    </row>
    <row r="148" spans="2:25" x14ac:dyDescent="0.3">
      <c r="B148" s="131"/>
      <c r="C148" s="132"/>
      <c r="D148" s="16"/>
      <c r="E148" s="133"/>
      <c r="F148" s="134"/>
      <c r="G148" s="135"/>
      <c r="H148" s="135"/>
      <c r="I148" s="135"/>
      <c r="J148" s="135"/>
      <c r="K148" s="128"/>
      <c r="L148" s="128"/>
      <c r="M148" s="128"/>
      <c r="N148" s="128"/>
      <c r="O148" s="128"/>
      <c r="P148" s="128"/>
      <c r="Q148" s="128"/>
      <c r="R148" s="128"/>
      <c r="S148" s="128"/>
      <c r="T148" s="128"/>
      <c r="U148" s="128"/>
      <c r="V148" s="128"/>
      <c r="W148" s="141"/>
      <c r="X148" s="50"/>
      <c r="Y148" s="128"/>
    </row>
    <row r="149" spans="2:25" x14ac:dyDescent="0.3">
      <c r="B149" s="131"/>
      <c r="C149" s="132"/>
      <c r="D149" s="16"/>
      <c r="E149" s="133"/>
      <c r="F149" s="134"/>
      <c r="G149" s="135"/>
      <c r="H149" s="135"/>
      <c r="I149" s="135"/>
      <c r="J149" s="135"/>
      <c r="K149" s="128"/>
      <c r="L149" s="128"/>
      <c r="M149" s="128"/>
      <c r="N149" s="128"/>
      <c r="O149" s="128"/>
      <c r="P149" s="128"/>
      <c r="Q149" s="128"/>
      <c r="R149" s="128"/>
      <c r="S149" s="128"/>
      <c r="T149" s="128"/>
      <c r="U149" s="128"/>
      <c r="V149" s="128"/>
      <c r="W149" s="141"/>
      <c r="X149" s="50"/>
      <c r="Y149" s="128"/>
    </row>
    <row r="150" spans="2:25" x14ac:dyDescent="0.3">
      <c r="B150" s="131"/>
      <c r="C150" s="132"/>
      <c r="D150" s="16"/>
      <c r="E150" s="133"/>
      <c r="F150" s="134"/>
      <c r="G150" s="135"/>
      <c r="H150" s="135"/>
      <c r="I150" s="135"/>
      <c r="J150" s="135"/>
      <c r="K150" s="128"/>
      <c r="L150" s="128"/>
      <c r="M150" s="128"/>
      <c r="N150" s="128"/>
      <c r="O150" s="128"/>
      <c r="P150" s="128"/>
      <c r="Q150" s="128"/>
      <c r="R150" s="128"/>
      <c r="S150" s="128"/>
      <c r="T150" s="128"/>
      <c r="U150" s="128"/>
      <c r="V150" s="128"/>
      <c r="W150" s="141"/>
      <c r="X150" s="50"/>
      <c r="Y150" s="128"/>
    </row>
    <row r="151" spans="2:25" x14ac:dyDescent="0.3">
      <c r="B151" s="131"/>
      <c r="C151" s="132"/>
      <c r="D151" s="16"/>
      <c r="E151" s="133"/>
      <c r="F151" s="134"/>
      <c r="G151" s="135"/>
      <c r="H151" s="135"/>
      <c r="I151" s="135"/>
      <c r="J151" s="135"/>
      <c r="K151" s="128"/>
      <c r="L151" s="128"/>
      <c r="M151" s="128"/>
      <c r="N151" s="128"/>
      <c r="O151" s="128"/>
      <c r="P151" s="128"/>
      <c r="Q151" s="128"/>
      <c r="R151" s="128"/>
      <c r="S151" s="128"/>
      <c r="T151" s="128"/>
      <c r="U151" s="128"/>
      <c r="V151" s="128"/>
      <c r="W151" s="141"/>
      <c r="X151" s="50"/>
      <c r="Y151" s="128"/>
    </row>
    <row r="152" spans="2:25" x14ac:dyDescent="0.3">
      <c r="B152" s="131"/>
      <c r="C152" s="132"/>
      <c r="D152" s="16"/>
      <c r="E152" s="133"/>
      <c r="F152" s="134"/>
      <c r="G152" s="135"/>
      <c r="H152" s="135"/>
      <c r="I152" s="135"/>
      <c r="J152" s="135"/>
      <c r="K152" s="128"/>
      <c r="L152" s="128"/>
      <c r="M152" s="128"/>
      <c r="N152" s="128"/>
      <c r="O152" s="128"/>
      <c r="P152" s="128"/>
      <c r="Q152" s="128"/>
      <c r="R152" s="128"/>
      <c r="S152" s="128"/>
      <c r="T152" s="128"/>
      <c r="U152" s="128"/>
      <c r="V152" s="128"/>
      <c r="W152" s="141"/>
      <c r="X152" s="50"/>
      <c r="Y152" s="128"/>
    </row>
    <row r="153" spans="2:25" x14ac:dyDescent="0.3">
      <c r="B153" s="131"/>
      <c r="C153" s="132"/>
      <c r="D153" s="16"/>
      <c r="E153" s="133"/>
      <c r="F153" s="134"/>
      <c r="G153" s="135"/>
      <c r="H153" s="135"/>
      <c r="I153" s="135"/>
      <c r="J153" s="135"/>
      <c r="K153" s="128"/>
      <c r="L153" s="128"/>
      <c r="M153" s="128"/>
      <c r="N153" s="128"/>
      <c r="O153" s="128"/>
      <c r="P153" s="128"/>
      <c r="Q153" s="128"/>
      <c r="R153" s="128"/>
      <c r="S153" s="128"/>
      <c r="T153" s="128"/>
      <c r="U153" s="128"/>
      <c r="V153" s="128"/>
      <c r="W153" s="141"/>
      <c r="X153" s="50"/>
      <c r="Y153" s="128"/>
    </row>
    <row r="154" spans="2:25" x14ac:dyDescent="0.3">
      <c r="B154" s="131"/>
      <c r="C154" s="132"/>
      <c r="D154" s="16"/>
      <c r="E154" s="133"/>
      <c r="F154" s="134"/>
      <c r="G154" s="135"/>
      <c r="H154" s="135"/>
      <c r="I154" s="135"/>
      <c r="J154" s="135"/>
      <c r="K154" s="128"/>
      <c r="L154" s="128"/>
      <c r="M154" s="128"/>
      <c r="N154" s="128"/>
      <c r="O154" s="128"/>
      <c r="P154" s="128"/>
      <c r="Q154" s="128"/>
      <c r="R154" s="128"/>
      <c r="S154" s="128"/>
      <c r="T154" s="128"/>
      <c r="U154" s="128"/>
      <c r="V154" s="128"/>
      <c r="W154" s="141"/>
      <c r="X154" s="50"/>
      <c r="Y154" s="128"/>
    </row>
    <row r="155" spans="2:25" x14ac:dyDescent="0.3">
      <c r="B155" s="131"/>
      <c r="C155" s="132"/>
      <c r="D155" s="16"/>
      <c r="E155" s="133"/>
      <c r="F155" s="134"/>
      <c r="G155" s="135"/>
      <c r="H155" s="135"/>
      <c r="I155" s="135"/>
      <c r="J155" s="135"/>
      <c r="K155" s="128"/>
      <c r="L155" s="128"/>
      <c r="M155" s="128"/>
      <c r="N155" s="128"/>
      <c r="O155" s="128"/>
      <c r="P155" s="128"/>
      <c r="Q155" s="128"/>
      <c r="R155" s="128"/>
      <c r="S155" s="128"/>
      <c r="T155" s="128"/>
      <c r="U155" s="128"/>
      <c r="V155" s="128"/>
      <c r="W155" s="141"/>
      <c r="X155" s="50"/>
      <c r="Y155" s="128"/>
    </row>
    <row r="156" spans="2:25" x14ac:dyDescent="0.3">
      <c r="B156" s="131"/>
      <c r="C156" s="132"/>
      <c r="D156" s="16"/>
      <c r="E156" s="133"/>
      <c r="F156" s="134"/>
      <c r="G156" s="135"/>
      <c r="H156" s="135"/>
      <c r="I156" s="135"/>
      <c r="J156" s="135"/>
      <c r="K156" s="128"/>
      <c r="L156" s="128"/>
      <c r="M156" s="128"/>
      <c r="N156" s="128"/>
      <c r="O156" s="128"/>
      <c r="P156" s="128"/>
      <c r="Q156" s="128"/>
      <c r="R156" s="128"/>
      <c r="S156" s="128"/>
      <c r="T156" s="128"/>
      <c r="U156" s="128"/>
      <c r="V156" s="128"/>
      <c r="W156" s="141"/>
      <c r="X156" s="50"/>
      <c r="Y156" s="128"/>
    </row>
    <row r="157" spans="2:25" x14ac:dyDescent="0.3">
      <c r="B157" s="131"/>
      <c r="C157" s="132"/>
      <c r="D157" s="16"/>
      <c r="E157" s="133"/>
      <c r="F157" s="134"/>
      <c r="G157" s="135"/>
      <c r="H157" s="135"/>
      <c r="I157" s="135"/>
      <c r="J157" s="135"/>
      <c r="K157" s="128"/>
      <c r="L157" s="128"/>
      <c r="M157" s="128"/>
      <c r="N157" s="128"/>
      <c r="O157" s="128"/>
      <c r="P157" s="128"/>
      <c r="Q157" s="128"/>
      <c r="R157" s="128"/>
      <c r="S157" s="128"/>
      <c r="T157" s="128"/>
      <c r="U157" s="128"/>
      <c r="V157" s="128"/>
      <c r="W157" s="141"/>
      <c r="X157" s="50"/>
      <c r="Y157" s="128"/>
    </row>
    <row r="158" spans="2:25" x14ac:dyDescent="0.3">
      <c r="B158" s="131"/>
      <c r="C158" s="132"/>
      <c r="D158" s="16"/>
      <c r="E158" s="133"/>
      <c r="F158" s="134"/>
      <c r="G158" s="135"/>
      <c r="H158" s="135"/>
      <c r="I158" s="135"/>
      <c r="J158" s="135"/>
      <c r="K158" s="128"/>
      <c r="L158" s="128"/>
      <c r="M158" s="128"/>
      <c r="N158" s="128"/>
      <c r="O158" s="128"/>
      <c r="P158" s="128"/>
      <c r="Q158" s="128"/>
      <c r="R158" s="128"/>
      <c r="S158" s="128"/>
      <c r="T158" s="128"/>
      <c r="U158" s="128"/>
      <c r="V158" s="128"/>
      <c r="W158" s="141"/>
      <c r="X158" s="50"/>
      <c r="Y158" s="128"/>
    </row>
    <row r="159" spans="2:25" x14ac:dyDescent="0.3">
      <c r="B159" s="131"/>
      <c r="C159" s="132"/>
      <c r="D159" s="16"/>
      <c r="E159" s="133"/>
      <c r="F159" s="134"/>
      <c r="G159" s="135"/>
      <c r="H159" s="135"/>
      <c r="I159" s="135"/>
      <c r="J159" s="135"/>
      <c r="K159" s="128"/>
      <c r="L159" s="128"/>
      <c r="M159" s="128"/>
      <c r="N159" s="128"/>
      <c r="O159" s="128"/>
      <c r="P159" s="128"/>
      <c r="Q159" s="128"/>
      <c r="R159" s="128"/>
      <c r="S159" s="128"/>
      <c r="T159" s="128"/>
      <c r="U159" s="128"/>
      <c r="V159" s="128"/>
      <c r="W159" s="141"/>
      <c r="X159" s="50"/>
      <c r="Y159" s="128"/>
    </row>
    <row r="160" spans="2:25" x14ac:dyDescent="0.3">
      <c r="B160" s="131"/>
      <c r="C160" s="132"/>
      <c r="D160" s="16"/>
      <c r="E160" s="133"/>
      <c r="F160" s="134"/>
      <c r="G160" s="135"/>
      <c r="H160" s="135"/>
      <c r="I160" s="135"/>
      <c r="J160" s="135"/>
      <c r="K160" s="128"/>
      <c r="L160" s="128"/>
      <c r="M160" s="128"/>
      <c r="N160" s="128"/>
      <c r="O160" s="128"/>
      <c r="P160" s="128"/>
      <c r="Q160" s="128"/>
      <c r="R160" s="128"/>
      <c r="S160" s="128"/>
      <c r="T160" s="128"/>
      <c r="U160" s="128"/>
      <c r="V160" s="128"/>
      <c r="W160" s="141"/>
      <c r="X160" s="50"/>
      <c r="Y160" s="128"/>
    </row>
    <row r="161" spans="2:25" x14ac:dyDescent="0.3">
      <c r="B161" s="131"/>
      <c r="C161" s="132"/>
      <c r="D161" s="16"/>
      <c r="E161" s="133"/>
      <c r="F161" s="134"/>
      <c r="G161" s="135"/>
      <c r="H161" s="135"/>
      <c r="I161" s="135"/>
      <c r="J161" s="135"/>
      <c r="K161" s="128"/>
      <c r="L161" s="128"/>
      <c r="M161" s="128"/>
      <c r="N161" s="128"/>
      <c r="O161" s="128"/>
      <c r="P161" s="128"/>
      <c r="Q161" s="128"/>
      <c r="R161" s="128"/>
      <c r="S161" s="128"/>
      <c r="T161" s="128"/>
      <c r="U161" s="128"/>
      <c r="V161" s="128"/>
      <c r="W161" s="141"/>
      <c r="X161" s="50"/>
      <c r="Y161" s="128"/>
    </row>
    <row r="162" spans="2:25" x14ac:dyDescent="0.3">
      <c r="B162" s="131"/>
      <c r="C162" s="132"/>
      <c r="D162" s="16"/>
      <c r="E162" s="133"/>
      <c r="F162" s="134"/>
      <c r="G162" s="135"/>
      <c r="H162" s="135"/>
      <c r="I162" s="135"/>
      <c r="J162" s="135"/>
      <c r="K162" s="128"/>
      <c r="L162" s="128"/>
      <c r="M162" s="128"/>
      <c r="N162" s="128"/>
      <c r="O162" s="128"/>
      <c r="P162" s="128"/>
      <c r="Q162" s="128"/>
      <c r="R162" s="128"/>
      <c r="S162" s="128"/>
      <c r="T162" s="128"/>
      <c r="U162" s="128"/>
      <c r="V162" s="128"/>
      <c r="W162" s="141"/>
      <c r="X162" s="50"/>
      <c r="Y162" s="128"/>
    </row>
    <row r="163" spans="2:25" x14ac:dyDescent="0.3">
      <c r="B163" s="131"/>
      <c r="C163" s="132"/>
      <c r="D163" s="16"/>
      <c r="E163" s="133"/>
      <c r="F163" s="134"/>
      <c r="G163" s="135"/>
      <c r="H163" s="135"/>
      <c r="I163" s="135"/>
      <c r="J163" s="135"/>
      <c r="K163" s="128"/>
      <c r="L163" s="128"/>
      <c r="M163" s="128"/>
      <c r="N163" s="128"/>
      <c r="O163" s="128"/>
      <c r="P163" s="128"/>
      <c r="Q163" s="128"/>
      <c r="R163" s="128"/>
      <c r="S163" s="128"/>
      <c r="T163" s="128"/>
      <c r="U163" s="128"/>
      <c r="V163" s="128"/>
      <c r="W163" s="141"/>
      <c r="X163" s="50"/>
      <c r="Y163" s="128"/>
    </row>
    <row r="164" spans="2:25" x14ac:dyDescent="0.3">
      <c r="B164" s="131"/>
      <c r="C164" s="132"/>
      <c r="D164" s="16"/>
      <c r="E164" s="133"/>
      <c r="F164" s="134"/>
      <c r="G164" s="135"/>
      <c r="H164" s="135"/>
      <c r="I164" s="135"/>
      <c r="J164" s="135"/>
      <c r="K164" s="128"/>
      <c r="L164" s="128"/>
      <c r="M164" s="128"/>
      <c r="N164" s="128"/>
      <c r="O164" s="128"/>
      <c r="P164" s="128"/>
      <c r="Q164" s="128"/>
      <c r="R164" s="128"/>
      <c r="S164" s="128"/>
      <c r="T164" s="128"/>
      <c r="U164" s="128"/>
      <c r="V164" s="128"/>
      <c r="W164" s="141"/>
      <c r="X164" s="50"/>
      <c r="Y164" s="128"/>
    </row>
    <row r="165" spans="2:25" x14ac:dyDescent="0.3">
      <c r="B165" s="131"/>
      <c r="C165" s="132"/>
      <c r="D165" s="16"/>
      <c r="E165" s="133"/>
      <c r="F165" s="134"/>
      <c r="G165" s="135"/>
      <c r="H165" s="135"/>
      <c r="I165" s="135"/>
      <c r="J165" s="135"/>
      <c r="K165" s="128"/>
      <c r="L165" s="128"/>
      <c r="M165" s="128"/>
      <c r="N165" s="128"/>
      <c r="O165" s="128"/>
      <c r="P165" s="128"/>
      <c r="Q165" s="128"/>
      <c r="R165" s="128"/>
      <c r="S165" s="128"/>
      <c r="T165" s="128"/>
      <c r="U165" s="128"/>
      <c r="V165" s="128"/>
      <c r="W165" s="141"/>
      <c r="X165" s="50"/>
      <c r="Y165" s="128"/>
    </row>
    <row r="166" spans="2:25" x14ac:dyDescent="0.3">
      <c r="B166" s="131"/>
      <c r="C166" s="132"/>
      <c r="D166" s="16"/>
      <c r="E166" s="133"/>
      <c r="F166" s="134"/>
      <c r="G166" s="135"/>
      <c r="H166" s="135"/>
      <c r="I166" s="135"/>
      <c r="J166" s="135"/>
      <c r="K166" s="128"/>
      <c r="L166" s="128"/>
      <c r="M166" s="128"/>
      <c r="N166" s="128"/>
      <c r="O166" s="128"/>
      <c r="P166" s="128"/>
      <c r="Q166" s="128"/>
      <c r="R166" s="128"/>
      <c r="S166" s="128"/>
      <c r="T166" s="128"/>
      <c r="U166" s="128"/>
      <c r="V166" s="128"/>
      <c r="W166" s="141"/>
      <c r="X166" s="50"/>
      <c r="Y166" s="128"/>
    </row>
    <row r="167" spans="2:25" x14ac:dyDescent="0.3">
      <c r="B167" s="131"/>
      <c r="C167" s="132"/>
      <c r="D167" s="16"/>
      <c r="E167" s="133"/>
      <c r="F167" s="134"/>
      <c r="G167" s="135"/>
      <c r="H167" s="135"/>
      <c r="I167" s="135"/>
      <c r="J167" s="135"/>
      <c r="K167" s="128"/>
      <c r="L167" s="128"/>
      <c r="M167" s="128"/>
      <c r="N167" s="128"/>
      <c r="O167" s="128"/>
      <c r="P167" s="128"/>
      <c r="Q167" s="128"/>
      <c r="R167" s="128"/>
      <c r="S167" s="128"/>
      <c r="T167" s="128"/>
      <c r="U167" s="128"/>
      <c r="V167" s="128"/>
      <c r="W167" s="141"/>
      <c r="X167" s="50"/>
      <c r="Y167" s="128"/>
    </row>
    <row r="168" spans="2:25" x14ac:dyDescent="0.3">
      <c r="B168" s="131"/>
      <c r="C168" s="132"/>
      <c r="D168" s="16"/>
      <c r="E168" s="133"/>
      <c r="F168" s="134"/>
      <c r="G168" s="135"/>
      <c r="H168" s="135"/>
      <c r="I168" s="135"/>
      <c r="J168" s="135"/>
      <c r="K168" s="128"/>
      <c r="L168" s="128"/>
      <c r="M168" s="128"/>
      <c r="N168" s="128"/>
      <c r="O168" s="128"/>
      <c r="P168" s="128"/>
      <c r="Q168" s="128"/>
      <c r="R168" s="128"/>
      <c r="S168" s="128"/>
      <c r="T168" s="128"/>
      <c r="U168" s="128"/>
      <c r="V168" s="128"/>
      <c r="W168" s="141"/>
      <c r="X168" s="50"/>
      <c r="Y168" s="128"/>
    </row>
    <row r="169" spans="2:25" x14ac:dyDescent="0.3">
      <c r="B169" s="131"/>
      <c r="C169" s="132"/>
      <c r="D169" s="16"/>
      <c r="E169" s="133"/>
      <c r="F169" s="134"/>
      <c r="G169" s="135"/>
      <c r="H169" s="135"/>
      <c r="I169" s="135"/>
      <c r="J169" s="135"/>
      <c r="K169" s="128"/>
      <c r="L169" s="128"/>
      <c r="M169" s="128"/>
      <c r="N169" s="128"/>
      <c r="O169" s="128"/>
      <c r="P169" s="128"/>
      <c r="Q169" s="128"/>
      <c r="R169" s="128"/>
      <c r="S169" s="128"/>
      <c r="T169" s="128"/>
      <c r="U169" s="128"/>
      <c r="V169" s="128"/>
      <c r="W169" s="141"/>
      <c r="X169" s="50"/>
      <c r="Y169" s="128"/>
    </row>
    <row r="170" spans="2:25" x14ac:dyDescent="0.3">
      <c r="B170" s="131"/>
      <c r="C170" s="132"/>
      <c r="D170" s="16"/>
      <c r="E170" s="133"/>
      <c r="F170" s="134"/>
      <c r="G170" s="135"/>
      <c r="H170" s="135"/>
      <c r="I170" s="135"/>
      <c r="J170" s="135"/>
      <c r="K170" s="128"/>
      <c r="L170" s="128"/>
      <c r="M170" s="128"/>
      <c r="N170" s="128"/>
      <c r="O170" s="128"/>
      <c r="P170" s="128"/>
      <c r="Q170" s="128"/>
      <c r="R170" s="128"/>
      <c r="S170" s="128"/>
      <c r="T170" s="128"/>
      <c r="U170" s="128"/>
      <c r="V170" s="128"/>
      <c r="W170" s="141"/>
      <c r="X170" s="50"/>
      <c r="Y170" s="128"/>
    </row>
    <row r="171" spans="2:25" x14ac:dyDescent="0.3">
      <c r="B171" s="131"/>
      <c r="C171" s="132"/>
      <c r="D171" s="16"/>
      <c r="E171" s="133"/>
      <c r="F171" s="134"/>
      <c r="G171" s="135"/>
      <c r="H171" s="135"/>
      <c r="I171" s="135"/>
      <c r="J171" s="135"/>
      <c r="K171" s="128"/>
      <c r="L171" s="128"/>
      <c r="M171" s="128"/>
      <c r="N171" s="128"/>
      <c r="O171" s="128"/>
      <c r="P171" s="128"/>
      <c r="Q171" s="128"/>
      <c r="R171" s="128"/>
      <c r="S171" s="128"/>
      <c r="T171" s="128"/>
      <c r="U171" s="128"/>
      <c r="V171" s="128"/>
      <c r="W171" s="141"/>
      <c r="X171" s="50"/>
      <c r="Y171" s="128"/>
    </row>
    <row r="172" spans="2:25" x14ac:dyDescent="0.3">
      <c r="B172" s="131"/>
      <c r="C172" s="132"/>
      <c r="D172" s="16"/>
      <c r="E172" s="133"/>
      <c r="F172" s="134"/>
      <c r="G172" s="135"/>
      <c r="H172" s="135"/>
      <c r="I172" s="135"/>
      <c r="J172" s="135"/>
      <c r="K172" s="128"/>
      <c r="L172" s="128"/>
      <c r="M172" s="128"/>
      <c r="N172" s="128"/>
      <c r="O172" s="128"/>
      <c r="P172" s="128"/>
      <c r="Q172" s="128"/>
      <c r="R172" s="128"/>
      <c r="S172" s="128"/>
      <c r="T172" s="128"/>
      <c r="U172" s="128"/>
      <c r="V172" s="128"/>
      <c r="W172" s="141"/>
      <c r="X172" s="50"/>
      <c r="Y172" s="128"/>
    </row>
    <row r="173" spans="2:25" x14ac:dyDescent="0.3">
      <c r="B173" s="131"/>
      <c r="C173" s="132"/>
      <c r="D173" s="16"/>
      <c r="E173" s="133"/>
      <c r="F173" s="134"/>
      <c r="G173" s="135"/>
      <c r="H173" s="135"/>
      <c r="I173" s="135"/>
      <c r="J173" s="135"/>
      <c r="K173" s="128"/>
      <c r="L173" s="128"/>
      <c r="M173" s="128"/>
      <c r="N173" s="128"/>
      <c r="O173" s="128"/>
      <c r="P173" s="128"/>
      <c r="Q173" s="128"/>
      <c r="R173" s="128"/>
      <c r="S173" s="128"/>
      <c r="T173" s="128"/>
      <c r="U173" s="128"/>
      <c r="V173" s="128"/>
      <c r="W173" s="141"/>
      <c r="X173" s="50"/>
      <c r="Y173" s="128"/>
    </row>
    <row r="174" spans="2:25" x14ac:dyDescent="0.3">
      <c r="B174" s="131"/>
      <c r="C174" s="132"/>
      <c r="D174" s="16"/>
      <c r="E174" s="133"/>
      <c r="F174" s="134"/>
      <c r="G174" s="135"/>
      <c r="H174" s="135"/>
      <c r="I174" s="135"/>
      <c r="J174" s="135"/>
      <c r="K174" s="128"/>
      <c r="L174" s="128"/>
      <c r="M174" s="128"/>
      <c r="N174" s="128"/>
      <c r="O174" s="128"/>
      <c r="P174" s="128"/>
      <c r="Q174" s="128"/>
      <c r="R174" s="128"/>
      <c r="S174" s="128"/>
      <c r="T174" s="128"/>
      <c r="U174" s="128"/>
      <c r="V174" s="128"/>
      <c r="W174" s="141"/>
      <c r="X174" s="50"/>
      <c r="Y174" s="128"/>
    </row>
    <row r="175" spans="2:25" x14ac:dyDescent="0.3">
      <c r="B175" s="131"/>
      <c r="C175" s="132"/>
      <c r="D175" s="16"/>
      <c r="E175" s="133"/>
      <c r="F175" s="134"/>
      <c r="G175" s="135"/>
      <c r="H175" s="135"/>
      <c r="I175" s="135"/>
      <c r="J175" s="135"/>
      <c r="K175" s="128"/>
      <c r="L175" s="128"/>
      <c r="M175" s="128"/>
      <c r="N175" s="128"/>
      <c r="O175" s="128"/>
      <c r="P175" s="128"/>
      <c r="Q175" s="128"/>
      <c r="R175" s="128"/>
      <c r="S175" s="128"/>
      <c r="T175" s="128"/>
      <c r="U175" s="128"/>
      <c r="V175" s="128"/>
      <c r="W175" s="141"/>
      <c r="X175" s="50"/>
      <c r="Y175" s="128"/>
    </row>
    <row r="176" spans="2:25" x14ac:dyDescent="0.3">
      <c r="B176" s="131"/>
      <c r="C176" s="132"/>
      <c r="D176" s="16"/>
      <c r="E176" s="133"/>
      <c r="F176" s="134"/>
      <c r="G176" s="135"/>
      <c r="H176" s="135"/>
      <c r="I176" s="135"/>
      <c r="J176" s="135"/>
      <c r="K176" s="128"/>
      <c r="L176" s="128"/>
      <c r="M176" s="128"/>
      <c r="N176" s="128"/>
      <c r="O176" s="128"/>
      <c r="P176" s="128"/>
      <c r="Q176" s="128"/>
      <c r="R176" s="128"/>
      <c r="S176" s="128"/>
      <c r="T176" s="128"/>
      <c r="U176" s="128"/>
      <c r="V176" s="128"/>
      <c r="W176" s="141"/>
      <c r="X176" s="50"/>
      <c r="Y176" s="128"/>
    </row>
    <row r="177" spans="2:25" x14ac:dyDescent="0.3">
      <c r="B177" s="131"/>
      <c r="C177" s="132"/>
      <c r="D177" s="16"/>
      <c r="E177" s="133"/>
      <c r="F177" s="134"/>
      <c r="G177" s="135"/>
      <c r="H177" s="135"/>
      <c r="I177" s="135"/>
      <c r="J177" s="135"/>
      <c r="K177" s="128"/>
      <c r="L177" s="128"/>
      <c r="M177" s="128"/>
      <c r="N177" s="128"/>
      <c r="O177" s="128"/>
      <c r="P177" s="128"/>
      <c r="Q177" s="128"/>
      <c r="R177" s="128"/>
      <c r="S177" s="128"/>
      <c r="T177" s="128"/>
      <c r="U177" s="128"/>
      <c r="V177" s="128"/>
      <c r="W177" s="141"/>
      <c r="X177" s="50"/>
      <c r="Y177" s="128"/>
    </row>
    <row r="178" spans="2:25" x14ac:dyDescent="0.3">
      <c r="B178" s="131"/>
      <c r="C178" s="132"/>
      <c r="D178" s="16"/>
      <c r="E178" s="133"/>
      <c r="F178" s="134"/>
      <c r="G178" s="135"/>
      <c r="H178" s="135"/>
      <c r="I178" s="135"/>
      <c r="J178" s="135"/>
      <c r="K178" s="128"/>
      <c r="L178" s="128"/>
      <c r="M178" s="128"/>
      <c r="N178" s="128"/>
      <c r="O178" s="128"/>
      <c r="P178" s="128"/>
      <c r="Q178" s="128"/>
      <c r="R178" s="128"/>
      <c r="S178" s="128"/>
      <c r="T178" s="128"/>
      <c r="U178" s="128"/>
      <c r="V178" s="128"/>
      <c r="W178" s="141"/>
      <c r="X178" s="50"/>
      <c r="Y178" s="128"/>
    </row>
    <row r="179" spans="2:25" x14ac:dyDescent="0.3">
      <c r="B179" s="131"/>
      <c r="C179" s="132"/>
      <c r="D179" s="16"/>
      <c r="E179" s="133"/>
      <c r="F179" s="134"/>
      <c r="G179" s="135"/>
      <c r="H179" s="135"/>
      <c r="I179" s="135"/>
      <c r="J179" s="135"/>
      <c r="K179" s="128"/>
      <c r="L179" s="128"/>
      <c r="M179" s="128"/>
      <c r="N179" s="128"/>
      <c r="O179" s="128"/>
      <c r="P179" s="128"/>
      <c r="Q179" s="128"/>
      <c r="R179" s="128"/>
      <c r="S179" s="128"/>
      <c r="T179" s="128"/>
      <c r="U179" s="128"/>
      <c r="V179" s="128"/>
      <c r="W179" s="141"/>
      <c r="X179" s="50"/>
      <c r="Y179" s="128"/>
    </row>
    <row r="180" spans="2:25" x14ac:dyDescent="0.3">
      <c r="B180" s="131"/>
      <c r="C180" s="132"/>
      <c r="D180" s="16"/>
      <c r="E180" s="133"/>
      <c r="F180" s="134"/>
      <c r="G180" s="135"/>
      <c r="H180" s="135"/>
      <c r="I180" s="135"/>
      <c r="J180" s="135"/>
      <c r="K180" s="128"/>
      <c r="L180" s="128"/>
      <c r="M180" s="128"/>
      <c r="N180" s="128"/>
      <c r="O180" s="128"/>
      <c r="P180" s="128"/>
      <c r="Q180" s="128"/>
      <c r="R180" s="128"/>
      <c r="S180" s="128"/>
      <c r="T180" s="128"/>
      <c r="U180" s="128"/>
      <c r="V180" s="128"/>
      <c r="W180" s="141"/>
      <c r="X180" s="50"/>
      <c r="Y180" s="128"/>
    </row>
    <row r="181" spans="2:25" x14ac:dyDescent="0.3">
      <c r="B181" s="131"/>
      <c r="C181" s="132"/>
      <c r="D181" s="16"/>
      <c r="E181" s="133"/>
      <c r="F181" s="134"/>
      <c r="G181" s="135"/>
      <c r="H181" s="135"/>
      <c r="I181" s="135"/>
      <c r="J181" s="135"/>
      <c r="K181" s="128"/>
      <c r="L181" s="128"/>
      <c r="M181" s="128"/>
      <c r="N181" s="128"/>
      <c r="O181" s="128"/>
      <c r="P181" s="128"/>
      <c r="Q181" s="128"/>
      <c r="R181" s="128"/>
      <c r="S181" s="128"/>
      <c r="T181" s="128"/>
      <c r="U181" s="128"/>
      <c r="V181" s="128"/>
      <c r="W181" s="141"/>
      <c r="X181" s="50"/>
      <c r="Y181" s="128"/>
    </row>
    <row r="182" spans="2:25" x14ac:dyDescent="0.3">
      <c r="B182" s="131"/>
      <c r="C182" s="132"/>
      <c r="D182" s="16"/>
      <c r="E182" s="133"/>
      <c r="F182" s="134"/>
      <c r="G182" s="135"/>
      <c r="H182" s="135"/>
      <c r="I182" s="135"/>
      <c r="J182" s="135"/>
      <c r="K182" s="128"/>
      <c r="L182" s="128"/>
      <c r="M182" s="128"/>
      <c r="N182" s="128"/>
      <c r="O182" s="128"/>
      <c r="P182" s="128"/>
      <c r="Q182" s="128"/>
      <c r="R182" s="128"/>
      <c r="S182" s="128"/>
      <c r="T182" s="128"/>
      <c r="U182" s="128"/>
      <c r="V182" s="128"/>
      <c r="W182" s="141"/>
      <c r="X182" s="50"/>
      <c r="Y182" s="128"/>
    </row>
    <row r="183" spans="2:25" x14ac:dyDescent="0.3">
      <c r="B183" s="131"/>
      <c r="C183" s="132"/>
      <c r="D183" s="16"/>
      <c r="E183" s="133"/>
      <c r="F183" s="134"/>
      <c r="G183" s="135"/>
      <c r="H183" s="135"/>
      <c r="I183" s="135"/>
      <c r="J183" s="135"/>
      <c r="K183" s="128"/>
      <c r="L183" s="128"/>
      <c r="M183" s="128"/>
      <c r="N183" s="128"/>
      <c r="O183" s="128"/>
      <c r="P183" s="128"/>
      <c r="Q183" s="128"/>
      <c r="R183" s="128"/>
      <c r="S183" s="128"/>
      <c r="T183" s="128"/>
      <c r="U183" s="128"/>
      <c r="V183" s="128"/>
      <c r="W183" s="141"/>
      <c r="X183" s="50"/>
      <c r="Y183" s="128"/>
    </row>
    <row r="184" spans="2:25" x14ac:dyDescent="0.3">
      <c r="B184" s="131"/>
      <c r="C184" s="132"/>
      <c r="D184" s="16"/>
      <c r="E184" s="133"/>
      <c r="F184" s="134"/>
      <c r="G184" s="135"/>
      <c r="H184" s="135"/>
      <c r="I184" s="135"/>
      <c r="J184" s="135"/>
      <c r="K184" s="128"/>
      <c r="L184" s="128"/>
      <c r="M184" s="128"/>
      <c r="N184" s="128"/>
      <c r="O184" s="128"/>
      <c r="P184" s="128"/>
      <c r="Q184" s="128"/>
      <c r="R184" s="128"/>
      <c r="S184" s="128"/>
      <c r="T184" s="128"/>
      <c r="U184" s="128"/>
      <c r="V184" s="128"/>
      <c r="W184" s="141"/>
      <c r="X184" s="50"/>
      <c r="Y184" s="128"/>
    </row>
    <row r="185" spans="2:25" x14ac:dyDescent="0.3">
      <c r="B185" s="131"/>
      <c r="C185" s="132"/>
      <c r="D185" s="16"/>
      <c r="E185" s="133"/>
      <c r="F185" s="134"/>
      <c r="G185" s="135"/>
      <c r="H185" s="135"/>
      <c r="I185" s="135"/>
      <c r="J185" s="135"/>
      <c r="K185" s="128"/>
      <c r="L185" s="128"/>
      <c r="M185" s="128"/>
      <c r="N185" s="128"/>
      <c r="O185" s="128"/>
      <c r="P185" s="128"/>
      <c r="Q185" s="128"/>
      <c r="R185" s="128"/>
      <c r="S185" s="128"/>
      <c r="T185" s="128"/>
      <c r="U185" s="128"/>
      <c r="V185" s="128"/>
      <c r="W185" s="141"/>
      <c r="X185" s="50"/>
      <c r="Y185" s="128"/>
    </row>
    <row r="186" spans="2:25" x14ac:dyDescent="0.3">
      <c r="B186" s="131"/>
      <c r="C186" s="132"/>
      <c r="D186" s="16"/>
      <c r="E186" s="133"/>
      <c r="F186" s="134"/>
      <c r="G186" s="135"/>
      <c r="H186" s="135"/>
      <c r="I186" s="135"/>
      <c r="J186" s="135"/>
      <c r="K186" s="128"/>
      <c r="L186" s="128"/>
      <c r="M186" s="128"/>
      <c r="N186" s="128"/>
      <c r="O186" s="128"/>
      <c r="P186" s="128"/>
      <c r="Q186" s="128"/>
      <c r="R186" s="128"/>
      <c r="S186" s="128"/>
      <c r="T186" s="128"/>
      <c r="U186" s="128"/>
      <c r="V186" s="128"/>
      <c r="W186" s="141"/>
      <c r="X186" s="50"/>
      <c r="Y186" s="128"/>
    </row>
    <row r="187" spans="2:25" x14ac:dyDescent="0.3">
      <c r="B187" s="131"/>
      <c r="C187" s="132"/>
      <c r="D187" s="16"/>
      <c r="E187" s="133"/>
      <c r="F187" s="134"/>
      <c r="G187" s="135"/>
      <c r="H187" s="135"/>
      <c r="I187" s="135"/>
      <c r="J187" s="135"/>
      <c r="K187" s="128"/>
      <c r="L187" s="128"/>
      <c r="M187" s="128"/>
      <c r="N187" s="128"/>
      <c r="O187" s="128"/>
      <c r="P187" s="128"/>
      <c r="Q187" s="128"/>
      <c r="R187" s="128"/>
      <c r="S187" s="128"/>
      <c r="T187" s="128"/>
      <c r="U187" s="128"/>
      <c r="V187" s="128"/>
      <c r="W187" s="141"/>
      <c r="X187" s="50"/>
      <c r="Y187" s="128"/>
    </row>
    <row r="188" spans="2:25" x14ac:dyDescent="0.3">
      <c r="B188" s="131"/>
      <c r="C188" s="132"/>
      <c r="D188" s="16"/>
      <c r="E188" s="133"/>
      <c r="F188" s="134"/>
      <c r="G188" s="135"/>
      <c r="H188" s="135"/>
      <c r="I188" s="135"/>
      <c r="J188" s="135"/>
      <c r="K188" s="128"/>
      <c r="L188" s="128"/>
      <c r="M188" s="128"/>
      <c r="N188" s="128"/>
      <c r="O188" s="128"/>
      <c r="P188" s="128"/>
      <c r="Q188" s="128"/>
      <c r="R188" s="128"/>
      <c r="S188" s="128"/>
      <c r="T188" s="128"/>
      <c r="U188" s="128"/>
      <c r="V188" s="128"/>
      <c r="W188" s="141"/>
      <c r="X188" s="50"/>
      <c r="Y188" s="128"/>
    </row>
    <row r="189" spans="2:25" x14ac:dyDescent="0.3">
      <c r="B189" s="131"/>
      <c r="C189" s="132"/>
      <c r="D189" s="16"/>
      <c r="E189" s="133"/>
      <c r="F189" s="134"/>
      <c r="G189" s="135"/>
      <c r="H189" s="135"/>
      <c r="I189" s="135"/>
      <c r="J189" s="135"/>
      <c r="K189" s="128"/>
      <c r="L189" s="128"/>
      <c r="M189" s="128"/>
      <c r="N189" s="128"/>
      <c r="O189" s="128"/>
      <c r="P189" s="128"/>
      <c r="Q189" s="128"/>
      <c r="R189" s="128"/>
      <c r="S189" s="128"/>
      <c r="T189" s="128"/>
      <c r="U189" s="128"/>
      <c r="V189" s="128"/>
      <c r="W189" s="141"/>
      <c r="X189" s="50"/>
      <c r="Y189" s="128"/>
    </row>
    <row r="190" spans="2:25" x14ac:dyDescent="0.3">
      <c r="B190" s="131"/>
      <c r="C190" s="132"/>
      <c r="D190" s="16"/>
      <c r="E190" s="133"/>
      <c r="F190" s="134"/>
      <c r="G190" s="135"/>
      <c r="H190" s="135"/>
      <c r="I190" s="135"/>
      <c r="J190" s="135"/>
      <c r="K190" s="128"/>
      <c r="L190" s="128"/>
      <c r="M190" s="128"/>
      <c r="N190" s="128"/>
      <c r="O190" s="128"/>
      <c r="P190" s="128"/>
      <c r="Q190" s="128"/>
      <c r="R190" s="128"/>
      <c r="S190" s="128"/>
      <c r="T190" s="128"/>
      <c r="U190" s="128"/>
      <c r="V190" s="128"/>
      <c r="W190" s="141"/>
      <c r="X190" s="50"/>
      <c r="Y190" s="128"/>
    </row>
    <row r="191" spans="2:25" x14ac:dyDescent="0.3">
      <c r="B191" s="131"/>
      <c r="C191" s="132"/>
      <c r="D191" s="16"/>
      <c r="E191" s="133"/>
      <c r="F191" s="134"/>
      <c r="G191" s="135"/>
      <c r="H191" s="135"/>
      <c r="I191" s="135"/>
      <c r="J191" s="135"/>
      <c r="K191" s="128"/>
      <c r="L191" s="128"/>
      <c r="M191" s="128"/>
      <c r="N191" s="128"/>
      <c r="O191" s="128"/>
      <c r="P191" s="128"/>
      <c r="Q191" s="128"/>
      <c r="R191" s="128"/>
      <c r="S191" s="128"/>
      <c r="T191" s="128"/>
      <c r="U191" s="128"/>
      <c r="V191" s="128"/>
      <c r="W191" s="141"/>
      <c r="X191" s="50"/>
      <c r="Y191" s="128"/>
    </row>
    <row r="192" spans="2:25" x14ac:dyDescent="0.3">
      <c r="B192" s="131"/>
      <c r="C192" s="132"/>
      <c r="D192" s="16"/>
      <c r="E192" s="133"/>
      <c r="F192" s="134"/>
      <c r="G192" s="135"/>
      <c r="H192" s="135"/>
      <c r="I192" s="135"/>
      <c r="J192" s="135"/>
      <c r="K192" s="128"/>
      <c r="L192" s="128"/>
      <c r="M192" s="128"/>
      <c r="N192" s="128"/>
      <c r="O192" s="128"/>
      <c r="P192" s="128"/>
      <c r="Q192" s="128"/>
      <c r="R192" s="128"/>
      <c r="S192" s="128"/>
      <c r="T192" s="128"/>
      <c r="U192" s="128"/>
      <c r="V192" s="128"/>
      <c r="W192" s="141"/>
      <c r="X192" s="50"/>
      <c r="Y192" s="128"/>
    </row>
    <row r="193" spans="2:25" x14ac:dyDescent="0.3">
      <c r="B193" s="131"/>
      <c r="C193" s="132"/>
      <c r="D193" s="16"/>
      <c r="E193" s="133"/>
      <c r="F193" s="134"/>
      <c r="G193" s="135"/>
      <c r="H193" s="135"/>
      <c r="I193" s="135"/>
      <c r="J193" s="135"/>
      <c r="K193" s="128"/>
      <c r="L193" s="128"/>
      <c r="M193" s="128"/>
      <c r="N193" s="128"/>
      <c r="O193" s="128"/>
      <c r="P193" s="128"/>
      <c r="Q193" s="128"/>
      <c r="R193" s="128"/>
      <c r="S193" s="128"/>
      <c r="T193" s="128"/>
      <c r="U193" s="128"/>
      <c r="V193" s="128"/>
      <c r="W193" s="141"/>
      <c r="X193" s="50"/>
      <c r="Y193" s="128"/>
    </row>
    <row r="194" spans="2:25" x14ac:dyDescent="0.3">
      <c r="B194" s="131"/>
      <c r="C194" s="132"/>
      <c r="D194" s="16"/>
      <c r="E194" s="133"/>
      <c r="F194" s="134"/>
      <c r="G194" s="135"/>
      <c r="H194" s="135"/>
      <c r="I194" s="135"/>
      <c r="J194" s="135"/>
      <c r="K194" s="128"/>
      <c r="L194" s="128"/>
      <c r="M194" s="128"/>
      <c r="N194" s="128"/>
      <c r="O194" s="128"/>
      <c r="P194" s="128"/>
      <c r="Q194" s="128"/>
      <c r="R194" s="128"/>
      <c r="S194" s="128"/>
      <c r="T194" s="128"/>
      <c r="U194" s="128"/>
      <c r="V194" s="128"/>
      <c r="W194" s="141"/>
      <c r="X194" s="50"/>
      <c r="Y194" s="128"/>
    </row>
    <row r="195" spans="2:25" x14ac:dyDescent="0.3">
      <c r="B195" s="131"/>
      <c r="C195" s="132"/>
      <c r="D195" s="16"/>
      <c r="E195" s="133"/>
      <c r="F195" s="134"/>
      <c r="G195" s="135"/>
      <c r="H195" s="135"/>
      <c r="I195" s="135"/>
      <c r="J195" s="135"/>
      <c r="K195" s="128"/>
      <c r="L195" s="128"/>
      <c r="M195" s="128"/>
      <c r="N195" s="128"/>
      <c r="O195" s="128"/>
      <c r="P195" s="128"/>
      <c r="Q195" s="128"/>
      <c r="R195" s="128"/>
      <c r="S195" s="128"/>
      <c r="T195" s="128"/>
      <c r="U195" s="128"/>
      <c r="V195" s="128"/>
      <c r="W195" s="141"/>
      <c r="X195" s="50"/>
      <c r="Y195" s="128"/>
    </row>
    <row r="196" spans="2:25" x14ac:dyDescent="0.3">
      <c r="B196" s="131"/>
      <c r="C196" s="132"/>
      <c r="D196" s="16"/>
      <c r="E196" s="133"/>
      <c r="F196" s="134"/>
      <c r="G196" s="135"/>
      <c r="H196" s="135"/>
      <c r="I196" s="135"/>
      <c r="J196" s="135"/>
      <c r="K196" s="128"/>
      <c r="L196" s="128"/>
      <c r="M196" s="128"/>
      <c r="N196" s="128"/>
      <c r="O196" s="128"/>
      <c r="P196" s="128"/>
      <c r="Q196" s="128"/>
      <c r="R196" s="128"/>
      <c r="S196" s="128"/>
      <c r="T196" s="128"/>
      <c r="U196" s="128"/>
      <c r="V196" s="128"/>
      <c r="W196" s="141"/>
      <c r="X196" s="50"/>
      <c r="Y196" s="128"/>
    </row>
    <row r="197" spans="2:25" x14ac:dyDescent="0.3">
      <c r="B197" s="131"/>
      <c r="C197" s="132"/>
      <c r="D197" s="16"/>
      <c r="E197" s="133"/>
      <c r="F197" s="134"/>
      <c r="G197" s="135"/>
      <c r="H197" s="135"/>
      <c r="I197" s="135"/>
      <c r="J197" s="135"/>
      <c r="K197" s="128"/>
      <c r="L197" s="128"/>
      <c r="M197" s="128"/>
      <c r="N197" s="128"/>
      <c r="O197" s="128"/>
      <c r="P197" s="128"/>
      <c r="Q197" s="128"/>
      <c r="R197" s="128"/>
      <c r="S197" s="128"/>
      <c r="T197" s="128"/>
      <c r="U197" s="128"/>
      <c r="V197" s="128"/>
      <c r="W197" s="141"/>
      <c r="X197" s="50"/>
      <c r="Y197" s="128"/>
    </row>
    <row r="198" spans="2:25" x14ac:dyDescent="0.3">
      <c r="B198" s="131"/>
      <c r="C198" s="132"/>
      <c r="D198" s="16"/>
      <c r="E198" s="133"/>
      <c r="F198" s="134"/>
      <c r="G198" s="135"/>
      <c r="H198" s="135"/>
      <c r="I198" s="135"/>
      <c r="J198" s="135"/>
      <c r="K198" s="128"/>
      <c r="L198" s="128"/>
      <c r="M198" s="128"/>
      <c r="N198" s="128"/>
      <c r="O198" s="128"/>
      <c r="P198" s="128"/>
      <c r="Q198" s="128"/>
      <c r="R198" s="128"/>
      <c r="S198" s="128"/>
      <c r="T198" s="128"/>
      <c r="U198" s="128"/>
      <c r="V198" s="128"/>
      <c r="W198" s="141"/>
      <c r="X198" s="50"/>
      <c r="Y198" s="128"/>
    </row>
    <row r="199" spans="2:25" x14ac:dyDescent="0.3">
      <c r="B199" s="131"/>
      <c r="C199" s="132"/>
      <c r="D199" s="16"/>
      <c r="E199" s="133"/>
      <c r="F199" s="134"/>
      <c r="G199" s="135"/>
      <c r="H199" s="135"/>
      <c r="I199" s="135"/>
      <c r="J199" s="135"/>
      <c r="K199" s="128"/>
      <c r="L199" s="128"/>
      <c r="M199" s="128"/>
      <c r="N199" s="128"/>
      <c r="O199" s="128"/>
      <c r="P199" s="128"/>
      <c r="Q199" s="128"/>
      <c r="R199" s="128"/>
      <c r="S199" s="128"/>
      <c r="T199" s="128"/>
      <c r="U199" s="128"/>
      <c r="V199" s="128"/>
      <c r="W199" s="141"/>
      <c r="X199" s="50"/>
      <c r="Y199" s="128"/>
    </row>
    <row r="200" spans="2:25" x14ac:dyDescent="0.3">
      <c r="B200" s="131"/>
      <c r="C200" s="132"/>
      <c r="D200" s="16"/>
      <c r="E200" s="133"/>
      <c r="F200" s="134"/>
      <c r="G200" s="135"/>
      <c r="H200" s="135"/>
      <c r="I200" s="135"/>
      <c r="J200" s="135"/>
      <c r="K200" s="128"/>
      <c r="L200" s="128"/>
      <c r="M200" s="128"/>
      <c r="N200" s="128"/>
      <c r="O200" s="128"/>
      <c r="P200" s="128"/>
      <c r="Q200" s="128"/>
      <c r="R200" s="128"/>
      <c r="S200" s="128"/>
      <c r="T200" s="128"/>
      <c r="U200" s="128"/>
      <c r="V200" s="128"/>
      <c r="W200" s="141"/>
      <c r="X200" s="50"/>
      <c r="Y200" s="128"/>
    </row>
    <row r="201" spans="2:25" x14ac:dyDescent="0.3">
      <c r="B201" s="131"/>
      <c r="C201" s="132"/>
      <c r="D201" s="16"/>
      <c r="E201" s="133"/>
      <c r="F201" s="134"/>
      <c r="G201" s="135"/>
      <c r="H201" s="135"/>
      <c r="I201" s="135"/>
      <c r="J201" s="135"/>
      <c r="K201" s="128"/>
      <c r="L201" s="128"/>
      <c r="M201" s="128"/>
      <c r="N201" s="128"/>
      <c r="O201" s="128"/>
      <c r="P201" s="128"/>
      <c r="Q201" s="128"/>
      <c r="R201" s="128"/>
      <c r="S201" s="128"/>
      <c r="T201" s="128"/>
      <c r="U201" s="128"/>
      <c r="V201" s="128"/>
      <c r="W201" s="141"/>
      <c r="X201" s="50"/>
      <c r="Y201" s="128"/>
    </row>
    <row r="202" spans="2:25" x14ac:dyDescent="0.3">
      <c r="B202" s="131"/>
      <c r="C202" s="132"/>
      <c r="D202" s="16"/>
      <c r="E202" s="133"/>
      <c r="F202" s="134"/>
      <c r="G202" s="135"/>
      <c r="H202" s="135"/>
      <c r="I202" s="135"/>
      <c r="J202" s="135"/>
      <c r="K202" s="128"/>
      <c r="L202" s="128"/>
      <c r="M202" s="128"/>
      <c r="N202" s="128"/>
      <c r="O202" s="128"/>
      <c r="P202" s="128"/>
      <c r="Q202" s="128"/>
      <c r="R202" s="128"/>
      <c r="S202" s="128"/>
      <c r="T202" s="128"/>
      <c r="U202" s="128"/>
      <c r="V202" s="128"/>
      <c r="W202" s="141"/>
      <c r="X202" s="50"/>
      <c r="Y202" s="128"/>
    </row>
    <row r="203" spans="2:25" x14ac:dyDescent="0.3">
      <c r="B203" s="131"/>
      <c r="C203" s="132"/>
      <c r="D203" s="16"/>
      <c r="E203" s="133"/>
      <c r="F203" s="134"/>
      <c r="G203" s="135"/>
      <c r="H203" s="135"/>
      <c r="I203" s="135"/>
      <c r="J203" s="135"/>
      <c r="K203" s="128"/>
      <c r="L203" s="128"/>
      <c r="M203" s="128"/>
      <c r="N203" s="128"/>
      <c r="O203" s="128"/>
      <c r="P203" s="128"/>
      <c r="Q203" s="128"/>
      <c r="R203" s="128"/>
      <c r="S203" s="128"/>
      <c r="T203" s="128"/>
      <c r="U203" s="128"/>
      <c r="V203" s="128"/>
      <c r="W203" s="141"/>
      <c r="X203" s="50"/>
      <c r="Y203" s="128"/>
    </row>
    <row r="204" spans="2:25" x14ac:dyDescent="0.3">
      <c r="B204" s="131"/>
      <c r="C204" s="132"/>
      <c r="D204" s="16"/>
      <c r="E204" s="133"/>
      <c r="F204" s="134"/>
      <c r="G204" s="135"/>
      <c r="H204" s="135"/>
      <c r="I204" s="135"/>
      <c r="J204" s="135"/>
      <c r="K204" s="128"/>
      <c r="L204" s="128"/>
      <c r="M204" s="128"/>
      <c r="N204" s="128"/>
      <c r="O204" s="128"/>
      <c r="P204" s="128"/>
      <c r="Q204" s="128"/>
      <c r="R204" s="128"/>
      <c r="S204" s="128"/>
      <c r="T204" s="128"/>
      <c r="U204" s="128"/>
      <c r="V204" s="128"/>
      <c r="W204" s="141"/>
      <c r="X204" s="50"/>
      <c r="Y204" s="128"/>
    </row>
    <row r="205" spans="2:25" x14ac:dyDescent="0.3">
      <c r="B205" s="131"/>
      <c r="C205" s="132"/>
      <c r="D205" s="16"/>
      <c r="E205" s="133"/>
      <c r="F205" s="134"/>
      <c r="G205" s="135"/>
      <c r="H205" s="135"/>
      <c r="I205" s="135"/>
      <c r="J205" s="135"/>
      <c r="K205" s="128"/>
      <c r="L205" s="128"/>
      <c r="M205" s="128"/>
      <c r="N205" s="128"/>
      <c r="O205" s="128"/>
      <c r="P205" s="128"/>
      <c r="Q205" s="128"/>
      <c r="R205" s="128"/>
      <c r="S205" s="128"/>
      <c r="T205" s="128"/>
      <c r="U205" s="128"/>
      <c r="V205" s="128"/>
      <c r="W205" s="141"/>
      <c r="X205" s="50"/>
      <c r="Y205" s="128"/>
    </row>
    <row r="206" spans="2:25" x14ac:dyDescent="0.3">
      <c r="B206" s="131"/>
      <c r="C206" s="132"/>
      <c r="D206" s="16"/>
      <c r="E206" s="133"/>
      <c r="F206" s="134"/>
      <c r="G206" s="135"/>
      <c r="H206" s="135"/>
      <c r="I206" s="135"/>
      <c r="J206" s="135"/>
      <c r="K206" s="128"/>
      <c r="L206" s="128"/>
      <c r="M206" s="128"/>
      <c r="N206" s="128"/>
      <c r="O206" s="128"/>
      <c r="P206" s="128"/>
      <c r="Q206" s="128"/>
      <c r="R206" s="128"/>
      <c r="S206" s="128"/>
      <c r="T206" s="128"/>
      <c r="U206" s="128"/>
      <c r="V206" s="128"/>
      <c r="W206" s="141"/>
      <c r="X206" s="50"/>
      <c r="Y206" s="128"/>
    </row>
    <row r="207" spans="2:25" x14ac:dyDescent="0.3">
      <c r="B207" s="131"/>
      <c r="C207" s="132"/>
      <c r="D207" s="16"/>
      <c r="E207" s="133"/>
      <c r="F207" s="134"/>
      <c r="G207" s="135"/>
      <c r="H207" s="135"/>
      <c r="I207" s="135"/>
      <c r="J207" s="135"/>
      <c r="K207" s="128"/>
      <c r="L207" s="128"/>
      <c r="M207" s="128"/>
      <c r="N207" s="128"/>
      <c r="O207" s="128"/>
      <c r="P207" s="128"/>
      <c r="Q207" s="128"/>
      <c r="R207" s="128"/>
      <c r="S207" s="128"/>
      <c r="T207" s="128"/>
      <c r="U207" s="128"/>
      <c r="V207" s="128"/>
      <c r="W207" s="141"/>
      <c r="X207" s="50"/>
      <c r="Y207" s="128"/>
    </row>
    <row r="208" spans="2:25" x14ac:dyDescent="0.3">
      <c r="B208" s="131"/>
      <c r="C208" s="132"/>
      <c r="D208" s="16"/>
      <c r="E208" s="133"/>
      <c r="F208" s="134"/>
      <c r="G208" s="135"/>
      <c r="H208" s="135"/>
      <c r="I208" s="135"/>
      <c r="J208" s="135"/>
      <c r="K208" s="128"/>
      <c r="L208" s="128"/>
      <c r="M208" s="128"/>
      <c r="N208" s="128"/>
      <c r="O208" s="128"/>
      <c r="P208" s="128"/>
      <c r="Q208" s="128"/>
      <c r="R208" s="128"/>
      <c r="S208" s="128"/>
      <c r="T208" s="128"/>
      <c r="U208" s="128"/>
      <c r="V208" s="128"/>
      <c r="W208" s="141"/>
      <c r="X208" s="50"/>
      <c r="Y208" s="128"/>
    </row>
    <row r="209" spans="2:25" x14ac:dyDescent="0.3">
      <c r="B209" s="131"/>
      <c r="C209" s="132"/>
      <c r="D209" s="16"/>
      <c r="E209" s="133"/>
      <c r="F209" s="134"/>
      <c r="G209" s="135"/>
      <c r="H209" s="135"/>
      <c r="I209" s="135"/>
      <c r="J209" s="135"/>
      <c r="K209" s="128"/>
      <c r="L209" s="128"/>
      <c r="M209" s="128"/>
      <c r="N209" s="128"/>
      <c r="O209" s="128"/>
      <c r="P209" s="128"/>
      <c r="Q209" s="128"/>
      <c r="R209" s="128"/>
      <c r="S209" s="128"/>
      <c r="T209" s="128"/>
      <c r="U209" s="128"/>
      <c r="V209" s="128"/>
      <c r="W209" s="141"/>
      <c r="X209" s="50"/>
      <c r="Y209" s="128"/>
    </row>
    <row r="210" spans="2:25" x14ac:dyDescent="0.3">
      <c r="B210" s="131"/>
      <c r="C210" s="132"/>
      <c r="D210" s="16"/>
      <c r="E210" s="133"/>
      <c r="F210" s="134"/>
      <c r="G210" s="135"/>
      <c r="H210" s="135"/>
      <c r="I210" s="135"/>
      <c r="J210" s="135"/>
      <c r="K210" s="128"/>
      <c r="L210" s="128"/>
      <c r="M210" s="128"/>
      <c r="N210" s="128"/>
      <c r="O210" s="128"/>
      <c r="P210" s="128"/>
      <c r="Q210" s="128"/>
      <c r="R210" s="128"/>
      <c r="S210" s="128"/>
      <c r="T210" s="128"/>
      <c r="U210" s="128"/>
      <c r="V210" s="128"/>
      <c r="W210" s="141"/>
      <c r="X210" s="50"/>
      <c r="Y210" s="128"/>
    </row>
    <row r="211" spans="2:25" x14ac:dyDescent="0.3">
      <c r="B211" s="131"/>
      <c r="C211" s="132"/>
      <c r="D211" s="16"/>
      <c r="E211" s="133"/>
      <c r="F211" s="134"/>
      <c r="G211" s="135"/>
      <c r="H211" s="135"/>
      <c r="I211" s="135"/>
      <c r="J211" s="135"/>
      <c r="K211" s="128"/>
      <c r="L211" s="128"/>
      <c r="M211" s="128"/>
      <c r="N211" s="128"/>
      <c r="O211" s="128"/>
      <c r="P211" s="128"/>
      <c r="Q211" s="128"/>
      <c r="R211" s="128"/>
      <c r="S211" s="128"/>
      <c r="T211" s="128"/>
      <c r="U211" s="128"/>
      <c r="V211" s="128"/>
      <c r="W211" s="141"/>
      <c r="X211" s="50"/>
      <c r="Y211" s="128"/>
    </row>
    <row r="212" spans="2:25" x14ac:dyDescent="0.3">
      <c r="B212" s="131"/>
      <c r="C212" s="132"/>
      <c r="D212" s="16"/>
      <c r="E212" s="133"/>
      <c r="F212" s="134"/>
      <c r="G212" s="135"/>
      <c r="H212" s="135"/>
      <c r="I212" s="135"/>
      <c r="J212" s="135"/>
      <c r="K212" s="128"/>
      <c r="L212" s="128"/>
      <c r="M212" s="128"/>
      <c r="N212" s="128"/>
      <c r="O212" s="128"/>
      <c r="P212" s="128"/>
      <c r="Q212" s="128"/>
      <c r="R212" s="128"/>
      <c r="S212" s="128"/>
      <c r="T212" s="128"/>
      <c r="U212" s="128"/>
      <c r="V212" s="128"/>
      <c r="W212" s="141"/>
      <c r="X212" s="50"/>
      <c r="Y212" s="128"/>
    </row>
    <row r="213" spans="2:25" x14ac:dyDescent="0.3">
      <c r="B213" s="131"/>
      <c r="C213" s="132"/>
      <c r="D213" s="16"/>
      <c r="E213" s="133"/>
      <c r="F213" s="134"/>
      <c r="G213" s="135"/>
      <c r="H213" s="135"/>
      <c r="I213" s="135"/>
      <c r="J213" s="135"/>
      <c r="K213" s="128"/>
      <c r="L213" s="128"/>
      <c r="M213" s="128"/>
      <c r="N213" s="128"/>
      <c r="O213" s="128"/>
      <c r="P213" s="128"/>
      <c r="Q213" s="128"/>
      <c r="R213" s="128"/>
      <c r="S213" s="128"/>
      <c r="T213" s="128"/>
      <c r="U213" s="128"/>
      <c r="V213" s="128"/>
      <c r="W213" s="141"/>
      <c r="X213" s="50"/>
      <c r="Y213" s="128"/>
    </row>
    <row r="214" spans="2:25" x14ac:dyDescent="0.3">
      <c r="B214" s="131"/>
      <c r="C214" s="132"/>
      <c r="D214" s="16"/>
      <c r="E214" s="133"/>
      <c r="F214" s="134"/>
      <c r="G214" s="135"/>
      <c r="H214" s="135"/>
      <c r="I214" s="135"/>
      <c r="J214" s="135"/>
      <c r="K214" s="128"/>
      <c r="L214" s="128"/>
      <c r="M214" s="128"/>
      <c r="N214" s="128"/>
      <c r="O214" s="128"/>
      <c r="P214" s="128"/>
      <c r="Q214" s="128"/>
      <c r="R214" s="128"/>
      <c r="S214" s="128"/>
      <c r="T214" s="128"/>
      <c r="U214" s="128"/>
      <c r="V214" s="128"/>
      <c r="W214" s="141"/>
      <c r="X214" s="50"/>
      <c r="Y214" s="128"/>
    </row>
    <row r="215" spans="2:25" x14ac:dyDescent="0.3">
      <c r="B215" s="131"/>
      <c r="C215" s="132"/>
      <c r="D215" s="16"/>
      <c r="E215" s="133"/>
      <c r="F215" s="134"/>
      <c r="G215" s="135"/>
      <c r="H215" s="135"/>
      <c r="I215" s="135"/>
      <c r="J215" s="135"/>
      <c r="K215" s="128"/>
      <c r="L215" s="128"/>
      <c r="M215" s="128"/>
      <c r="N215" s="128"/>
      <c r="O215" s="128"/>
      <c r="P215" s="128"/>
      <c r="Q215" s="128"/>
      <c r="R215" s="128"/>
      <c r="S215" s="128"/>
      <c r="T215" s="128"/>
      <c r="U215" s="128"/>
      <c r="V215" s="128"/>
      <c r="W215" s="141"/>
      <c r="X215" s="50"/>
      <c r="Y215" s="128"/>
    </row>
    <row r="216" spans="2:25" x14ac:dyDescent="0.3">
      <c r="B216" s="131"/>
      <c r="C216" s="132"/>
      <c r="D216" s="16"/>
      <c r="E216" s="133"/>
      <c r="F216" s="134"/>
      <c r="G216" s="135"/>
      <c r="H216" s="135"/>
      <c r="I216" s="135"/>
      <c r="J216" s="135"/>
      <c r="K216" s="128"/>
      <c r="L216" s="128"/>
      <c r="M216" s="128"/>
      <c r="N216" s="128"/>
      <c r="O216" s="128"/>
      <c r="P216" s="128"/>
      <c r="Q216" s="128"/>
      <c r="R216" s="128"/>
      <c r="S216" s="128"/>
      <c r="T216" s="128"/>
      <c r="U216" s="128"/>
      <c r="V216" s="128"/>
      <c r="W216" s="141"/>
      <c r="X216" s="50"/>
      <c r="Y216" s="128"/>
    </row>
    <row r="217" spans="2:25" x14ac:dyDescent="0.3">
      <c r="B217" s="131"/>
      <c r="C217" s="132"/>
      <c r="D217" s="16"/>
      <c r="E217" s="133"/>
      <c r="F217" s="134"/>
      <c r="G217" s="135"/>
      <c r="H217" s="135"/>
      <c r="I217" s="135"/>
      <c r="J217" s="135"/>
      <c r="K217" s="128"/>
      <c r="L217" s="128"/>
      <c r="M217" s="128"/>
      <c r="N217" s="128"/>
      <c r="O217" s="128"/>
      <c r="P217" s="128"/>
      <c r="Q217" s="128"/>
      <c r="R217" s="128"/>
      <c r="S217" s="128"/>
      <c r="T217" s="128"/>
      <c r="U217" s="128"/>
      <c r="V217" s="128"/>
      <c r="W217" s="141"/>
      <c r="X217" s="50"/>
      <c r="Y217" s="128"/>
    </row>
    <row r="218" spans="2:25" x14ac:dyDescent="0.3">
      <c r="B218" s="131"/>
      <c r="C218" s="132"/>
      <c r="D218" s="16"/>
      <c r="E218" s="133"/>
      <c r="F218" s="134"/>
      <c r="G218" s="135"/>
      <c r="H218" s="135"/>
      <c r="I218" s="135"/>
      <c r="J218" s="135"/>
      <c r="K218" s="128"/>
      <c r="L218" s="128"/>
      <c r="M218" s="128"/>
      <c r="N218" s="128"/>
      <c r="O218" s="128"/>
      <c r="P218" s="128"/>
      <c r="Q218" s="128"/>
      <c r="R218" s="128"/>
      <c r="S218" s="128"/>
      <c r="T218" s="128"/>
      <c r="U218" s="128"/>
      <c r="V218" s="128"/>
      <c r="W218" s="141"/>
      <c r="X218" s="50"/>
      <c r="Y218" s="128"/>
    </row>
    <row r="219" spans="2:25" x14ac:dyDescent="0.3">
      <c r="B219" s="131"/>
      <c r="C219" s="132"/>
      <c r="D219" s="16"/>
      <c r="E219" s="133"/>
      <c r="F219" s="134"/>
      <c r="G219" s="135"/>
      <c r="H219" s="135"/>
      <c r="I219" s="135"/>
      <c r="J219" s="135"/>
      <c r="K219" s="128"/>
      <c r="L219" s="128"/>
      <c r="M219" s="128"/>
      <c r="N219" s="128"/>
      <c r="O219" s="128"/>
      <c r="P219" s="128"/>
      <c r="Q219" s="128"/>
      <c r="R219" s="128"/>
      <c r="S219" s="128"/>
      <c r="T219" s="128"/>
      <c r="U219" s="128"/>
      <c r="V219" s="128"/>
      <c r="W219" s="141"/>
      <c r="X219" s="50"/>
      <c r="Y219" s="128"/>
    </row>
    <row r="220" spans="2:25" x14ac:dyDescent="0.3">
      <c r="B220" s="131"/>
      <c r="C220" s="132"/>
      <c r="D220" s="16"/>
      <c r="E220" s="133"/>
      <c r="F220" s="134"/>
      <c r="G220" s="135"/>
      <c r="H220" s="135"/>
      <c r="I220" s="135"/>
      <c r="J220" s="135"/>
      <c r="K220" s="128"/>
      <c r="L220" s="128"/>
      <c r="M220" s="128"/>
      <c r="N220" s="128"/>
      <c r="O220" s="128"/>
      <c r="P220" s="128"/>
      <c r="Q220" s="128"/>
      <c r="R220" s="128"/>
      <c r="S220" s="128"/>
      <c r="T220" s="128"/>
      <c r="U220" s="128"/>
      <c r="V220" s="128"/>
      <c r="W220" s="141"/>
      <c r="X220" s="50"/>
      <c r="Y220" s="128"/>
    </row>
    <row r="221" spans="2:25" x14ac:dyDescent="0.3">
      <c r="B221" s="131"/>
      <c r="C221" s="132"/>
      <c r="D221" s="16"/>
      <c r="E221" s="133"/>
      <c r="F221" s="134"/>
      <c r="G221" s="135"/>
      <c r="H221" s="135"/>
      <c r="I221" s="135"/>
      <c r="J221" s="135"/>
      <c r="K221" s="128"/>
      <c r="L221" s="128"/>
      <c r="M221" s="128"/>
      <c r="N221" s="128"/>
      <c r="O221" s="128"/>
      <c r="P221" s="128"/>
      <c r="Q221" s="128"/>
      <c r="R221" s="128"/>
      <c r="S221" s="128"/>
      <c r="T221" s="128"/>
      <c r="U221" s="128"/>
      <c r="V221" s="128"/>
      <c r="W221" s="141"/>
      <c r="X221" s="50"/>
      <c r="Y221" s="128"/>
    </row>
    <row r="222" spans="2:25" x14ac:dyDescent="0.3">
      <c r="B222" s="131"/>
      <c r="C222" s="132"/>
      <c r="D222" s="16"/>
      <c r="E222" s="133"/>
      <c r="F222" s="134"/>
      <c r="G222" s="135"/>
      <c r="H222" s="135"/>
      <c r="I222" s="135"/>
      <c r="J222" s="135"/>
      <c r="K222" s="128"/>
      <c r="L222" s="128"/>
      <c r="M222" s="128"/>
      <c r="N222" s="128"/>
      <c r="O222" s="128"/>
      <c r="P222" s="128"/>
      <c r="Q222" s="128"/>
      <c r="R222" s="128"/>
      <c r="S222" s="128"/>
      <c r="T222" s="128"/>
      <c r="U222" s="128"/>
      <c r="V222" s="128"/>
      <c r="W222" s="141"/>
      <c r="X222" s="50"/>
      <c r="Y222" s="128"/>
    </row>
    <row r="223" spans="2:25" x14ac:dyDescent="0.3">
      <c r="B223" s="131"/>
      <c r="C223" s="132"/>
      <c r="D223" s="16"/>
      <c r="E223" s="133"/>
      <c r="F223" s="134"/>
      <c r="G223" s="135"/>
      <c r="H223" s="135"/>
      <c r="I223" s="135"/>
      <c r="J223" s="135"/>
      <c r="K223" s="128"/>
      <c r="L223" s="128"/>
      <c r="M223" s="128"/>
      <c r="N223" s="128"/>
      <c r="O223" s="128"/>
      <c r="P223" s="128"/>
      <c r="Q223" s="128"/>
      <c r="R223" s="128"/>
      <c r="S223" s="128"/>
      <c r="T223" s="128"/>
      <c r="U223" s="128"/>
      <c r="V223" s="128"/>
      <c r="W223" s="141"/>
      <c r="X223" s="50"/>
      <c r="Y223" s="128"/>
    </row>
    <row r="224" spans="2:25" x14ac:dyDescent="0.3">
      <c r="B224" s="131"/>
      <c r="C224" s="132"/>
      <c r="D224" s="16"/>
      <c r="E224" s="133"/>
      <c r="F224" s="134"/>
      <c r="G224" s="135"/>
      <c r="H224" s="135"/>
      <c r="I224" s="135"/>
      <c r="J224" s="135"/>
      <c r="K224" s="128"/>
      <c r="L224" s="128"/>
      <c r="M224" s="128"/>
      <c r="N224" s="128"/>
      <c r="O224" s="128"/>
      <c r="P224" s="128"/>
      <c r="Q224" s="128"/>
      <c r="R224" s="128"/>
      <c r="S224" s="128"/>
      <c r="T224" s="128"/>
      <c r="U224" s="128"/>
      <c r="V224" s="128"/>
      <c r="W224" s="141"/>
      <c r="X224" s="50"/>
      <c r="Y224" s="128"/>
    </row>
    <row r="225" spans="2:25" x14ac:dyDescent="0.3">
      <c r="B225" s="131"/>
      <c r="C225" s="132"/>
      <c r="D225" s="16"/>
      <c r="E225" s="133"/>
      <c r="F225" s="134"/>
      <c r="G225" s="135"/>
      <c r="H225" s="135"/>
      <c r="I225" s="135"/>
      <c r="J225" s="135"/>
      <c r="K225" s="128"/>
      <c r="L225" s="128"/>
      <c r="M225" s="128"/>
      <c r="N225" s="128"/>
      <c r="O225" s="128"/>
      <c r="P225" s="128"/>
      <c r="Q225" s="128"/>
      <c r="R225" s="128"/>
      <c r="S225" s="128"/>
      <c r="T225" s="128"/>
      <c r="U225" s="128"/>
      <c r="V225" s="128"/>
      <c r="W225" s="141"/>
      <c r="X225" s="50"/>
      <c r="Y225" s="128"/>
    </row>
    <row r="226" spans="2:25" x14ac:dyDescent="0.3">
      <c r="B226" s="131"/>
      <c r="C226" s="132"/>
      <c r="D226" s="16"/>
      <c r="E226" s="133"/>
      <c r="F226" s="134"/>
      <c r="G226" s="135"/>
      <c r="H226" s="135"/>
      <c r="I226" s="135"/>
      <c r="J226" s="135"/>
      <c r="K226" s="128"/>
      <c r="L226" s="128"/>
      <c r="M226" s="128"/>
      <c r="N226" s="128"/>
      <c r="O226" s="128"/>
      <c r="P226" s="128"/>
      <c r="Q226" s="128"/>
      <c r="R226" s="128"/>
      <c r="S226" s="128"/>
      <c r="T226" s="128"/>
      <c r="U226" s="128"/>
      <c r="V226" s="128"/>
      <c r="W226" s="141"/>
      <c r="X226" s="50"/>
      <c r="Y226" s="128"/>
    </row>
    <row r="227" spans="2:25" x14ac:dyDescent="0.3">
      <c r="B227" s="131"/>
      <c r="C227" s="132"/>
      <c r="D227" s="16"/>
      <c r="E227" s="133"/>
      <c r="F227" s="134"/>
      <c r="G227" s="135"/>
      <c r="H227" s="135"/>
      <c r="I227" s="135"/>
      <c r="J227" s="135"/>
      <c r="K227" s="128"/>
      <c r="L227" s="128"/>
      <c r="M227" s="128"/>
      <c r="N227" s="128"/>
      <c r="O227" s="128"/>
      <c r="P227" s="128"/>
      <c r="Q227" s="128"/>
      <c r="R227" s="128"/>
      <c r="S227" s="128"/>
      <c r="T227" s="128"/>
      <c r="U227" s="128"/>
      <c r="V227" s="128"/>
      <c r="W227" s="141"/>
      <c r="X227" s="50"/>
      <c r="Y227" s="128"/>
    </row>
    <row r="228" spans="2:25" x14ac:dyDescent="0.3">
      <c r="B228" s="131"/>
      <c r="C228" s="132"/>
      <c r="D228" s="16"/>
      <c r="E228" s="133"/>
      <c r="F228" s="134"/>
      <c r="G228" s="135"/>
      <c r="H228" s="135"/>
      <c r="I228" s="135"/>
      <c r="J228" s="135"/>
      <c r="K228" s="128"/>
      <c r="L228" s="128"/>
      <c r="M228" s="128"/>
      <c r="N228" s="128"/>
      <c r="O228" s="128"/>
      <c r="P228" s="128"/>
      <c r="Q228" s="128"/>
      <c r="R228" s="128"/>
      <c r="S228" s="128"/>
      <c r="T228" s="128"/>
      <c r="U228" s="128"/>
      <c r="V228" s="128"/>
      <c r="W228" s="141"/>
      <c r="X228" s="50"/>
      <c r="Y228" s="128"/>
    </row>
    <row r="229" spans="2:25" x14ac:dyDescent="0.3">
      <c r="B229" s="131"/>
      <c r="C229" s="132"/>
      <c r="D229" s="16"/>
      <c r="E229" s="133"/>
      <c r="F229" s="134"/>
      <c r="G229" s="135"/>
      <c r="H229" s="135"/>
      <c r="I229" s="135"/>
      <c r="J229" s="135"/>
      <c r="K229" s="128"/>
      <c r="L229" s="128"/>
      <c r="M229" s="128"/>
      <c r="N229" s="128"/>
      <c r="O229" s="128"/>
      <c r="P229" s="128"/>
      <c r="Q229" s="128"/>
      <c r="R229" s="128"/>
      <c r="S229" s="128"/>
      <c r="T229" s="128"/>
      <c r="U229" s="128"/>
      <c r="V229" s="128"/>
      <c r="W229" s="141"/>
      <c r="X229" s="50"/>
      <c r="Y229" s="128"/>
    </row>
    <row r="230" spans="2:25" x14ac:dyDescent="0.3">
      <c r="B230" s="131"/>
      <c r="C230" s="132"/>
      <c r="D230" s="16"/>
      <c r="E230" s="133"/>
      <c r="F230" s="134"/>
      <c r="G230" s="135"/>
      <c r="H230" s="135"/>
      <c r="I230" s="135"/>
      <c r="J230" s="135"/>
      <c r="K230" s="128"/>
      <c r="L230" s="128"/>
      <c r="M230" s="128"/>
      <c r="N230" s="128"/>
      <c r="O230" s="128"/>
      <c r="P230" s="128"/>
      <c r="Q230" s="128"/>
      <c r="R230" s="128"/>
      <c r="S230" s="128"/>
      <c r="T230" s="128"/>
      <c r="U230" s="128"/>
      <c r="V230" s="128"/>
      <c r="W230" s="141"/>
      <c r="X230" s="50"/>
      <c r="Y230" s="128"/>
    </row>
    <row r="231" spans="2:25" x14ac:dyDescent="0.3">
      <c r="B231" s="131"/>
      <c r="C231" s="132"/>
      <c r="D231" s="16"/>
      <c r="E231" s="133"/>
      <c r="F231" s="134"/>
      <c r="G231" s="135"/>
      <c r="H231" s="135"/>
      <c r="I231" s="135"/>
      <c r="J231" s="135"/>
      <c r="K231" s="128"/>
      <c r="L231" s="128"/>
      <c r="M231" s="128"/>
      <c r="N231" s="128"/>
      <c r="O231" s="128"/>
      <c r="P231" s="128"/>
      <c r="Q231" s="128"/>
      <c r="R231" s="128"/>
      <c r="S231" s="128"/>
      <c r="T231" s="128"/>
      <c r="U231" s="128"/>
      <c r="V231" s="128"/>
      <c r="W231" s="141"/>
      <c r="X231" s="50"/>
      <c r="Y231" s="128"/>
    </row>
    <row r="232" spans="2:25" x14ac:dyDescent="0.3">
      <c r="B232" s="131"/>
      <c r="C232" s="132"/>
      <c r="D232" s="16"/>
      <c r="E232" s="133"/>
      <c r="F232" s="134"/>
      <c r="G232" s="135"/>
      <c r="H232" s="135"/>
      <c r="I232" s="135"/>
      <c r="J232" s="135"/>
      <c r="K232" s="128"/>
      <c r="L232" s="128"/>
      <c r="M232" s="128"/>
      <c r="N232" s="128"/>
      <c r="O232" s="128"/>
      <c r="P232" s="128"/>
      <c r="Q232" s="128"/>
      <c r="R232" s="128"/>
      <c r="S232" s="128"/>
      <c r="T232" s="128"/>
      <c r="U232" s="128"/>
      <c r="V232" s="128"/>
      <c r="W232" s="141"/>
      <c r="X232" s="50"/>
      <c r="Y232" s="128"/>
    </row>
    <row r="233" spans="2:25" x14ac:dyDescent="0.3">
      <c r="B233" s="131"/>
      <c r="C233" s="132"/>
      <c r="D233" s="16"/>
      <c r="E233" s="133"/>
      <c r="F233" s="134"/>
      <c r="G233" s="135"/>
      <c r="H233" s="135"/>
      <c r="I233" s="135"/>
      <c r="J233" s="135"/>
      <c r="K233" s="128"/>
      <c r="L233" s="128"/>
      <c r="M233" s="128"/>
      <c r="N233" s="128"/>
      <c r="O233" s="128"/>
      <c r="P233" s="128"/>
      <c r="Q233" s="128"/>
      <c r="R233" s="128"/>
      <c r="S233" s="128"/>
      <c r="T233" s="128"/>
      <c r="U233" s="128"/>
      <c r="V233" s="128"/>
      <c r="W233" s="141"/>
      <c r="X233" s="50"/>
      <c r="Y233" s="128"/>
    </row>
    <row r="234" spans="2:25" x14ac:dyDescent="0.3">
      <c r="B234" s="131"/>
      <c r="C234" s="132"/>
      <c r="D234" s="16"/>
      <c r="E234" s="133"/>
      <c r="F234" s="134"/>
      <c r="G234" s="135"/>
      <c r="H234" s="135"/>
      <c r="I234" s="135"/>
      <c r="J234" s="135"/>
      <c r="K234" s="128"/>
      <c r="L234" s="128"/>
      <c r="M234" s="128"/>
      <c r="N234" s="128"/>
      <c r="O234" s="128"/>
      <c r="P234" s="128"/>
      <c r="Q234" s="128"/>
      <c r="R234" s="128"/>
      <c r="S234" s="128"/>
      <c r="T234" s="128"/>
      <c r="U234" s="128"/>
      <c r="V234" s="128"/>
      <c r="W234" s="141"/>
      <c r="X234" s="50"/>
      <c r="Y234" s="128"/>
    </row>
    <row r="235" spans="2:25" x14ac:dyDescent="0.3">
      <c r="B235" s="131"/>
      <c r="C235" s="132"/>
      <c r="D235" s="16"/>
      <c r="E235" s="133"/>
      <c r="F235" s="134"/>
      <c r="G235" s="135"/>
      <c r="H235" s="135"/>
      <c r="I235" s="135"/>
      <c r="J235" s="135"/>
      <c r="K235" s="128"/>
      <c r="L235" s="128"/>
      <c r="M235" s="128"/>
      <c r="N235" s="128"/>
      <c r="O235" s="128"/>
      <c r="P235" s="128"/>
      <c r="Q235" s="128"/>
      <c r="R235" s="128"/>
      <c r="S235" s="128"/>
      <c r="T235" s="128"/>
      <c r="U235" s="128"/>
      <c r="V235" s="128"/>
      <c r="W235" s="141"/>
      <c r="X235" s="50"/>
      <c r="Y235" s="128"/>
    </row>
    <row r="236" spans="2:25" x14ac:dyDescent="0.3">
      <c r="B236" s="131"/>
      <c r="C236" s="132"/>
      <c r="D236" s="16"/>
      <c r="E236" s="133"/>
      <c r="F236" s="134"/>
      <c r="G236" s="135"/>
      <c r="H236" s="135"/>
      <c r="I236" s="135"/>
      <c r="J236" s="135"/>
      <c r="K236" s="128"/>
      <c r="L236" s="128"/>
      <c r="M236" s="128"/>
      <c r="N236" s="128"/>
      <c r="O236" s="128"/>
      <c r="P236" s="128"/>
      <c r="Q236" s="128"/>
      <c r="R236" s="128"/>
      <c r="S236" s="128"/>
      <c r="T236" s="128"/>
      <c r="U236" s="128"/>
      <c r="V236" s="128"/>
      <c r="W236" s="141"/>
      <c r="X236" s="50"/>
      <c r="Y236" s="128"/>
    </row>
    <row r="237" spans="2:25" x14ac:dyDescent="0.3">
      <c r="B237" s="131"/>
      <c r="C237" s="132"/>
      <c r="D237" s="16"/>
      <c r="E237" s="133"/>
      <c r="F237" s="134"/>
      <c r="G237" s="135"/>
      <c r="H237" s="135"/>
      <c r="I237" s="135"/>
      <c r="J237" s="135"/>
      <c r="K237" s="128"/>
      <c r="L237" s="128"/>
      <c r="M237" s="128"/>
      <c r="N237" s="128"/>
      <c r="O237" s="128"/>
      <c r="P237" s="128"/>
      <c r="Q237" s="128"/>
      <c r="R237" s="128"/>
      <c r="S237" s="128"/>
      <c r="T237" s="128"/>
      <c r="U237" s="128"/>
      <c r="V237" s="128"/>
      <c r="W237" s="141"/>
      <c r="X237" s="50"/>
      <c r="Y237" s="128"/>
    </row>
    <row r="238" spans="2:25" x14ac:dyDescent="0.3">
      <c r="B238" s="131"/>
      <c r="C238" s="132"/>
      <c r="D238" s="16"/>
      <c r="E238" s="133"/>
      <c r="F238" s="134"/>
      <c r="G238" s="135"/>
      <c r="H238" s="135"/>
      <c r="I238" s="135"/>
      <c r="J238" s="135"/>
      <c r="K238" s="128"/>
      <c r="L238" s="128"/>
      <c r="M238" s="128"/>
      <c r="N238" s="128"/>
      <c r="O238" s="128"/>
      <c r="P238" s="128"/>
      <c r="Q238" s="128"/>
      <c r="R238" s="128"/>
      <c r="S238" s="128"/>
      <c r="T238" s="128"/>
      <c r="U238" s="128"/>
      <c r="V238" s="128"/>
      <c r="W238" s="141"/>
      <c r="X238" s="50"/>
      <c r="Y238" s="128"/>
    </row>
    <row r="239" spans="2:25" x14ac:dyDescent="0.3">
      <c r="B239" s="131"/>
      <c r="C239" s="132"/>
      <c r="D239" s="16"/>
      <c r="E239" s="133"/>
      <c r="F239" s="134"/>
      <c r="G239" s="135"/>
      <c r="H239" s="135"/>
      <c r="I239" s="135"/>
      <c r="J239" s="135"/>
      <c r="K239" s="128"/>
      <c r="L239" s="128"/>
      <c r="M239" s="128"/>
      <c r="N239" s="128"/>
      <c r="O239" s="128"/>
      <c r="P239" s="128"/>
      <c r="Q239" s="128"/>
      <c r="R239" s="128"/>
      <c r="S239" s="128"/>
      <c r="T239" s="128"/>
      <c r="U239" s="128"/>
      <c r="V239" s="128"/>
      <c r="W239" s="141"/>
      <c r="X239" s="50"/>
      <c r="Y239" s="128"/>
    </row>
    <row r="240" spans="2:25" x14ac:dyDescent="0.3">
      <c r="B240" s="131"/>
      <c r="C240" s="132"/>
      <c r="D240" s="16"/>
      <c r="E240" s="133"/>
      <c r="F240" s="134"/>
      <c r="G240" s="135"/>
      <c r="H240" s="135"/>
      <c r="I240" s="135"/>
      <c r="J240" s="135"/>
      <c r="K240" s="128"/>
      <c r="L240" s="128"/>
      <c r="M240" s="128"/>
      <c r="N240" s="128"/>
      <c r="O240" s="128"/>
      <c r="P240" s="128"/>
      <c r="Q240" s="128"/>
      <c r="R240" s="128"/>
      <c r="S240" s="128"/>
      <c r="T240" s="128"/>
      <c r="U240" s="128"/>
      <c r="V240" s="128"/>
      <c r="W240" s="141"/>
      <c r="X240" s="50"/>
      <c r="Y240" s="128"/>
    </row>
    <row r="241" spans="2:25" x14ac:dyDescent="0.3">
      <c r="B241" s="131"/>
      <c r="C241" s="132"/>
      <c r="D241" s="16"/>
      <c r="E241" s="133"/>
      <c r="F241" s="134"/>
      <c r="G241" s="135"/>
      <c r="H241" s="135"/>
      <c r="I241" s="135"/>
      <c r="J241" s="135"/>
      <c r="K241" s="128"/>
      <c r="L241" s="128"/>
      <c r="M241" s="128"/>
      <c r="N241" s="128"/>
      <c r="O241" s="128"/>
      <c r="P241" s="128"/>
      <c r="Q241" s="128"/>
      <c r="R241" s="128"/>
      <c r="S241" s="128"/>
      <c r="T241" s="128"/>
      <c r="U241" s="128"/>
      <c r="V241" s="128"/>
      <c r="W241" s="141"/>
      <c r="X241" s="50"/>
      <c r="Y241" s="128"/>
    </row>
    <row r="242" spans="2:25" x14ac:dyDescent="0.3">
      <c r="B242" s="131"/>
      <c r="C242" s="132"/>
      <c r="D242" s="16"/>
      <c r="E242" s="133"/>
      <c r="F242" s="134"/>
      <c r="G242" s="135"/>
      <c r="H242" s="135"/>
      <c r="I242" s="135"/>
      <c r="J242" s="135"/>
      <c r="K242" s="128"/>
      <c r="L242" s="128"/>
      <c r="M242" s="128"/>
      <c r="N242" s="128"/>
      <c r="O242" s="128"/>
      <c r="P242" s="128"/>
      <c r="Q242" s="128"/>
      <c r="R242" s="128"/>
      <c r="S242" s="128"/>
      <c r="T242" s="128"/>
      <c r="U242" s="128"/>
      <c r="V242" s="128"/>
      <c r="W242" s="141"/>
      <c r="X242" s="50"/>
      <c r="Y242" s="128"/>
    </row>
    <row r="243" spans="2:25" x14ac:dyDescent="0.3">
      <c r="B243" s="131"/>
      <c r="C243" s="132"/>
      <c r="D243" s="16"/>
      <c r="E243" s="133"/>
      <c r="F243" s="134"/>
      <c r="G243" s="135"/>
      <c r="H243" s="135"/>
      <c r="I243" s="135"/>
      <c r="J243" s="135"/>
      <c r="K243" s="128"/>
      <c r="L243" s="128"/>
      <c r="M243" s="128"/>
      <c r="N243" s="128"/>
      <c r="O243" s="128"/>
      <c r="P243" s="128"/>
      <c r="Q243" s="128"/>
      <c r="R243" s="128"/>
      <c r="S243" s="128"/>
      <c r="T243" s="128"/>
      <c r="U243" s="128"/>
      <c r="V243" s="128"/>
      <c r="W243" s="141"/>
      <c r="X243" s="50"/>
      <c r="Y243" s="128"/>
    </row>
    <row r="244" spans="2:25" x14ac:dyDescent="0.3">
      <c r="B244" s="131"/>
      <c r="C244" s="132"/>
      <c r="D244" s="16"/>
      <c r="E244" s="133"/>
      <c r="F244" s="134"/>
      <c r="G244" s="135"/>
      <c r="H244" s="135"/>
      <c r="I244" s="135"/>
      <c r="J244" s="135"/>
      <c r="K244" s="128"/>
      <c r="L244" s="128"/>
      <c r="M244" s="128"/>
      <c r="N244" s="128"/>
      <c r="O244" s="128"/>
      <c r="P244" s="128"/>
      <c r="Q244" s="128"/>
      <c r="R244" s="128"/>
      <c r="S244" s="128"/>
      <c r="T244" s="128"/>
      <c r="U244" s="128"/>
      <c r="V244" s="128"/>
      <c r="W244" s="141"/>
      <c r="X244" s="50"/>
      <c r="Y244" s="128"/>
    </row>
    <row r="245" spans="2:25" x14ac:dyDescent="0.3">
      <c r="B245" s="131"/>
      <c r="C245" s="132"/>
      <c r="D245" s="16"/>
      <c r="E245" s="133"/>
      <c r="F245" s="134"/>
      <c r="G245" s="135"/>
      <c r="H245" s="135"/>
      <c r="I245" s="135"/>
      <c r="J245" s="135"/>
      <c r="K245" s="128"/>
      <c r="L245" s="128"/>
      <c r="M245" s="128"/>
      <c r="N245" s="128"/>
      <c r="O245" s="128"/>
      <c r="P245" s="128"/>
      <c r="Q245" s="128"/>
      <c r="R245" s="128"/>
      <c r="S245" s="128"/>
      <c r="T245" s="128"/>
      <c r="U245" s="128"/>
      <c r="V245" s="128"/>
      <c r="W245" s="141"/>
      <c r="X245" s="50"/>
      <c r="Y245" s="128"/>
    </row>
    <row r="246" spans="2:25" x14ac:dyDescent="0.3">
      <c r="B246" s="131"/>
      <c r="C246" s="132"/>
      <c r="D246" s="16"/>
      <c r="E246" s="133"/>
      <c r="F246" s="134"/>
      <c r="G246" s="135"/>
      <c r="H246" s="135"/>
      <c r="I246" s="135"/>
      <c r="J246" s="135"/>
      <c r="K246" s="128"/>
      <c r="L246" s="128"/>
      <c r="M246" s="128"/>
      <c r="N246" s="128"/>
      <c r="O246" s="128"/>
      <c r="P246" s="128"/>
      <c r="Q246" s="128"/>
      <c r="R246" s="128"/>
      <c r="S246" s="128"/>
      <c r="T246" s="128"/>
      <c r="U246" s="128"/>
      <c r="V246" s="128"/>
      <c r="W246" s="141"/>
      <c r="X246" s="50"/>
      <c r="Y246" s="128"/>
    </row>
    <row r="247" spans="2:25" x14ac:dyDescent="0.3">
      <c r="B247" s="131"/>
      <c r="C247" s="132"/>
      <c r="D247" s="16"/>
      <c r="E247" s="133"/>
      <c r="F247" s="134"/>
      <c r="G247" s="135"/>
      <c r="H247" s="135"/>
      <c r="I247" s="135"/>
      <c r="J247" s="135"/>
      <c r="K247" s="128"/>
      <c r="L247" s="128"/>
      <c r="M247" s="128"/>
      <c r="N247" s="128"/>
      <c r="O247" s="128"/>
      <c r="P247" s="128"/>
      <c r="Q247" s="128"/>
      <c r="R247" s="128"/>
      <c r="S247" s="128"/>
      <c r="T247" s="128"/>
      <c r="U247" s="128"/>
      <c r="V247" s="128"/>
      <c r="W247" s="141"/>
      <c r="X247" s="50"/>
      <c r="Y247" s="128"/>
    </row>
    <row r="248" spans="2:25" x14ac:dyDescent="0.3">
      <c r="B248" s="131"/>
      <c r="C248" s="132"/>
      <c r="D248" s="16"/>
      <c r="E248" s="133"/>
      <c r="F248" s="134"/>
      <c r="G248" s="135"/>
      <c r="H248" s="135"/>
      <c r="I248" s="135"/>
      <c r="J248" s="135"/>
      <c r="K248" s="128"/>
      <c r="L248" s="128"/>
      <c r="M248" s="128"/>
      <c r="N248" s="128"/>
      <c r="O248" s="128"/>
      <c r="P248" s="128"/>
      <c r="Q248" s="128"/>
      <c r="R248" s="128"/>
      <c r="S248" s="128"/>
      <c r="T248" s="128"/>
      <c r="U248" s="128"/>
      <c r="V248" s="128"/>
      <c r="W248" s="141"/>
      <c r="X248" s="50"/>
      <c r="Y248" s="128"/>
    </row>
    <row r="249" spans="2:25" x14ac:dyDescent="0.3">
      <c r="B249" s="131"/>
      <c r="C249" s="132"/>
      <c r="D249" s="16"/>
      <c r="E249" s="133"/>
      <c r="F249" s="134"/>
      <c r="G249" s="135"/>
      <c r="H249" s="135"/>
      <c r="I249" s="135"/>
      <c r="J249" s="135"/>
      <c r="K249" s="128"/>
      <c r="L249" s="128"/>
      <c r="M249" s="128"/>
      <c r="N249" s="128"/>
      <c r="O249" s="128"/>
      <c r="P249" s="128"/>
      <c r="Q249" s="128"/>
      <c r="R249" s="128"/>
      <c r="S249" s="128"/>
      <c r="T249" s="128"/>
      <c r="U249" s="128"/>
      <c r="V249" s="128"/>
      <c r="W249" s="141"/>
      <c r="X249" s="50"/>
      <c r="Y249" s="128"/>
    </row>
    <row r="250" spans="2:25" x14ac:dyDescent="0.3">
      <c r="B250" s="131"/>
      <c r="C250" s="132"/>
      <c r="D250" s="16"/>
      <c r="E250" s="133"/>
      <c r="F250" s="134"/>
      <c r="G250" s="135"/>
      <c r="H250" s="135"/>
      <c r="I250" s="135"/>
      <c r="J250" s="135"/>
      <c r="K250" s="128"/>
      <c r="L250" s="128"/>
      <c r="M250" s="128"/>
      <c r="N250" s="128"/>
      <c r="O250" s="128"/>
      <c r="P250" s="128"/>
      <c r="Q250" s="128"/>
      <c r="R250" s="128"/>
      <c r="S250" s="128"/>
      <c r="T250" s="128"/>
      <c r="U250" s="128"/>
      <c r="V250" s="128"/>
      <c r="W250" s="141"/>
      <c r="X250" s="50"/>
      <c r="Y250" s="128"/>
    </row>
    <row r="251" spans="2:25" x14ac:dyDescent="0.3">
      <c r="B251" s="131"/>
      <c r="C251" s="132"/>
      <c r="D251" s="16"/>
      <c r="E251" s="133"/>
      <c r="F251" s="134"/>
      <c r="G251" s="135"/>
      <c r="H251" s="135"/>
      <c r="I251" s="135"/>
      <c r="J251" s="135"/>
      <c r="K251" s="128"/>
      <c r="L251" s="128"/>
      <c r="M251" s="128"/>
      <c r="N251" s="128"/>
      <c r="O251" s="128"/>
      <c r="P251" s="128"/>
      <c r="Q251" s="128"/>
      <c r="R251" s="128"/>
      <c r="S251" s="128"/>
      <c r="T251" s="128"/>
      <c r="U251" s="128"/>
      <c r="V251" s="128"/>
      <c r="W251" s="141"/>
      <c r="X251" s="50"/>
      <c r="Y251" s="128"/>
    </row>
    <row r="252" spans="2:25" x14ac:dyDescent="0.3">
      <c r="B252" s="131"/>
      <c r="C252" s="132"/>
      <c r="D252" s="16"/>
      <c r="E252" s="133"/>
      <c r="F252" s="134"/>
      <c r="G252" s="135"/>
      <c r="H252" s="135"/>
      <c r="I252" s="135"/>
      <c r="J252" s="135"/>
      <c r="K252" s="128"/>
      <c r="L252" s="128"/>
      <c r="M252" s="128"/>
      <c r="N252" s="128"/>
      <c r="O252" s="128"/>
      <c r="P252" s="128"/>
      <c r="Q252" s="128"/>
      <c r="R252" s="128"/>
      <c r="S252" s="128"/>
      <c r="T252" s="128"/>
      <c r="U252" s="128"/>
      <c r="V252" s="128"/>
      <c r="W252" s="141"/>
      <c r="X252" s="50"/>
      <c r="Y252" s="128"/>
    </row>
    <row r="253" spans="2:25" x14ac:dyDescent="0.3">
      <c r="B253" s="131"/>
      <c r="C253" s="132"/>
      <c r="D253" s="16"/>
      <c r="E253" s="133"/>
      <c r="F253" s="134"/>
      <c r="G253" s="135"/>
      <c r="H253" s="135"/>
      <c r="I253" s="135"/>
      <c r="J253" s="135"/>
      <c r="K253" s="128"/>
      <c r="L253" s="128"/>
      <c r="M253" s="128"/>
      <c r="N253" s="128"/>
      <c r="O253" s="128"/>
      <c r="P253" s="128"/>
      <c r="Q253" s="128"/>
      <c r="R253" s="128"/>
      <c r="S253" s="128"/>
      <c r="T253" s="128"/>
      <c r="U253" s="128"/>
      <c r="V253" s="128"/>
      <c r="W253" s="141"/>
      <c r="X253" s="50"/>
      <c r="Y253" s="128"/>
    </row>
    <row r="254" spans="2:25" x14ac:dyDescent="0.3">
      <c r="B254" s="131"/>
      <c r="C254" s="132"/>
      <c r="D254" s="16"/>
      <c r="E254" s="133"/>
      <c r="F254" s="134"/>
      <c r="G254" s="135"/>
      <c r="H254" s="135"/>
      <c r="I254" s="135"/>
      <c r="J254" s="135"/>
      <c r="K254" s="128"/>
      <c r="L254" s="128"/>
      <c r="M254" s="128"/>
      <c r="N254" s="128"/>
      <c r="O254" s="128"/>
      <c r="P254" s="128"/>
      <c r="Q254" s="128"/>
      <c r="R254" s="128"/>
      <c r="S254" s="128"/>
      <c r="T254" s="128"/>
      <c r="U254" s="128"/>
      <c r="V254" s="128"/>
      <c r="W254" s="141"/>
      <c r="X254" s="50"/>
      <c r="Y254" s="128"/>
    </row>
    <row r="255" spans="2:25" x14ac:dyDescent="0.3">
      <c r="B255" s="131"/>
      <c r="C255" s="132"/>
      <c r="D255" s="16"/>
      <c r="E255" s="133"/>
      <c r="F255" s="134"/>
      <c r="G255" s="135"/>
      <c r="H255" s="135"/>
      <c r="I255" s="135"/>
      <c r="J255" s="135"/>
      <c r="K255" s="128"/>
      <c r="L255" s="128"/>
      <c r="M255" s="128"/>
      <c r="N255" s="128"/>
      <c r="O255" s="128"/>
      <c r="P255" s="128"/>
      <c r="Q255" s="128"/>
      <c r="R255" s="128"/>
      <c r="S255" s="128"/>
      <c r="T255" s="128"/>
      <c r="U255" s="128"/>
      <c r="V255" s="128"/>
      <c r="W255" s="141"/>
      <c r="X255" s="50"/>
      <c r="Y255" s="128"/>
    </row>
    <row r="256" spans="2:25" x14ac:dyDescent="0.3">
      <c r="B256" s="131"/>
      <c r="C256" s="132"/>
      <c r="D256" s="16"/>
      <c r="E256" s="133"/>
      <c r="F256" s="134"/>
      <c r="G256" s="135"/>
      <c r="H256" s="135"/>
      <c r="I256" s="135"/>
      <c r="J256" s="135"/>
      <c r="K256" s="128"/>
      <c r="L256" s="128"/>
      <c r="M256" s="128"/>
      <c r="N256" s="128"/>
      <c r="O256" s="128"/>
      <c r="P256" s="128"/>
      <c r="Q256" s="128"/>
      <c r="R256" s="128"/>
      <c r="S256" s="128"/>
      <c r="T256" s="128"/>
      <c r="U256" s="128"/>
      <c r="V256" s="128"/>
      <c r="W256" s="141"/>
      <c r="X256" s="50"/>
      <c r="Y256" s="128"/>
    </row>
    <row r="257" spans="2:25" x14ac:dyDescent="0.3">
      <c r="B257" s="131"/>
      <c r="C257" s="132"/>
      <c r="D257" s="16"/>
      <c r="E257" s="133"/>
      <c r="F257" s="134"/>
      <c r="G257" s="135"/>
      <c r="H257" s="135"/>
      <c r="I257" s="135"/>
      <c r="J257" s="135"/>
      <c r="K257" s="128"/>
      <c r="L257" s="128"/>
      <c r="M257" s="128"/>
      <c r="N257" s="128"/>
      <c r="O257" s="128"/>
      <c r="P257" s="128"/>
      <c r="Q257" s="128"/>
      <c r="R257" s="128"/>
      <c r="S257" s="128"/>
      <c r="T257" s="128"/>
      <c r="U257" s="128"/>
      <c r="V257" s="128"/>
      <c r="W257" s="141"/>
      <c r="X257" s="50"/>
      <c r="Y257" s="128"/>
    </row>
    <row r="258" spans="2:25" x14ac:dyDescent="0.3">
      <c r="B258" s="131"/>
      <c r="C258" s="132"/>
      <c r="D258" s="16"/>
      <c r="E258" s="133"/>
      <c r="F258" s="134"/>
      <c r="G258" s="135"/>
      <c r="H258" s="135"/>
      <c r="I258" s="135"/>
      <c r="J258" s="135"/>
      <c r="K258" s="128"/>
      <c r="L258" s="128"/>
      <c r="M258" s="128"/>
      <c r="N258" s="128"/>
      <c r="O258" s="128"/>
      <c r="P258" s="128"/>
      <c r="Q258" s="128"/>
      <c r="R258" s="128"/>
      <c r="S258" s="128"/>
      <c r="T258" s="128"/>
      <c r="U258" s="128"/>
      <c r="V258" s="128"/>
      <c r="W258" s="141"/>
      <c r="X258" s="50"/>
      <c r="Y258" s="128"/>
    </row>
    <row r="259" spans="2:25" x14ac:dyDescent="0.3">
      <c r="B259" s="131"/>
      <c r="C259" s="132"/>
      <c r="D259" s="16"/>
      <c r="E259" s="133"/>
      <c r="F259" s="134"/>
      <c r="G259" s="135"/>
      <c r="H259" s="135"/>
      <c r="I259" s="135"/>
      <c r="J259" s="135"/>
      <c r="K259" s="128"/>
      <c r="L259" s="128"/>
      <c r="M259" s="128"/>
      <c r="N259" s="128"/>
      <c r="O259" s="128"/>
      <c r="P259" s="128"/>
      <c r="Q259" s="128"/>
      <c r="R259" s="128"/>
      <c r="S259" s="128"/>
      <c r="T259" s="128"/>
      <c r="U259" s="128"/>
      <c r="V259" s="128"/>
      <c r="W259" s="141"/>
      <c r="X259" s="50"/>
      <c r="Y259" s="128"/>
    </row>
    <row r="260" spans="2:25" x14ac:dyDescent="0.3">
      <c r="B260" s="131"/>
      <c r="C260" s="132"/>
      <c r="D260" s="16"/>
      <c r="E260" s="133"/>
      <c r="F260" s="134"/>
      <c r="G260" s="135"/>
      <c r="H260" s="135"/>
      <c r="I260" s="135"/>
      <c r="J260" s="135"/>
      <c r="K260" s="128"/>
      <c r="L260" s="128"/>
      <c r="M260" s="128"/>
      <c r="N260" s="128"/>
      <c r="O260" s="128"/>
      <c r="P260" s="128"/>
      <c r="Q260" s="128"/>
      <c r="R260" s="128"/>
      <c r="S260" s="128"/>
      <c r="T260" s="128"/>
      <c r="U260" s="128"/>
      <c r="V260" s="128"/>
      <c r="W260" s="141"/>
      <c r="X260" s="50"/>
      <c r="Y260" s="128"/>
    </row>
    <row r="261" spans="2:25" x14ac:dyDescent="0.3">
      <c r="B261" s="131"/>
      <c r="C261" s="132"/>
      <c r="D261" s="16"/>
      <c r="E261" s="133"/>
      <c r="F261" s="134"/>
      <c r="G261" s="135"/>
      <c r="H261" s="135"/>
      <c r="I261" s="135"/>
      <c r="J261" s="135"/>
      <c r="K261" s="128"/>
      <c r="L261" s="128"/>
      <c r="M261" s="128"/>
      <c r="N261" s="128"/>
      <c r="O261" s="128"/>
      <c r="P261" s="128"/>
      <c r="Q261" s="128"/>
      <c r="R261" s="128"/>
      <c r="S261" s="128"/>
      <c r="T261" s="128"/>
      <c r="U261" s="128"/>
      <c r="V261" s="128"/>
      <c r="W261" s="141"/>
      <c r="X261" s="50"/>
      <c r="Y261" s="128"/>
    </row>
    <row r="262" spans="2:25" x14ac:dyDescent="0.3">
      <c r="B262" s="131"/>
      <c r="C262" s="132"/>
      <c r="D262" s="16"/>
      <c r="E262" s="133"/>
      <c r="F262" s="134"/>
      <c r="G262" s="135"/>
      <c r="H262" s="135"/>
      <c r="I262" s="135"/>
      <c r="J262" s="135"/>
      <c r="K262" s="128"/>
      <c r="L262" s="128"/>
      <c r="M262" s="128"/>
      <c r="N262" s="128"/>
      <c r="O262" s="128"/>
      <c r="P262" s="128"/>
      <c r="Q262" s="128"/>
      <c r="R262" s="128"/>
      <c r="S262" s="128"/>
      <c r="T262" s="128"/>
      <c r="U262" s="128"/>
      <c r="V262" s="128"/>
      <c r="W262" s="141"/>
      <c r="X262" s="50"/>
      <c r="Y262" s="128"/>
    </row>
    <row r="263" spans="2:25" x14ac:dyDescent="0.3">
      <c r="B263" s="131"/>
      <c r="C263" s="132"/>
      <c r="D263" s="16"/>
      <c r="E263" s="133"/>
      <c r="F263" s="134"/>
      <c r="G263" s="135"/>
      <c r="H263" s="135"/>
      <c r="I263" s="135"/>
      <c r="J263" s="135"/>
      <c r="K263" s="128"/>
      <c r="L263" s="128"/>
      <c r="M263" s="128"/>
      <c r="N263" s="128"/>
      <c r="O263" s="128"/>
      <c r="P263" s="128"/>
      <c r="Q263" s="128"/>
      <c r="R263" s="128"/>
      <c r="S263" s="128"/>
      <c r="T263" s="128"/>
      <c r="U263" s="128"/>
      <c r="V263" s="128"/>
      <c r="W263" s="141"/>
      <c r="X263" s="50"/>
      <c r="Y263" s="128"/>
    </row>
    <row r="264" spans="2:25" x14ac:dyDescent="0.3">
      <c r="B264" s="131"/>
      <c r="C264" s="132"/>
      <c r="D264" s="16"/>
      <c r="E264" s="133"/>
      <c r="F264" s="134"/>
      <c r="G264" s="135"/>
      <c r="H264" s="135"/>
      <c r="I264" s="135"/>
      <c r="J264" s="135"/>
      <c r="K264" s="128"/>
      <c r="L264" s="128"/>
      <c r="M264" s="128"/>
      <c r="N264" s="128"/>
      <c r="O264" s="128"/>
      <c r="P264" s="128"/>
      <c r="Q264" s="128"/>
      <c r="R264" s="128"/>
      <c r="S264" s="128"/>
      <c r="T264" s="128"/>
      <c r="U264" s="128"/>
      <c r="V264" s="128"/>
      <c r="W264" s="141"/>
      <c r="X264" s="50"/>
      <c r="Y264" s="128"/>
    </row>
    <row r="265" spans="2:25" x14ac:dyDescent="0.3">
      <c r="B265" s="131"/>
      <c r="C265" s="132"/>
      <c r="D265" s="16"/>
      <c r="E265" s="133"/>
      <c r="F265" s="134"/>
      <c r="G265" s="135"/>
      <c r="H265" s="135"/>
      <c r="I265" s="135"/>
      <c r="J265" s="135"/>
      <c r="K265" s="128"/>
      <c r="L265" s="128"/>
      <c r="M265" s="128"/>
      <c r="N265" s="128"/>
      <c r="O265" s="128"/>
      <c r="P265" s="128"/>
      <c r="Q265" s="128"/>
      <c r="R265" s="128"/>
      <c r="S265" s="128"/>
      <c r="T265" s="128"/>
      <c r="U265" s="128"/>
      <c r="V265" s="128"/>
      <c r="W265" s="141"/>
      <c r="X265" s="50"/>
      <c r="Y265" s="128"/>
    </row>
    <row r="266" spans="2:25" x14ac:dyDescent="0.3">
      <c r="B266" s="131"/>
      <c r="C266" s="132"/>
      <c r="D266" s="16"/>
      <c r="E266" s="133"/>
      <c r="F266" s="134"/>
      <c r="G266" s="135"/>
      <c r="H266" s="135"/>
      <c r="I266" s="135"/>
      <c r="J266" s="135"/>
      <c r="K266" s="128"/>
      <c r="L266" s="128"/>
      <c r="M266" s="128"/>
      <c r="N266" s="128"/>
      <c r="O266" s="128"/>
      <c r="P266" s="128"/>
      <c r="Q266" s="128"/>
      <c r="R266" s="128"/>
      <c r="S266" s="128"/>
      <c r="T266" s="128"/>
      <c r="U266" s="128"/>
      <c r="V266" s="128"/>
      <c r="W266" s="141"/>
      <c r="X266" s="50"/>
      <c r="Y266" s="128"/>
    </row>
    <row r="267" spans="2:25" x14ac:dyDescent="0.3">
      <c r="B267" s="131"/>
      <c r="C267" s="132"/>
      <c r="D267" s="16"/>
      <c r="E267" s="133"/>
      <c r="F267" s="134"/>
      <c r="G267" s="135"/>
      <c r="H267" s="135"/>
      <c r="I267" s="135"/>
      <c r="J267" s="135"/>
      <c r="K267" s="128"/>
      <c r="L267" s="128"/>
      <c r="M267" s="128"/>
      <c r="N267" s="128"/>
      <c r="O267" s="128"/>
      <c r="P267" s="128"/>
      <c r="Q267" s="128"/>
      <c r="R267" s="128"/>
      <c r="S267" s="128"/>
      <c r="T267" s="128"/>
      <c r="U267" s="128"/>
      <c r="V267" s="128"/>
      <c r="W267" s="141"/>
      <c r="X267" s="50"/>
      <c r="Y267" s="128"/>
    </row>
    <row r="268" spans="2:25" x14ac:dyDescent="0.3">
      <c r="B268" s="131"/>
      <c r="C268" s="132"/>
      <c r="D268" s="16"/>
      <c r="E268" s="133"/>
      <c r="F268" s="134"/>
      <c r="G268" s="135"/>
      <c r="H268" s="135"/>
      <c r="I268" s="135"/>
      <c r="J268" s="135"/>
      <c r="K268" s="128"/>
      <c r="L268" s="128"/>
      <c r="M268" s="128"/>
      <c r="N268" s="128"/>
      <c r="O268" s="128"/>
      <c r="P268" s="128"/>
      <c r="Q268" s="128"/>
      <c r="R268" s="128"/>
      <c r="S268" s="128"/>
      <c r="T268" s="128"/>
      <c r="U268" s="128"/>
      <c r="V268" s="128"/>
      <c r="W268" s="141"/>
      <c r="X268" s="50"/>
      <c r="Y268" s="128"/>
    </row>
    <row r="269" spans="2:25" x14ac:dyDescent="0.3">
      <c r="B269" s="131"/>
      <c r="C269" s="132"/>
      <c r="D269" s="16"/>
      <c r="E269" s="133"/>
      <c r="F269" s="134"/>
      <c r="G269" s="135"/>
      <c r="H269" s="135"/>
      <c r="I269" s="135"/>
      <c r="J269" s="135"/>
      <c r="K269" s="128"/>
      <c r="L269" s="128"/>
      <c r="M269" s="128"/>
      <c r="N269" s="128"/>
      <c r="O269" s="128"/>
      <c r="P269" s="128"/>
      <c r="Q269" s="128"/>
      <c r="R269" s="128"/>
      <c r="S269" s="128"/>
      <c r="T269" s="128"/>
      <c r="U269" s="128"/>
      <c r="V269" s="128"/>
      <c r="W269" s="141"/>
      <c r="X269" s="50"/>
      <c r="Y269" s="128"/>
    </row>
    <row r="270" spans="2:25" x14ac:dyDescent="0.3">
      <c r="B270" s="131"/>
      <c r="C270" s="132"/>
      <c r="D270" s="16"/>
      <c r="E270" s="133"/>
      <c r="F270" s="134"/>
      <c r="G270" s="135"/>
      <c r="H270" s="135"/>
      <c r="I270" s="135"/>
      <c r="J270" s="135"/>
      <c r="K270" s="128"/>
      <c r="L270" s="128"/>
      <c r="M270" s="128"/>
      <c r="N270" s="128"/>
      <c r="O270" s="128"/>
      <c r="P270" s="128"/>
      <c r="Q270" s="128"/>
      <c r="R270" s="128"/>
      <c r="S270" s="128"/>
      <c r="T270" s="128"/>
      <c r="U270" s="128"/>
      <c r="V270" s="128"/>
      <c r="W270" s="141"/>
      <c r="X270" s="50"/>
      <c r="Y270" s="128"/>
    </row>
    <row r="271" spans="2:25" x14ac:dyDescent="0.3">
      <c r="B271" s="131"/>
      <c r="C271" s="132"/>
      <c r="D271" s="16"/>
      <c r="E271" s="133"/>
      <c r="F271" s="134"/>
      <c r="G271" s="135"/>
      <c r="H271" s="135"/>
      <c r="I271" s="135"/>
      <c r="J271" s="135"/>
      <c r="K271" s="128"/>
      <c r="L271" s="128"/>
      <c r="M271" s="128"/>
      <c r="N271" s="128"/>
      <c r="O271" s="128"/>
      <c r="P271" s="128"/>
      <c r="Q271" s="128"/>
      <c r="R271" s="128"/>
      <c r="S271" s="128"/>
      <c r="T271" s="128"/>
      <c r="U271" s="128"/>
      <c r="V271" s="128"/>
      <c r="W271" s="141"/>
      <c r="X271" s="50"/>
      <c r="Y271" s="128"/>
    </row>
    <row r="272" spans="2:25" x14ac:dyDescent="0.3">
      <c r="B272" s="131"/>
      <c r="C272" s="132"/>
      <c r="D272" s="16"/>
      <c r="E272" s="133"/>
      <c r="F272" s="134"/>
      <c r="G272" s="135"/>
      <c r="H272" s="135"/>
      <c r="I272" s="135"/>
      <c r="J272" s="135"/>
      <c r="K272" s="128"/>
      <c r="L272" s="128"/>
      <c r="M272" s="128"/>
      <c r="N272" s="128"/>
      <c r="O272" s="128"/>
      <c r="P272" s="128"/>
      <c r="Q272" s="128"/>
      <c r="R272" s="128"/>
      <c r="S272" s="128"/>
      <c r="T272" s="128"/>
      <c r="U272" s="128"/>
      <c r="V272" s="128"/>
      <c r="W272" s="141"/>
      <c r="X272" s="50"/>
      <c r="Y272" s="128"/>
    </row>
    <row r="273" spans="2:25" x14ac:dyDescent="0.3">
      <c r="B273" s="131"/>
      <c r="C273" s="132"/>
      <c r="D273" s="16"/>
      <c r="E273" s="133"/>
      <c r="F273" s="134"/>
      <c r="G273" s="135"/>
      <c r="H273" s="135"/>
      <c r="I273" s="135"/>
      <c r="J273" s="135"/>
      <c r="K273" s="128"/>
      <c r="L273" s="128"/>
      <c r="M273" s="128"/>
      <c r="N273" s="128"/>
      <c r="O273" s="128"/>
      <c r="P273" s="128"/>
      <c r="Q273" s="128"/>
      <c r="R273" s="128"/>
      <c r="S273" s="128"/>
      <c r="T273" s="128"/>
      <c r="U273" s="128"/>
      <c r="V273" s="128"/>
      <c r="W273" s="141"/>
      <c r="X273" s="50"/>
      <c r="Y273" s="128"/>
    </row>
    <row r="274" spans="2:25" x14ac:dyDescent="0.3">
      <c r="B274" s="131"/>
      <c r="C274" s="132"/>
      <c r="D274" s="16"/>
      <c r="E274" s="133"/>
      <c r="F274" s="134"/>
      <c r="G274" s="135"/>
      <c r="H274" s="135"/>
      <c r="I274" s="135"/>
      <c r="J274" s="135"/>
      <c r="K274" s="128"/>
      <c r="L274" s="128"/>
      <c r="M274" s="128"/>
      <c r="N274" s="128"/>
      <c r="O274" s="128"/>
      <c r="P274" s="128"/>
      <c r="Q274" s="128"/>
      <c r="R274" s="128"/>
      <c r="S274" s="128"/>
      <c r="T274" s="128"/>
      <c r="U274" s="128"/>
      <c r="V274" s="128"/>
      <c r="W274" s="141"/>
      <c r="X274" s="50"/>
      <c r="Y274" s="128"/>
    </row>
    <row r="275" spans="2:25" x14ac:dyDescent="0.3">
      <c r="B275" s="131"/>
      <c r="C275" s="132"/>
      <c r="D275" s="16"/>
      <c r="E275" s="133"/>
      <c r="F275" s="134"/>
      <c r="G275" s="135"/>
      <c r="H275" s="135"/>
      <c r="I275" s="135"/>
      <c r="J275" s="135"/>
      <c r="K275" s="128"/>
      <c r="L275" s="128"/>
      <c r="M275" s="128"/>
      <c r="N275" s="128"/>
      <c r="O275" s="128"/>
      <c r="P275" s="128"/>
      <c r="Q275" s="128"/>
      <c r="R275" s="128"/>
      <c r="S275" s="128"/>
      <c r="T275" s="128"/>
      <c r="U275" s="128"/>
      <c r="V275" s="128"/>
      <c r="W275" s="141"/>
      <c r="X275" s="50"/>
      <c r="Y275" s="128"/>
    </row>
    <row r="276" spans="2:25" x14ac:dyDescent="0.3">
      <c r="B276" s="131"/>
      <c r="C276" s="132"/>
      <c r="D276" s="16"/>
      <c r="E276" s="133"/>
      <c r="F276" s="134"/>
      <c r="G276" s="135"/>
      <c r="H276" s="135"/>
      <c r="I276" s="135"/>
      <c r="J276" s="135"/>
      <c r="K276" s="128"/>
      <c r="L276" s="128"/>
      <c r="M276" s="128"/>
      <c r="N276" s="128"/>
      <c r="O276" s="128"/>
      <c r="P276" s="128"/>
      <c r="Q276" s="128"/>
      <c r="R276" s="128"/>
      <c r="S276" s="128"/>
      <c r="T276" s="128"/>
      <c r="U276" s="128"/>
      <c r="V276" s="128"/>
      <c r="W276" s="141"/>
      <c r="X276" s="50"/>
      <c r="Y276" s="128"/>
    </row>
    <row r="277" spans="2:25" x14ac:dyDescent="0.3">
      <c r="B277" s="131"/>
      <c r="C277" s="132"/>
      <c r="D277" s="16"/>
      <c r="E277" s="133"/>
      <c r="F277" s="134"/>
      <c r="G277" s="135"/>
      <c r="H277" s="135"/>
      <c r="I277" s="135"/>
      <c r="J277" s="135"/>
      <c r="K277" s="128"/>
      <c r="L277" s="128"/>
      <c r="M277" s="128"/>
      <c r="N277" s="128"/>
      <c r="O277" s="128"/>
      <c r="P277" s="128"/>
      <c r="Q277" s="128"/>
      <c r="R277" s="128"/>
      <c r="S277" s="128"/>
      <c r="T277" s="128"/>
      <c r="U277" s="128"/>
      <c r="V277" s="128"/>
      <c r="W277" s="141"/>
      <c r="X277" s="50"/>
      <c r="Y277" s="128"/>
    </row>
    <row r="278" spans="2:25" x14ac:dyDescent="0.3">
      <c r="B278" s="131"/>
      <c r="C278" s="132"/>
      <c r="D278" s="16"/>
      <c r="E278" s="133"/>
      <c r="F278" s="134"/>
      <c r="G278" s="135"/>
      <c r="H278" s="135"/>
      <c r="I278" s="135"/>
      <c r="J278" s="135"/>
      <c r="K278" s="128"/>
      <c r="L278" s="128"/>
      <c r="M278" s="128"/>
      <c r="N278" s="128"/>
      <c r="O278" s="128"/>
      <c r="P278" s="128"/>
      <c r="Q278" s="128"/>
      <c r="R278" s="128"/>
      <c r="S278" s="128"/>
      <c r="T278" s="128"/>
      <c r="U278" s="128"/>
      <c r="V278" s="128"/>
      <c r="W278" s="141"/>
      <c r="X278" s="50"/>
      <c r="Y278" s="128"/>
    </row>
    <row r="279" spans="2:25" x14ac:dyDescent="0.3">
      <c r="B279" s="131"/>
      <c r="C279" s="132"/>
      <c r="D279" s="16"/>
      <c r="E279" s="133"/>
      <c r="F279" s="134"/>
      <c r="G279" s="135"/>
      <c r="H279" s="135"/>
      <c r="I279" s="135"/>
      <c r="J279" s="135"/>
      <c r="K279" s="128"/>
      <c r="L279" s="128"/>
      <c r="M279" s="128"/>
      <c r="N279" s="128"/>
      <c r="O279" s="128"/>
      <c r="P279" s="128"/>
      <c r="Q279" s="128"/>
      <c r="R279" s="128"/>
      <c r="S279" s="128"/>
      <c r="T279" s="128"/>
      <c r="U279" s="128"/>
      <c r="V279" s="128"/>
      <c r="W279" s="141"/>
      <c r="X279" s="50"/>
      <c r="Y279" s="128"/>
    </row>
    <row r="280" spans="2:25" x14ac:dyDescent="0.3">
      <c r="B280" s="131"/>
      <c r="C280" s="132"/>
      <c r="D280" s="16"/>
      <c r="E280" s="133"/>
      <c r="F280" s="134"/>
      <c r="G280" s="135"/>
      <c r="H280" s="135"/>
      <c r="I280" s="135"/>
      <c r="J280" s="135"/>
      <c r="K280" s="128"/>
      <c r="L280" s="128"/>
      <c r="M280" s="128"/>
      <c r="N280" s="128"/>
      <c r="O280" s="128"/>
      <c r="P280" s="128"/>
      <c r="Q280" s="128"/>
      <c r="R280" s="128"/>
      <c r="S280" s="128"/>
      <c r="T280" s="128"/>
      <c r="U280" s="128"/>
      <c r="V280" s="128"/>
      <c r="W280" s="141"/>
      <c r="X280" s="50"/>
      <c r="Y280" s="128"/>
    </row>
    <row r="281" spans="2:25" x14ac:dyDescent="0.3">
      <c r="B281" s="131"/>
      <c r="C281" s="132"/>
      <c r="D281" s="16"/>
      <c r="E281" s="133"/>
      <c r="F281" s="134"/>
      <c r="G281" s="135"/>
      <c r="H281" s="135"/>
      <c r="I281" s="135"/>
      <c r="J281" s="135"/>
      <c r="K281" s="128"/>
      <c r="L281" s="128"/>
      <c r="M281" s="128"/>
      <c r="N281" s="128"/>
      <c r="O281" s="128"/>
      <c r="P281" s="128"/>
      <c r="Q281" s="128"/>
      <c r="R281" s="128"/>
      <c r="S281" s="128"/>
      <c r="T281" s="128"/>
      <c r="U281" s="128"/>
      <c r="V281" s="128"/>
      <c r="W281" s="141"/>
      <c r="X281" s="50"/>
      <c r="Y281" s="128"/>
    </row>
    <row r="282" spans="2:25" x14ac:dyDescent="0.3">
      <c r="B282" s="131"/>
      <c r="C282" s="132"/>
      <c r="D282" s="16"/>
      <c r="E282" s="133"/>
      <c r="F282" s="134"/>
      <c r="G282" s="135"/>
      <c r="H282" s="135"/>
      <c r="I282" s="135"/>
      <c r="J282" s="135"/>
      <c r="K282" s="128"/>
      <c r="L282" s="128"/>
      <c r="M282" s="128"/>
      <c r="N282" s="128"/>
      <c r="O282" s="128"/>
      <c r="P282" s="128"/>
      <c r="Q282" s="128"/>
      <c r="R282" s="128"/>
      <c r="S282" s="128"/>
      <c r="T282" s="128"/>
      <c r="U282" s="128"/>
      <c r="V282" s="128"/>
      <c r="W282" s="141"/>
      <c r="X282" s="50"/>
      <c r="Y282" s="128"/>
    </row>
    <row r="283" spans="2:25" x14ac:dyDescent="0.3">
      <c r="B283" s="131"/>
      <c r="C283" s="132"/>
      <c r="D283" s="16"/>
      <c r="E283" s="133"/>
      <c r="F283" s="134"/>
      <c r="G283" s="135"/>
      <c r="H283" s="135"/>
      <c r="I283" s="135"/>
      <c r="J283" s="135"/>
      <c r="K283" s="128"/>
      <c r="L283" s="128"/>
      <c r="M283" s="128"/>
      <c r="N283" s="128"/>
      <c r="O283" s="128"/>
      <c r="P283" s="128"/>
      <c r="Q283" s="128"/>
      <c r="R283" s="128"/>
      <c r="S283" s="128"/>
      <c r="T283" s="128"/>
      <c r="U283" s="128"/>
      <c r="V283" s="128"/>
      <c r="W283" s="141"/>
      <c r="X283" s="50"/>
      <c r="Y283" s="128"/>
    </row>
    <row r="284" spans="2:25" x14ac:dyDescent="0.3">
      <c r="B284" s="131"/>
      <c r="C284" s="132"/>
      <c r="D284" s="16"/>
      <c r="E284" s="133"/>
      <c r="F284" s="134"/>
      <c r="G284" s="135"/>
      <c r="H284" s="135"/>
      <c r="I284" s="135"/>
      <c r="J284" s="135"/>
      <c r="K284" s="128"/>
      <c r="L284" s="128"/>
      <c r="M284" s="128"/>
      <c r="N284" s="128"/>
      <c r="O284" s="128"/>
      <c r="P284" s="128"/>
      <c r="Q284" s="128"/>
      <c r="R284" s="128"/>
      <c r="S284" s="128"/>
      <c r="T284" s="128"/>
      <c r="U284" s="128"/>
      <c r="V284" s="128"/>
      <c r="W284" s="141"/>
      <c r="X284" s="50"/>
      <c r="Y284" s="128"/>
    </row>
    <row r="285" spans="2:25" x14ac:dyDescent="0.3">
      <c r="B285" s="131"/>
      <c r="C285" s="132"/>
      <c r="D285" s="16"/>
      <c r="E285" s="133"/>
      <c r="F285" s="134"/>
      <c r="G285" s="135"/>
      <c r="H285" s="135"/>
      <c r="I285" s="135"/>
      <c r="J285" s="135"/>
      <c r="K285" s="128"/>
      <c r="L285" s="128"/>
      <c r="M285" s="128"/>
      <c r="N285" s="128"/>
      <c r="O285" s="128"/>
      <c r="P285" s="128"/>
      <c r="Q285" s="128"/>
      <c r="R285" s="128"/>
      <c r="S285" s="128"/>
      <c r="T285" s="128"/>
      <c r="U285" s="128"/>
      <c r="V285" s="128"/>
      <c r="W285" s="141"/>
      <c r="X285" s="50"/>
      <c r="Y285" s="128"/>
    </row>
    <row r="286" spans="2:25" x14ac:dyDescent="0.3">
      <c r="B286" s="131"/>
      <c r="C286" s="132"/>
      <c r="D286" s="16"/>
      <c r="E286" s="133"/>
      <c r="F286" s="134"/>
      <c r="G286" s="135"/>
      <c r="H286" s="135"/>
      <c r="I286" s="135"/>
      <c r="J286" s="135"/>
      <c r="K286" s="128"/>
      <c r="L286" s="128"/>
      <c r="M286" s="128"/>
      <c r="N286" s="128"/>
      <c r="O286" s="128"/>
      <c r="P286" s="128"/>
      <c r="Q286" s="128"/>
      <c r="R286" s="128"/>
      <c r="S286" s="128"/>
      <c r="T286" s="128"/>
      <c r="U286" s="128"/>
      <c r="V286" s="128"/>
      <c r="W286" s="141"/>
      <c r="X286" s="50"/>
      <c r="Y286" s="128"/>
    </row>
    <row r="287" spans="2:25" x14ac:dyDescent="0.3">
      <c r="B287" s="131"/>
      <c r="C287" s="132"/>
      <c r="D287" s="16"/>
      <c r="E287" s="133"/>
      <c r="F287" s="134"/>
      <c r="G287" s="135"/>
      <c r="H287" s="135"/>
      <c r="I287" s="135"/>
      <c r="J287" s="135"/>
      <c r="K287" s="128"/>
      <c r="L287" s="128"/>
      <c r="M287" s="128"/>
      <c r="N287" s="128"/>
      <c r="O287" s="128"/>
      <c r="P287" s="128"/>
      <c r="Q287" s="128"/>
      <c r="R287" s="128"/>
      <c r="S287" s="128"/>
      <c r="T287" s="128"/>
      <c r="U287" s="128"/>
      <c r="V287" s="128"/>
      <c r="W287" s="141"/>
      <c r="X287" s="50"/>
      <c r="Y287" s="128"/>
    </row>
    <row r="288" spans="2:25" x14ac:dyDescent="0.3">
      <c r="B288" s="131"/>
      <c r="C288" s="132"/>
      <c r="D288" s="16"/>
      <c r="E288" s="133"/>
      <c r="F288" s="134"/>
      <c r="G288" s="135"/>
      <c r="H288" s="135"/>
      <c r="I288" s="135"/>
      <c r="J288" s="135"/>
      <c r="K288" s="128"/>
      <c r="L288" s="128"/>
      <c r="M288" s="128"/>
      <c r="N288" s="128"/>
      <c r="O288" s="128"/>
      <c r="P288" s="128"/>
      <c r="Q288" s="128"/>
      <c r="R288" s="128"/>
      <c r="S288" s="128"/>
      <c r="T288" s="128"/>
      <c r="U288" s="128"/>
      <c r="V288" s="128"/>
      <c r="W288" s="141"/>
      <c r="X288" s="50"/>
      <c r="Y288" s="128"/>
    </row>
    <row r="289" spans="2:25" x14ac:dyDescent="0.3">
      <c r="B289" s="131"/>
      <c r="C289" s="132"/>
      <c r="D289" s="16"/>
      <c r="E289" s="133"/>
      <c r="F289" s="134"/>
      <c r="G289" s="135"/>
      <c r="H289" s="135"/>
      <c r="I289" s="135"/>
      <c r="J289" s="135"/>
      <c r="K289" s="128"/>
      <c r="L289" s="128"/>
      <c r="M289" s="128"/>
      <c r="N289" s="128"/>
      <c r="O289" s="128"/>
      <c r="P289" s="128"/>
      <c r="Q289" s="128"/>
      <c r="R289" s="128"/>
      <c r="S289" s="128"/>
      <c r="T289" s="128"/>
      <c r="U289" s="128"/>
      <c r="V289" s="128"/>
      <c r="W289" s="141"/>
      <c r="X289" s="50"/>
      <c r="Y289" s="128"/>
    </row>
    <row r="290" spans="2:25" x14ac:dyDescent="0.3">
      <c r="B290" s="131"/>
      <c r="C290" s="132"/>
      <c r="D290" s="16"/>
      <c r="E290" s="133"/>
      <c r="F290" s="134"/>
      <c r="G290" s="135"/>
      <c r="H290" s="135"/>
      <c r="I290" s="135"/>
      <c r="J290" s="135"/>
      <c r="K290" s="128"/>
      <c r="L290" s="128"/>
      <c r="M290" s="128"/>
      <c r="N290" s="128"/>
      <c r="O290" s="128"/>
      <c r="P290" s="128"/>
      <c r="Q290" s="128"/>
      <c r="R290" s="128"/>
      <c r="S290" s="128"/>
      <c r="T290" s="128"/>
      <c r="U290" s="128"/>
      <c r="V290" s="128"/>
      <c r="W290" s="141"/>
      <c r="X290" s="50"/>
      <c r="Y290" s="128"/>
    </row>
    <row r="291" spans="2:25" x14ac:dyDescent="0.3">
      <c r="B291" s="131"/>
      <c r="C291" s="132"/>
      <c r="D291" s="16"/>
      <c r="E291" s="133"/>
      <c r="F291" s="134"/>
      <c r="G291" s="135"/>
      <c r="H291" s="135"/>
      <c r="I291" s="135"/>
      <c r="J291" s="135"/>
      <c r="K291" s="128"/>
      <c r="L291" s="128"/>
      <c r="M291" s="128"/>
      <c r="N291" s="128"/>
      <c r="O291" s="128"/>
      <c r="P291" s="128"/>
      <c r="Q291" s="128"/>
      <c r="R291" s="128"/>
      <c r="S291" s="128"/>
      <c r="T291" s="128"/>
      <c r="U291" s="128"/>
      <c r="V291" s="128"/>
      <c r="W291" s="141"/>
      <c r="X291" s="50"/>
      <c r="Y291" s="128"/>
    </row>
    <row r="292" spans="2:25" x14ac:dyDescent="0.3">
      <c r="B292" s="131"/>
      <c r="C292" s="132"/>
      <c r="D292" s="16"/>
      <c r="E292" s="133"/>
      <c r="F292" s="134"/>
      <c r="G292" s="135"/>
      <c r="H292" s="135"/>
      <c r="I292" s="135"/>
      <c r="J292" s="135"/>
      <c r="K292" s="128"/>
      <c r="L292" s="128"/>
      <c r="M292" s="128"/>
      <c r="N292" s="128"/>
      <c r="O292" s="128"/>
      <c r="P292" s="128"/>
      <c r="Q292" s="128"/>
      <c r="R292" s="128"/>
      <c r="S292" s="128"/>
      <c r="T292" s="128"/>
      <c r="U292" s="128"/>
      <c r="V292" s="128"/>
      <c r="W292" s="141"/>
      <c r="X292" s="50"/>
      <c r="Y292" s="128"/>
    </row>
    <row r="293" spans="2:25" x14ac:dyDescent="0.3">
      <c r="B293" s="131"/>
      <c r="C293" s="132"/>
      <c r="D293" s="16"/>
      <c r="E293" s="133"/>
      <c r="F293" s="134"/>
      <c r="G293" s="135"/>
      <c r="H293" s="135"/>
      <c r="I293" s="135"/>
      <c r="J293" s="135"/>
      <c r="K293" s="128"/>
      <c r="L293" s="128"/>
      <c r="M293" s="128"/>
      <c r="N293" s="128"/>
      <c r="O293" s="128"/>
      <c r="P293" s="128"/>
      <c r="Q293" s="128"/>
      <c r="R293" s="128"/>
      <c r="S293" s="128"/>
      <c r="T293" s="128"/>
      <c r="U293" s="128"/>
      <c r="V293" s="128"/>
      <c r="W293" s="141"/>
      <c r="X293" s="50"/>
      <c r="Y293" s="128"/>
    </row>
    <row r="294" spans="2:25" x14ac:dyDescent="0.3">
      <c r="B294" s="131"/>
      <c r="C294" s="132"/>
      <c r="D294" s="16"/>
      <c r="E294" s="133"/>
      <c r="F294" s="134"/>
      <c r="G294" s="135"/>
      <c r="H294" s="135"/>
      <c r="I294" s="135"/>
      <c r="J294" s="135"/>
      <c r="K294" s="128"/>
      <c r="L294" s="128"/>
      <c r="M294" s="128"/>
      <c r="N294" s="128"/>
      <c r="O294" s="128"/>
      <c r="P294" s="128"/>
      <c r="Q294" s="128"/>
      <c r="R294" s="128"/>
      <c r="S294" s="128"/>
      <c r="T294" s="128"/>
      <c r="U294" s="128"/>
      <c r="V294" s="128"/>
      <c r="W294" s="141"/>
      <c r="X294" s="50"/>
      <c r="Y294" s="128"/>
    </row>
    <row r="295" spans="2:25" x14ac:dyDescent="0.3">
      <c r="B295" s="131"/>
      <c r="C295" s="132"/>
      <c r="D295" s="16"/>
      <c r="E295" s="133"/>
      <c r="F295" s="134"/>
      <c r="G295" s="135"/>
      <c r="H295" s="135"/>
      <c r="I295" s="135"/>
      <c r="J295" s="135"/>
      <c r="K295" s="128"/>
      <c r="L295" s="128"/>
      <c r="M295" s="128"/>
      <c r="N295" s="128"/>
      <c r="O295" s="128"/>
      <c r="P295" s="128"/>
      <c r="Q295" s="128"/>
      <c r="R295" s="128"/>
      <c r="S295" s="128"/>
      <c r="T295" s="128"/>
      <c r="U295" s="128"/>
      <c r="V295" s="128"/>
      <c r="W295" s="141"/>
      <c r="X295" s="50"/>
      <c r="Y295" s="128"/>
    </row>
    <row r="296" spans="2:25" x14ac:dyDescent="0.3">
      <c r="B296" s="131"/>
      <c r="C296" s="132"/>
      <c r="D296" s="16"/>
      <c r="E296" s="133"/>
      <c r="F296" s="134"/>
      <c r="G296" s="135"/>
      <c r="H296" s="135"/>
      <c r="I296" s="135"/>
      <c r="J296" s="135"/>
      <c r="K296" s="128"/>
      <c r="L296" s="128"/>
      <c r="M296" s="128"/>
      <c r="N296" s="128"/>
      <c r="O296" s="128"/>
      <c r="P296" s="128"/>
      <c r="Q296" s="128"/>
      <c r="R296" s="128"/>
      <c r="S296" s="128"/>
      <c r="T296" s="128"/>
      <c r="U296" s="128"/>
      <c r="V296" s="128"/>
      <c r="W296" s="141"/>
      <c r="X296" s="50"/>
      <c r="Y296" s="128"/>
    </row>
    <row r="297" spans="2:25" x14ac:dyDescent="0.3">
      <c r="B297" s="131"/>
      <c r="C297" s="132"/>
      <c r="D297" s="16"/>
      <c r="E297" s="133"/>
      <c r="F297" s="134"/>
      <c r="G297" s="135"/>
      <c r="H297" s="135"/>
      <c r="I297" s="135"/>
      <c r="J297" s="135"/>
      <c r="K297" s="128"/>
      <c r="L297" s="128"/>
      <c r="M297" s="128"/>
      <c r="N297" s="128"/>
      <c r="O297" s="128"/>
      <c r="P297" s="128"/>
      <c r="Q297" s="128"/>
      <c r="R297" s="128"/>
      <c r="S297" s="128"/>
      <c r="T297" s="128"/>
      <c r="U297" s="128"/>
      <c r="V297" s="128"/>
      <c r="W297" s="141"/>
      <c r="X297" s="50"/>
      <c r="Y297" s="128"/>
    </row>
    <row r="298" spans="2:25" x14ac:dyDescent="0.3">
      <c r="B298" s="131"/>
      <c r="C298" s="132"/>
      <c r="D298" s="16"/>
      <c r="E298" s="133"/>
      <c r="F298" s="134"/>
      <c r="G298" s="135"/>
      <c r="H298" s="135"/>
      <c r="I298" s="135"/>
      <c r="J298" s="135"/>
      <c r="K298" s="128"/>
      <c r="L298" s="128"/>
      <c r="M298" s="128"/>
      <c r="N298" s="128"/>
      <c r="O298" s="128"/>
      <c r="P298" s="128"/>
      <c r="Q298" s="128"/>
      <c r="R298" s="128"/>
      <c r="S298" s="128"/>
      <c r="T298" s="128"/>
      <c r="U298" s="128"/>
      <c r="V298" s="128"/>
      <c r="W298" s="141"/>
      <c r="X298" s="50"/>
      <c r="Y298" s="128"/>
    </row>
    <row r="299" spans="2:25" x14ac:dyDescent="0.3">
      <c r="B299" s="131"/>
      <c r="C299" s="132"/>
      <c r="D299" s="16"/>
      <c r="E299" s="133"/>
      <c r="F299" s="134"/>
      <c r="G299" s="135"/>
      <c r="H299" s="135"/>
      <c r="I299" s="135"/>
      <c r="J299" s="135"/>
      <c r="K299" s="128"/>
      <c r="L299" s="128"/>
      <c r="M299" s="128"/>
      <c r="N299" s="128"/>
      <c r="O299" s="128"/>
      <c r="P299" s="128"/>
      <c r="Q299" s="128"/>
      <c r="R299" s="128"/>
      <c r="S299" s="128"/>
      <c r="T299" s="128"/>
      <c r="U299" s="128"/>
      <c r="V299" s="128"/>
      <c r="W299" s="141"/>
      <c r="X299" s="50"/>
      <c r="Y299" s="128"/>
    </row>
    <row r="300" spans="2:25" x14ac:dyDescent="0.3">
      <c r="B300" s="131"/>
      <c r="C300" s="132"/>
      <c r="D300" s="16"/>
      <c r="E300" s="133"/>
      <c r="F300" s="134"/>
      <c r="G300" s="135"/>
      <c r="H300" s="135"/>
      <c r="I300" s="135"/>
      <c r="J300" s="135"/>
      <c r="K300" s="128"/>
      <c r="L300" s="128"/>
      <c r="M300" s="128"/>
      <c r="N300" s="128"/>
      <c r="O300" s="128"/>
      <c r="P300" s="128"/>
      <c r="Q300" s="128"/>
      <c r="R300" s="128"/>
      <c r="S300" s="128"/>
      <c r="T300" s="128"/>
      <c r="U300" s="128"/>
      <c r="V300" s="128"/>
      <c r="W300" s="141"/>
      <c r="X300" s="50"/>
      <c r="Y300" s="128"/>
    </row>
    <row r="301" spans="2:25" x14ac:dyDescent="0.3">
      <c r="B301" s="131"/>
      <c r="C301" s="132"/>
      <c r="D301" s="16"/>
      <c r="E301" s="133"/>
      <c r="F301" s="134"/>
      <c r="G301" s="135"/>
      <c r="H301" s="135"/>
      <c r="I301" s="135"/>
      <c r="J301" s="135"/>
      <c r="K301" s="128"/>
      <c r="L301" s="128"/>
      <c r="M301" s="128"/>
      <c r="N301" s="128"/>
      <c r="O301" s="128"/>
      <c r="P301" s="128"/>
      <c r="Q301" s="128"/>
      <c r="R301" s="128"/>
      <c r="S301" s="128"/>
      <c r="T301" s="128"/>
      <c r="U301" s="128"/>
      <c r="V301" s="128"/>
      <c r="W301" s="141"/>
      <c r="X301" s="50"/>
      <c r="Y301" s="128"/>
    </row>
    <row r="302" spans="2:25" x14ac:dyDescent="0.3">
      <c r="B302" s="131"/>
      <c r="C302" s="132"/>
      <c r="D302" s="16"/>
      <c r="E302" s="133"/>
      <c r="F302" s="134"/>
      <c r="G302" s="135"/>
      <c r="H302" s="135"/>
      <c r="I302" s="135"/>
      <c r="J302" s="135"/>
      <c r="K302" s="128"/>
      <c r="L302" s="128"/>
      <c r="M302" s="128"/>
      <c r="N302" s="128"/>
      <c r="O302" s="128"/>
      <c r="P302" s="128"/>
      <c r="Q302" s="128"/>
      <c r="R302" s="128"/>
      <c r="S302" s="128"/>
      <c r="T302" s="128"/>
      <c r="U302" s="128"/>
      <c r="V302" s="128"/>
      <c r="W302" s="141"/>
      <c r="X302" s="50"/>
      <c r="Y302" s="128"/>
    </row>
    <row r="303" spans="2:25" x14ac:dyDescent="0.3">
      <c r="B303" s="131"/>
      <c r="C303" s="132"/>
      <c r="D303" s="16"/>
      <c r="E303" s="133"/>
      <c r="F303" s="134"/>
      <c r="G303" s="135"/>
      <c r="H303" s="135"/>
      <c r="I303" s="135"/>
      <c r="J303" s="135"/>
      <c r="K303" s="128"/>
      <c r="L303" s="128"/>
      <c r="M303" s="128"/>
      <c r="N303" s="128"/>
      <c r="O303" s="128"/>
      <c r="P303" s="128"/>
      <c r="Q303" s="128"/>
      <c r="R303" s="128"/>
      <c r="S303" s="128"/>
      <c r="T303" s="128"/>
      <c r="U303" s="128"/>
      <c r="V303" s="128"/>
      <c r="W303" s="141"/>
      <c r="X303" s="50"/>
      <c r="Y303" s="128"/>
    </row>
    <row r="304" spans="2:25" x14ac:dyDescent="0.3">
      <c r="B304" s="131"/>
      <c r="C304" s="132"/>
      <c r="D304" s="16"/>
      <c r="E304" s="133"/>
      <c r="F304" s="134"/>
      <c r="G304" s="135"/>
      <c r="H304" s="135"/>
      <c r="I304" s="135"/>
      <c r="J304" s="135"/>
      <c r="K304" s="128"/>
      <c r="L304" s="128"/>
      <c r="M304" s="128"/>
      <c r="N304" s="128"/>
      <c r="O304" s="128"/>
      <c r="P304" s="128"/>
      <c r="Q304" s="128"/>
      <c r="R304" s="128"/>
      <c r="S304" s="128"/>
      <c r="T304" s="128"/>
      <c r="U304" s="128"/>
      <c r="V304" s="128"/>
      <c r="W304" s="141"/>
      <c r="X304" s="50"/>
      <c r="Y304" s="128"/>
    </row>
    <row r="305" spans="2:25" x14ac:dyDescent="0.3">
      <c r="B305" s="131"/>
      <c r="C305" s="132"/>
      <c r="D305" s="16"/>
      <c r="E305" s="133"/>
      <c r="F305" s="134"/>
      <c r="G305" s="135"/>
      <c r="H305" s="135"/>
      <c r="I305" s="135"/>
      <c r="J305" s="135"/>
      <c r="K305" s="128"/>
      <c r="L305" s="128"/>
      <c r="M305" s="128"/>
      <c r="N305" s="128"/>
      <c r="O305" s="128"/>
      <c r="P305" s="128"/>
      <c r="Q305" s="128"/>
      <c r="R305" s="128"/>
      <c r="S305" s="128"/>
      <c r="T305" s="128"/>
      <c r="U305" s="128"/>
      <c r="V305" s="128"/>
      <c r="W305" s="141"/>
      <c r="X305" s="50"/>
      <c r="Y305" s="128"/>
    </row>
    <row r="306" spans="2:25" x14ac:dyDescent="0.3">
      <c r="B306" s="131"/>
      <c r="C306" s="132"/>
      <c r="D306" s="16"/>
      <c r="E306" s="133"/>
      <c r="F306" s="134"/>
      <c r="G306" s="135"/>
      <c r="H306" s="135"/>
      <c r="I306" s="135"/>
      <c r="J306" s="135"/>
      <c r="K306" s="128"/>
      <c r="L306" s="128"/>
      <c r="M306" s="128"/>
      <c r="N306" s="128"/>
      <c r="O306" s="128"/>
      <c r="P306" s="128"/>
      <c r="Q306" s="128"/>
      <c r="R306" s="128"/>
      <c r="S306" s="128"/>
      <c r="T306" s="128"/>
      <c r="U306" s="128"/>
      <c r="V306" s="128"/>
      <c r="W306" s="141"/>
      <c r="X306" s="50"/>
      <c r="Y306" s="128"/>
    </row>
    <row r="307" spans="2:25" x14ac:dyDescent="0.3">
      <c r="B307" s="131"/>
      <c r="C307" s="132"/>
      <c r="D307" s="16"/>
      <c r="E307" s="133"/>
      <c r="F307" s="134"/>
      <c r="G307" s="135"/>
      <c r="H307" s="135"/>
      <c r="I307" s="135"/>
      <c r="J307" s="135"/>
      <c r="K307" s="128"/>
      <c r="L307" s="128"/>
      <c r="M307" s="128"/>
      <c r="N307" s="128"/>
      <c r="O307" s="128"/>
      <c r="P307" s="128"/>
      <c r="Q307" s="128"/>
      <c r="R307" s="128"/>
      <c r="S307" s="128"/>
      <c r="T307" s="128"/>
      <c r="U307" s="128"/>
      <c r="V307" s="128"/>
      <c r="W307" s="141"/>
      <c r="X307" s="50"/>
      <c r="Y307" s="128"/>
    </row>
    <row r="308" spans="2:25" x14ac:dyDescent="0.3">
      <c r="B308" s="131"/>
      <c r="C308" s="132"/>
      <c r="D308" s="16"/>
      <c r="E308" s="133"/>
      <c r="F308" s="134"/>
      <c r="G308" s="135"/>
      <c r="H308" s="135"/>
      <c r="I308" s="135"/>
      <c r="J308" s="135"/>
      <c r="K308" s="128"/>
      <c r="L308" s="128"/>
      <c r="M308" s="128"/>
      <c r="N308" s="128"/>
      <c r="O308" s="128"/>
      <c r="P308" s="128"/>
      <c r="Q308" s="128"/>
      <c r="R308" s="128"/>
      <c r="S308" s="128"/>
      <c r="T308" s="128"/>
      <c r="U308" s="128"/>
      <c r="V308" s="128"/>
      <c r="W308" s="141"/>
      <c r="X308" s="50"/>
      <c r="Y308" s="128"/>
    </row>
    <row r="309" spans="2:25" x14ac:dyDescent="0.3">
      <c r="B309" s="131"/>
      <c r="C309" s="132"/>
      <c r="D309" s="16"/>
      <c r="E309" s="133"/>
      <c r="F309" s="134"/>
      <c r="G309" s="135"/>
      <c r="H309" s="135"/>
      <c r="I309" s="135"/>
      <c r="J309" s="135"/>
      <c r="K309" s="128"/>
      <c r="L309" s="128"/>
      <c r="M309" s="128"/>
      <c r="N309" s="128"/>
      <c r="O309" s="128"/>
      <c r="P309" s="128"/>
      <c r="Q309" s="128"/>
      <c r="R309" s="128"/>
      <c r="S309" s="128"/>
      <c r="T309" s="128"/>
      <c r="U309" s="128"/>
      <c r="V309" s="128"/>
      <c r="W309" s="141"/>
      <c r="X309" s="50"/>
      <c r="Y309" s="128"/>
    </row>
    <row r="310" spans="2:25" x14ac:dyDescent="0.3">
      <c r="B310" s="131"/>
      <c r="C310" s="132"/>
      <c r="D310" s="16"/>
      <c r="E310" s="133"/>
      <c r="F310" s="134"/>
      <c r="G310" s="135"/>
      <c r="H310" s="135"/>
      <c r="I310" s="135"/>
      <c r="J310" s="135"/>
      <c r="K310" s="128"/>
      <c r="L310" s="128"/>
      <c r="M310" s="128"/>
      <c r="N310" s="128"/>
      <c r="O310" s="128"/>
      <c r="P310" s="128"/>
      <c r="Q310" s="128"/>
      <c r="R310" s="128"/>
      <c r="S310" s="128"/>
      <c r="T310" s="128"/>
      <c r="U310" s="128"/>
      <c r="V310" s="128"/>
      <c r="W310" s="141"/>
      <c r="X310" s="50"/>
      <c r="Y310" s="128"/>
    </row>
    <row r="311" spans="2:25" x14ac:dyDescent="0.3">
      <c r="B311" s="131"/>
      <c r="C311" s="132"/>
      <c r="D311" s="16"/>
      <c r="E311" s="133"/>
      <c r="F311" s="134"/>
      <c r="G311" s="135"/>
      <c r="H311" s="135"/>
      <c r="I311" s="135"/>
      <c r="J311" s="135"/>
      <c r="K311" s="128"/>
      <c r="L311" s="128"/>
      <c r="M311" s="128"/>
      <c r="N311" s="128"/>
      <c r="O311" s="128"/>
      <c r="P311" s="128"/>
      <c r="Q311" s="128"/>
      <c r="R311" s="128"/>
      <c r="S311" s="128"/>
      <c r="T311" s="128"/>
      <c r="U311" s="128"/>
      <c r="V311" s="128"/>
      <c r="W311" s="141"/>
      <c r="X311" s="50"/>
      <c r="Y311" s="128"/>
    </row>
    <row r="312" spans="2:25" x14ac:dyDescent="0.3">
      <c r="B312" s="131"/>
      <c r="C312" s="132"/>
      <c r="D312" s="16"/>
      <c r="E312" s="133"/>
      <c r="F312" s="134"/>
      <c r="G312" s="135"/>
      <c r="H312" s="135"/>
      <c r="I312" s="135"/>
      <c r="J312" s="135"/>
      <c r="K312" s="128"/>
      <c r="L312" s="128"/>
      <c r="M312" s="128"/>
      <c r="N312" s="128"/>
      <c r="O312" s="128"/>
      <c r="P312" s="128"/>
      <c r="Q312" s="128"/>
      <c r="R312" s="128"/>
      <c r="S312" s="128"/>
      <c r="T312" s="128"/>
      <c r="U312" s="128"/>
      <c r="V312" s="128"/>
      <c r="W312" s="141"/>
      <c r="X312" s="50"/>
      <c r="Y312" s="128"/>
    </row>
    <row r="313" spans="2:25" x14ac:dyDescent="0.3">
      <c r="B313" s="131"/>
      <c r="C313" s="132"/>
      <c r="D313" s="16"/>
      <c r="E313" s="133"/>
      <c r="F313" s="134"/>
      <c r="G313" s="135"/>
      <c r="H313" s="135"/>
      <c r="I313" s="135"/>
      <c r="J313" s="135"/>
      <c r="K313" s="128"/>
      <c r="L313" s="128"/>
      <c r="M313" s="128"/>
      <c r="N313" s="128"/>
      <c r="O313" s="128"/>
      <c r="P313" s="128"/>
      <c r="Q313" s="128"/>
      <c r="R313" s="128"/>
      <c r="S313" s="128"/>
      <c r="T313" s="128"/>
      <c r="U313" s="128"/>
      <c r="V313" s="128"/>
      <c r="W313" s="141"/>
      <c r="X313" s="50"/>
      <c r="Y313" s="128"/>
    </row>
    <row r="314" spans="2:25" x14ac:dyDescent="0.3">
      <c r="B314" s="131"/>
      <c r="C314" s="132"/>
      <c r="D314" s="16"/>
      <c r="E314" s="133"/>
      <c r="F314" s="134"/>
      <c r="G314" s="135"/>
      <c r="H314" s="135"/>
      <c r="I314" s="135"/>
      <c r="J314" s="135"/>
      <c r="K314" s="128"/>
      <c r="L314" s="128"/>
      <c r="M314" s="128"/>
      <c r="N314" s="128"/>
      <c r="O314" s="128"/>
      <c r="P314" s="128"/>
      <c r="Q314" s="128"/>
      <c r="R314" s="128"/>
      <c r="S314" s="128"/>
      <c r="T314" s="128"/>
      <c r="U314" s="128"/>
      <c r="V314" s="128"/>
      <c r="W314" s="141"/>
      <c r="X314" s="50"/>
      <c r="Y314" s="128"/>
    </row>
    <row r="315" spans="2:25" x14ac:dyDescent="0.3">
      <c r="B315" s="131"/>
      <c r="C315" s="132"/>
      <c r="D315" s="16"/>
      <c r="E315" s="133"/>
      <c r="F315" s="134"/>
      <c r="G315" s="135"/>
      <c r="H315" s="135"/>
      <c r="I315" s="135"/>
      <c r="J315" s="135"/>
      <c r="K315" s="128"/>
      <c r="L315" s="128"/>
      <c r="M315" s="128"/>
      <c r="N315" s="128"/>
      <c r="O315" s="128"/>
      <c r="P315" s="128"/>
      <c r="Q315" s="128"/>
      <c r="R315" s="128"/>
      <c r="S315" s="128"/>
      <c r="T315" s="128"/>
      <c r="U315" s="128"/>
      <c r="V315" s="128"/>
      <c r="W315" s="141"/>
      <c r="X315" s="50"/>
      <c r="Y315" s="128"/>
    </row>
    <row r="316" spans="2:25" x14ac:dyDescent="0.3">
      <c r="B316" s="131"/>
      <c r="C316" s="132"/>
      <c r="D316" s="16"/>
      <c r="E316" s="133"/>
      <c r="F316" s="134"/>
      <c r="G316" s="135"/>
      <c r="H316" s="135"/>
      <c r="I316" s="135"/>
      <c r="J316" s="135"/>
      <c r="K316" s="128"/>
      <c r="L316" s="128"/>
      <c r="M316" s="128"/>
      <c r="N316" s="128"/>
      <c r="O316" s="128"/>
      <c r="P316" s="128"/>
      <c r="Q316" s="128"/>
      <c r="R316" s="128"/>
      <c r="S316" s="128"/>
      <c r="T316" s="128"/>
      <c r="U316" s="128"/>
      <c r="V316" s="128"/>
      <c r="W316" s="141"/>
      <c r="X316" s="50"/>
      <c r="Y316" s="128"/>
    </row>
    <row r="317" spans="2:25" x14ac:dyDescent="0.3">
      <c r="B317" s="131"/>
      <c r="C317" s="132"/>
      <c r="D317" s="16"/>
      <c r="E317" s="133"/>
      <c r="F317" s="134"/>
      <c r="G317" s="135"/>
      <c r="H317" s="135"/>
      <c r="I317" s="135"/>
      <c r="J317" s="135"/>
      <c r="K317" s="128"/>
      <c r="L317" s="128"/>
      <c r="M317" s="128"/>
      <c r="N317" s="128"/>
      <c r="O317" s="128"/>
      <c r="P317" s="128"/>
      <c r="Q317" s="128"/>
      <c r="R317" s="128"/>
      <c r="S317" s="128"/>
      <c r="T317" s="128"/>
      <c r="U317" s="128"/>
      <c r="V317" s="128"/>
      <c r="W317" s="141"/>
      <c r="X317" s="50"/>
      <c r="Y317" s="128"/>
    </row>
    <row r="318" spans="2:25" x14ac:dyDescent="0.3">
      <c r="B318" s="131"/>
      <c r="C318" s="132"/>
      <c r="D318" s="16"/>
      <c r="E318" s="133"/>
      <c r="F318" s="134"/>
      <c r="G318" s="135"/>
      <c r="H318" s="135"/>
      <c r="I318" s="135"/>
      <c r="J318" s="135"/>
      <c r="K318" s="128"/>
      <c r="L318" s="128"/>
      <c r="M318" s="128"/>
      <c r="N318" s="128"/>
      <c r="O318" s="128"/>
      <c r="P318" s="128"/>
      <c r="Q318" s="128"/>
      <c r="R318" s="128"/>
      <c r="S318" s="128"/>
      <c r="T318" s="128"/>
      <c r="U318" s="128"/>
      <c r="V318" s="128"/>
      <c r="W318" s="141"/>
      <c r="X318" s="50"/>
      <c r="Y318" s="128"/>
    </row>
    <row r="319" spans="2:25" x14ac:dyDescent="0.3">
      <c r="B319" s="131"/>
      <c r="C319" s="132"/>
      <c r="D319" s="16"/>
      <c r="E319" s="133"/>
      <c r="F319" s="134"/>
      <c r="G319" s="135"/>
      <c r="H319" s="135"/>
      <c r="I319" s="135"/>
      <c r="J319" s="135"/>
      <c r="K319" s="128"/>
      <c r="L319" s="128"/>
      <c r="M319" s="128"/>
      <c r="N319" s="128"/>
      <c r="O319" s="128"/>
      <c r="P319" s="128"/>
      <c r="Q319" s="128"/>
      <c r="R319" s="128"/>
      <c r="S319" s="128"/>
      <c r="T319" s="128"/>
      <c r="U319" s="128"/>
      <c r="V319" s="128"/>
      <c r="W319" s="141"/>
      <c r="X319" s="50"/>
      <c r="Y319" s="128"/>
    </row>
    <row r="320" spans="2:25" x14ac:dyDescent="0.3">
      <c r="B320" s="131"/>
      <c r="C320" s="132"/>
      <c r="D320" s="16"/>
      <c r="E320" s="133"/>
      <c r="F320" s="134"/>
      <c r="G320" s="135"/>
      <c r="H320" s="135"/>
      <c r="I320" s="135"/>
      <c r="J320" s="135"/>
      <c r="K320" s="128"/>
      <c r="L320" s="128"/>
      <c r="M320" s="128"/>
      <c r="N320" s="128"/>
      <c r="O320" s="128"/>
      <c r="P320" s="128"/>
      <c r="Q320" s="128"/>
      <c r="R320" s="128"/>
      <c r="S320" s="128"/>
      <c r="T320" s="128"/>
      <c r="U320" s="128"/>
      <c r="V320" s="128"/>
      <c r="W320" s="141"/>
      <c r="X320" s="50"/>
      <c r="Y320" s="128"/>
    </row>
    <row r="321" spans="2:25" x14ac:dyDescent="0.3">
      <c r="B321" s="131"/>
      <c r="C321" s="132"/>
      <c r="D321" s="16"/>
      <c r="E321" s="133"/>
      <c r="F321" s="134"/>
      <c r="G321" s="135"/>
      <c r="H321" s="135"/>
      <c r="I321" s="135"/>
      <c r="J321" s="135"/>
      <c r="K321" s="128"/>
      <c r="L321" s="128"/>
      <c r="M321" s="128"/>
      <c r="N321" s="128"/>
      <c r="O321" s="128"/>
      <c r="P321" s="128"/>
      <c r="Q321" s="128"/>
      <c r="R321" s="128"/>
      <c r="S321" s="128"/>
      <c r="T321" s="128"/>
      <c r="U321" s="128"/>
      <c r="V321" s="128"/>
      <c r="W321" s="141"/>
      <c r="X321" s="50"/>
      <c r="Y321" s="128"/>
    </row>
    <row r="322" spans="2:25" x14ac:dyDescent="0.3">
      <c r="B322" s="131"/>
      <c r="C322" s="132"/>
      <c r="D322" s="16"/>
      <c r="E322" s="133"/>
      <c r="F322" s="134"/>
      <c r="G322" s="135"/>
      <c r="H322" s="135"/>
      <c r="I322" s="135"/>
      <c r="J322" s="135"/>
      <c r="K322" s="128"/>
      <c r="L322" s="128"/>
      <c r="M322" s="128"/>
      <c r="N322" s="128"/>
      <c r="O322" s="128"/>
      <c r="P322" s="128"/>
      <c r="Q322" s="128"/>
      <c r="R322" s="128"/>
      <c r="S322" s="128"/>
      <c r="T322" s="128"/>
      <c r="U322" s="128"/>
      <c r="V322" s="128"/>
      <c r="W322" s="141"/>
      <c r="X322" s="50"/>
      <c r="Y322" s="128"/>
    </row>
    <row r="323" spans="2:25" x14ac:dyDescent="0.3">
      <c r="B323" s="131"/>
      <c r="C323" s="132"/>
      <c r="D323" s="16"/>
      <c r="E323" s="133"/>
      <c r="F323" s="134"/>
      <c r="G323" s="135"/>
      <c r="H323" s="135"/>
      <c r="I323" s="135"/>
      <c r="J323" s="135"/>
      <c r="K323" s="128"/>
      <c r="L323" s="128"/>
      <c r="M323" s="128"/>
      <c r="N323" s="128"/>
      <c r="O323" s="128"/>
      <c r="P323" s="128"/>
      <c r="Q323" s="128"/>
      <c r="R323" s="128"/>
      <c r="S323" s="128"/>
      <c r="T323" s="128"/>
      <c r="U323" s="128"/>
      <c r="V323" s="128"/>
      <c r="W323" s="141"/>
      <c r="X323" s="50"/>
      <c r="Y323" s="128"/>
    </row>
    <row r="324" spans="2:25" x14ac:dyDescent="0.3">
      <c r="B324" s="131"/>
      <c r="C324" s="132"/>
      <c r="D324" s="16"/>
      <c r="E324" s="133"/>
      <c r="F324" s="134"/>
      <c r="G324" s="135"/>
      <c r="H324" s="135"/>
      <c r="I324" s="135"/>
      <c r="J324" s="135"/>
      <c r="K324" s="128"/>
      <c r="L324" s="128"/>
      <c r="M324" s="128"/>
      <c r="N324" s="128"/>
      <c r="O324" s="128"/>
      <c r="P324" s="128"/>
      <c r="Q324" s="128"/>
      <c r="R324" s="128"/>
      <c r="S324" s="128"/>
      <c r="T324" s="128"/>
      <c r="U324" s="128"/>
      <c r="V324" s="128"/>
      <c r="W324" s="141"/>
      <c r="X324" s="50"/>
      <c r="Y324" s="128"/>
    </row>
    <row r="325" spans="2:25" x14ac:dyDescent="0.3">
      <c r="B325" s="131"/>
      <c r="C325" s="132"/>
      <c r="D325" s="16"/>
      <c r="E325" s="133"/>
      <c r="F325" s="134"/>
      <c r="G325" s="135"/>
      <c r="H325" s="135"/>
      <c r="I325" s="135"/>
      <c r="J325" s="135"/>
      <c r="K325" s="128"/>
      <c r="L325" s="128"/>
      <c r="M325" s="128"/>
      <c r="N325" s="128"/>
      <c r="O325" s="128"/>
      <c r="P325" s="128"/>
      <c r="Q325" s="128"/>
      <c r="R325" s="128"/>
      <c r="S325" s="128"/>
      <c r="T325" s="128"/>
      <c r="U325" s="128"/>
      <c r="V325" s="128"/>
      <c r="W325" s="141"/>
      <c r="X325" s="50"/>
      <c r="Y325" s="128"/>
    </row>
    <row r="326" spans="2:25" x14ac:dyDescent="0.3">
      <c r="B326" s="131"/>
      <c r="C326" s="132"/>
      <c r="D326" s="16"/>
      <c r="E326" s="133"/>
      <c r="F326" s="134"/>
      <c r="G326" s="135"/>
      <c r="H326" s="135"/>
      <c r="I326" s="135"/>
      <c r="J326" s="135"/>
      <c r="K326" s="128"/>
      <c r="L326" s="128"/>
      <c r="M326" s="128"/>
      <c r="N326" s="128"/>
      <c r="O326" s="128"/>
      <c r="P326" s="128"/>
      <c r="Q326" s="128"/>
      <c r="R326" s="128"/>
      <c r="S326" s="128"/>
      <c r="T326" s="128"/>
      <c r="U326" s="128"/>
      <c r="V326" s="128"/>
      <c r="W326" s="141"/>
      <c r="X326" s="50"/>
      <c r="Y326" s="128"/>
    </row>
    <row r="327" spans="2:25" x14ac:dyDescent="0.3">
      <c r="B327" s="131"/>
      <c r="C327" s="132"/>
      <c r="D327" s="16"/>
      <c r="E327" s="133"/>
      <c r="F327" s="134"/>
      <c r="G327" s="135"/>
      <c r="H327" s="135"/>
      <c r="I327" s="135"/>
      <c r="J327" s="135"/>
      <c r="K327" s="128"/>
      <c r="L327" s="128"/>
      <c r="M327" s="128"/>
      <c r="N327" s="128"/>
      <c r="O327" s="128"/>
      <c r="P327" s="128"/>
      <c r="Q327" s="128"/>
      <c r="R327" s="128"/>
      <c r="S327" s="128"/>
      <c r="T327" s="128"/>
      <c r="U327" s="128"/>
      <c r="V327" s="128"/>
      <c r="W327" s="141"/>
      <c r="X327" s="50"/>
      <c r="Y327" s="128"/>
    </row>
    <row r="328" spans="2:25" x14ac:dyDescent="0.3">
      <c r="B328" s="131"/>
      <c r="C328" s="132"/>
      <c r="D328" s="16"/>
      <c r="E328" s="133"/>
      <c r="F328" s="134"/>
      <c r="G328" s="135"/>
      <c r="H328" s="135"/>
      <c r="I328" s="135"/>
      <c r="J328" s="135"/>
      <c r="K328" s="128"/>
      <c r="L328" s="128"/>
      <c r="M328" s="128"/>
      <c r="N328" s="128"/>
      <c r="O328" s="128"/>
      <c r="P328" s="128"/>
      <c r="Q328" s="128"/>
      <c r="R328" s="128"/>
      <c r="S328" s="128"/>
      <c r="T328" s="128"/>
      <c r="U328" s="128"/>
      <c r="V328" s="128"/>
      <c r="W328" s="141"/>
      <c r="X328" s="50"/>
      <c r="Y328" s="128"/>
    </row>
    <row r="329" spans="2:25" x14ac:dyDescent="0.3">
      <c r="B329" s="131"/>
      <c r="C329" s="132"/>
      <c r="D329" s="16"/>
      <c r="E329" s="133"/>
      <c r="F329" s="134"/>
      <c r="G329" s="135"/>
      <c r="H329" s="135"/>
      <c r="I329" s="135"/>
      <c r="J329" s="135"/>
      <c r="K329" s="128"/>
      <c r="L329" s="128"/>
      <c r="M329" s="128"/>
      <c r="N329" s="128"/>
      <c r="O329" s="128"/>
      <c r="P329" s="128"/>
      <c r="Q329" s="128"/>
      <c r="R329" s="128"/>
      <c r="S329" s="128"/>
      <c r="T329" s="128"/>
      <c r="U329" s="128"/>
      <c r="V329" s="128"/>
      <c r="W329" s="141"/>
      <c r="X329" s="50"/>
      <c r="Y329" s="128"/>
    </row>
    <row r="330" spans="2:25" x14ac:dyDescent="0.3">
      <c r="B330" s="131"/>
      <c r="C330" s="132"/>
      <c r="D330" s="16"/>
      <c r="E330" s="133"/>
      <c r="F330" s="134"/>
      <c r="G330" s="135"/>
      <c r="H330" s="135"/>
      <c r="I330" s="135"/>
      <c r="J330" s="135"/>
      <c r="K330" s="128"/>
      <c r="L330" s="128"/>
      <c r="M330" s="128"/>
      <c r="N330" s="128"/>
      <c r="O330" s="128"/>
      <c r="P330" s="128"/>
      <c r="Q330" s="128"/>
      <c r="R330" s="128"/>
      <c r="S330" s="128"/>
      <c r="T330" s="128"/>
      <c r="U330" s="128"/>
      <c r="V330" s="128"/>
      <c r="W330" s="141"/>
      <c r="X330" s="50"/>
      <c r="Y330" s="128"/>
    </row>
    <row r="331" spans="2:25" x14ac:dyDescent="0.3">
      <c r="B331" s="131"/>
      <c r="C331" s="132"/>
      <c r="D331" s="16"/>
      <c r="E331" s="133"/>
      <c r="F331" s="134"/>
      <c r="G331" s="135"/>
      <c r="H331" s="135"/>
      <c r="I331" s="135"/>
      <c r="J331" s="135"/>
      <c r="K331" s="128"/>
      <c r="L331" s="128"/>
      <c r="M331" s="128"/>
      <c r="N331" s="128"/>
      <c r="O331" s="128"/>
      <c r="P331" s="128"/>
      <c r="Q331" s="128"/>
      <c r="R331" s="128"/>
      <c r="S331" s="128"/>
      <c r="T331" s="128"/>
      <c r="U331" s="128"/>
      <c r="V331" s="128"/>
      <c r="W331" s="141"/>
      <c r="X331" s="50"/>
      <c r="Y331" s="128"/>
    </row>
    <row r="332" spans="2:25" x14ac:dyDescent="0.3">
      <c r="B332" s="131"/>
      <c r="C332" s="132"/>
      <c r="D332" s="16"/>
      <c r="E332" s="133"/>
      <c r="F332" s="134"/>
      <c r="G332" s="135"/>
      <c r="H332" s="135"/>
      <c r="I332" s="135"/>
      <c r="J332" s="135"/>
      <c r="K332" s="128"/>
      <c r="L332" s="128"/>
      <c r="M332" s="128"/>
      <c r="N332" s="128"/>
      <c r="O332" s="128"/>
      <c r="P332" s="128"/>
      <c r="Q332" s="128"/>
      <c r="R332" s="128"/>
      <c r="S332" s="128"/>
      <c r="T332" s="128"/>
      <c r="U332" s="128"/>
      <c r="V332" s="128"/>
      <c r="W332" s="141"/>
      <c r="X332" s="50"/>
      <c r="Y332" s="128"/>
    </row>
    <row r="333" spans="2:25" x14ac:dyDescent="0.3">
      <c r="B333" s="131"/>
      <c r="C333" s="132"/>
      <c r="D333" s="16"/>
      <c r="E333" s="133"/>
      <c r="F333" s="134"/>
      <c r="G333" s="135"/>
      <c r="H333" s="135"/>
      <c r="I333" s="135"/>
      <c r="J333" s="135"/>
      <c r="K333" s="128"/>
      <c r="L333" s="128"/>
      <c r="M333" s="128"/>
      <c r="N333" s="128"/>
      <c r="O333" s="128"/>
      <c r="P333" s="128"/>
      <c r="Q333" s="128"/>
      <c r="R333" s="128"/>
      <c r="S333" s="128"/>
      <c r="T333" s="128"/>
      <c r="U333" s="128"/>
      <c r="V333" s="128"/>
      <c r="W333" s="141"/>
      <c r="X333" s="50"/>
      <c r="Y333" s="128"/>
    </row>
    <row r="334" spans="2:25" x14ac:dyDescent="0.3">
      <c r="B334" s="131"/>
      <c r="C334" s="132"/>
      <c r="D334" s="16"/>
      <c r="E334" s="133"/>
      <c r="F334" s="134"/>
      <c r="G334" s="135"/>
      <c r="H334" s="135"/>
      <c r="I334" s="135"/>
      <c r="J334" s="135"/>
      <c r="K334" s="128"/>
      <c r="L334" s="128"/>
      <c r="M334" s="128"/>
      <c r="N334" s="128"/>
      <c r="O334" s="128"/>
      <c r="P334" s="128"/>
      <c r="Q334" s="128"/>
      <c r="R334" s="128"/>
      <c r="S334" s="128"/>
      <c r="T334" s="128"/>
      <c r="U334" s="128"/>
      <c r="V334" s="128"/>
      <c r="W334" s="141"/>
      <c r="X334" s="50"/>
      <c r="Y334" s="128"/>
    </row>
    <row r="335" spans="2:25" x14ac:dyDescent="0.3">
      <c r="B335" s="131"/>
      <c r="C335" s="132"/>
      <c r="D335" s="16"/>
      <c r="E335" s="133"/>
      <c r="F335" s="134"/>
      <c r="G335" s="135"/>
      <c r="H335" s="135"/>
      <c r="I335" s="135"/>
      <c r="J335" s="135"/>
      <c r="K335" s="128"/>
      <c r="L335" s="128"/>
      <c r="M335" s="128"/>
      <c r="N335" s="128"/>
      <c r="O335" s="128"/>
      <c r="P335" s="128"/>
      <c r="Q335" s="128"/>
      <c r="R335" s="128"/>
      <c r="S335" s="128"/>
      <c r="T335" s="128"/>
      <c r="U335" s="128"/>
      <c r="V335" s="128"/>
      <c r="W335" s="141"/>
      <c r="X335" s="50"/>
      <c r="Y335" s="128"/>
    </row>
    <row r="336" spans="2:25" x14ac:dyDescent="0.3">
      <c r="B336" s="131"/>
      <c r="C336" s="132"/>
      <c r="D336" s="16"/>
      <c r="E336" s="133"/>
      <c r="F336" s="134"/>
      <c r="G336" s="135"/>
      <c r="H336" s="135"/>
      <c r="I336" s="135"/>
      <c r="J336" s="135"/>
      <c r="K336" s="128"/>
      <c r="L336" s="128"/>
      <c r="M336" s="128"/>
      <c r="N336" s="128"/>
      <c r="O336" s="128"/>
      <c r="P336" s="128"/>
      <c r="Q336" s="128"/>
      <c r="R336" s="128"/>
      <c r="S336" s="128"/>
      <c r="T336" s="128"/>
      <c r="U336" s="128"/>
      <c r="V336" s="128"/>
      <c r="W336" s="141"/>
      <c r="X336" s="50"/>
      <c r="Y336" s="128"/>
    </row>
    <row r="337" spans="2:25" x14ac:dyDescent="0.3">
      <c r="B337" s="131"/>
      <c r="C337" s="132"/>
      <c r="D337" s="16"/>
      <c r="E337" s="133"/>
      <c r="F337" s="134"/>
      <c r="G337" s="135"/>
      <c r="H337" s="135"/>
      <c r="I337" s="135"/>
      <c r="J337" s="135"/>
      <c r="K337" s="128"/>
      <c r="L337" s="128"/>
      <c r="M337" s="128"/>
      <c r="N337" s="128"/>
      <c r="O337" s="128"/>
      <c r="P337" s="128"/>
      <c r="Q337" s="128"/>
      <c r="R337" s="128"/>
      <c r="S337" s="128"/>
      <c r="T337" s="128"/>
      <c r="U337" s="128"/>
      <c r="V337" s="128"/>
      <c r="W337" s="141"/>
      <c r="X337" s="50"/>
      <c r="Y337" s="128"/>
    </row>
    <row r="338" spans="2:25" x14ac:dyDescent="0.3">
      <c r="B338" s="131"/>
      <c r="C338" s="132"/>
      <c r="D338" s="16"/>
      <c r="E338" s="133"/>
      <c r="F338" s="134"/>
      <c r="G338" s="135"/>
      <c r="H338" s="135"/>
      <c r="I338" s="135"/>
      <c r="J338" s="135"/>
      <c r="K338" s="128"/>
      <c r="L338" s="128"/>
      <c r="M338" s="128"/>
      <c r="N338" s="128"/>
      <c r="O338" s="128"/>
      <c r="P338" s="128"/>
      <c r="Q338" s="128"/>
      <c r="R338" s="128"/>
      <c r="S338" s="128"/>
      <c r="T338" s="128"/>
      <c r="U338" s="128"/>
      <c r="V338" s="128"/>
      <c r="W338" s="141"/>
      <c r="X338" s="50"/>
      <c r="Y338" s="128"/>
    </row>
    <row r="339" spans="2:25" x14ac:dyDescent="0.3">
      <c r="B339" s="131"/>
      <c r="C339" s="132"/>
      <c r="D339" s="16"/>
      <c r="E339" s="133"/>
      <c r="F339" s="134"/>
      <c r="G339" s="135"/>
      <c r="H339" s="135"/>
      <c r="I339" s="135"/>
      <c r="J339" s="135"/>
      <c r="K339" s="128"/>
      <c r="L339" s="128"/>
      <c r="M339" s="128"/>
      <c r="N339" s="128"/>
      <c r="O339" s="128"/>
      <c r="P339" s="128"/>
      <c r="Q339" s="128"/>
      <c r="R339" s="128"/>
      <c r="S339" s="128"/>
      <c r="T339" s="128"/>
      <c r="U339" s="128"/>
      <c r="V339" s="128"/>
      <c r="W339" s="141"/>
      <c r="X339" s="50"/>
      <c r="Y339" s="128"/>
    </row>
    <row r="340" spans="2:25" x14ac:dyDescent="0.3">
      <c r="B340" s="131"/>
      <c r="C340" s="132"/>
      <c r="D340" s="16"/>
      <c r="E340" s="133"/>
      <c r="F340" s="134"/>
      <c r="G340" s="135"/>
      <c r="H340" s="135"/>
      <c r="I340" s="135"/>
      <c r="J340" s="135"/>
      <c r="K340" s="128"/>
      <c r="L340" s="128"/>
      <c r="M340" s="128"/>
      <c r="N340" s="128"/>
      <c r="O340" s="128"/>
      <c r="P340" s="128"/>
      <c r="Q340" s="128"/>
      <c r="R340" s="128"/>
      <c r="S340" s="128"/>
      <c r="T340" s="128"/>
      <c r="U340" s="128"/>
      <c r="V340" s="128"/>
      <c r="W340" s="141"/>
      <c r="X340" s="50"/>
      <c r="Y340" s="128"/>
    </row>
    <row r="341" spans="2:25" x14ac:dyDescent="0.3">
      <c r="B341" s="131"/>
      <c r="C341" s="132"/>
      <c r="D341" s="16"/>
      <c r="E341" s="133"/>
      <c r="F341" s="134"/>
      <c r="G341" s="135"/>
      <c r="H341" s="135"/>
      <c r="I341" s="135"/>
      <c r="J341" s="135"/>
      <c r="K341" s="128"/>
      <c r="L341" s="128"/>
      <c r="M341" s="128"/>
      <c r="N341" s="128"/>
      <c r="O341" s="128"/>
      <c r="P341" s="128"/>
      <c r="Q341" s="128"/>
      <c r="R341" s="128"/>
      <c r="S341" s="128"/>
      <c r="T341" s="128"/>
      <c r="U341" s="128"/>
      <c r="V341" s="128"/>
      <c r="W341" s="141"/>
      <c r="X341" s="50"/>
      <c r="Y341" s="128"/>
    </row>
    <row r="342" spans="2:25" x14ac:dyDescent="0.3">
      <c r="B342" s="131"/>
      <c r="C342" s="132"/>
      <c r="D342" s="16"/>
      <c r="E342" s="133"/>
      <c r="F342" s="134"/>
      <c r="G342" s="135"/>
      <c r="H342" s="135"/>
      <c r="I342" s="135"/>
      <c r="J342" s="135"/>
      <c r="K342" s="128"/>
      <c r="L342" s="128"/>
      <c r="M342" s="128"/>
      <c r="N342" s="128"/>
      <c r="O342" s="128"/>
      <c r="P342" s="128"/>
      <c r="Q342" s="128"/>
      <c r="R342" s="128"/>
      <c r="S342" s="128"/>
      <c r="T342" s="128"/>
      <c r="U342" s="128"/>
      <c r="V342" s="128"/>
      <c r="W342" s="141"/>
      <c r="X342" s="50"/>
      <c r="Y342" s="128"/>
    </row>
    <row r="343" spans="2:25" x14ac:dyDescent="0.3">
      <c r="B343" s="131"/>
      <c r="C343" s="132"/>
      <c r="D343" s="16"/>
      <c r="E343" s="133"/>
      <c r="F343" s="134"/>
      <c r="G343" s="135"/>
      <c r="H343" s="135"/>
      <c r="I343" s="135"/>
      <c r="J343" s="135"/>
      <c r="K343" s="128"/>
      <c r="L343" s="128"/>
      <c r="M343" s="128"/>
      <c r="N343" s="128"/>
      <c r="O343" s="128"/>
      <c r="P343" s="128"/>
      <c r="Q343" s="128"/>
      <c r="R343" s="128"/>
      <c r="S343" s="128"/>
      <c r="T343" s="128"/>
      <c r="U343" s="128"/>
      <c r="V343" s="128"/>
      <c r="W343" s="141"/>
      <c r="X343" s="50"/>
      <c r="Y343" s="128"/>
    </row>
    <row r="344" spans="2:25" x14ac:dyDescent="0.3">
      <c r="B344" s="131"/>
      <c r="C344" s="132"/>
      <c r="D344" s="16"/>
      <c r="E344" s="133"/>
      <c r="F344" s="134"/>
      <c r="G344" s="135"/>
      <c r="H344" s="135"/>
      <c r="I344" s="135"/>
      <c r="J344" s="135"/>
      <c r="K344" s="128"/>
      <c r="L344" s="128"/>
      <c r="M344" s="128"/>
      <c r="N344" s="128"/>
      <c r="O344" s="128"/>
      <c r="P344" s="128"/>
      <c r="Q344" s="128"/>
      <c r="R344" s="128"/>
      <c r="S344" s="128"/>
      <c r="T344" s="128"/>
      <c r="U344" s="128"/>
      <c r="V344" s="128"/>
      <c r="W344" s="141"/>
      <c r="X344" s="50"/>
      <c r="Y344" s="128"/>
    </row>
    <row r="345" spans="2:25" x14ac:dyDescent="0.3">
      <c r="B345" s="131"/>
      <c r="C345" s="132"/>
      <c r="D345" s="16"/>
      <c r="E345" s="133"/>
      <c r="F345" s="134"/>
      <c r="G345" s="135"/>
      <c r="H345" s="135"/>
      <c r="I345" s="135"/>
      <c r="J345" s="135"/>
      <c r="K345" s="128"/>
      <c r="L345" s="128"/>
      <c r="M345" s="128"/>
      <c r="N345" s="128"/>
      <c r="O345" s="128"/>
      <c r="P345" s="128"/>
      <c r="Q345" s="128"/>
      <c r="R345" s="128"/>
      <c r="S345" s="128"/>
      <c r="T345" s="128"/>
      <c r="U345" s="128"/>
      <c r="V345" s="128"/>
      <c r="W345" s="141"/>
      <c r="X345" s="50"/>
      <c r="Y345" s="128"/>
    </row>
    <row r="346" spans="2:25" x14ac:dyDescent="0.3">
      <c r="B346" s="131"/>
      <c r="C346" s="132"/>
      <c r="D346" s="16"/>
      <c r="E346" s="133"/>
      <c r="F346" s="134"/>
      <c r="G346" s="135"/>
      <c r="H346" s="135"/>
      <c r="I346" s="135"/>
      <c r="J346" s="135"/>
      <c r="K346" s="128"/>
      <c r="L346" s="128"/>
      <c r="M346" s="128"/>
      <c r="N346" s="128"/>
      <c r="O346" s="128"/>
      <c r="P346" s="128"/>
      <c r="Q346" s="128"/>
      <c r="R346" s="128"/>
      <c r="S346" s="128"/>
      <c r="T346" s="128"/>
      <c r="U346" s="128"/>
      <c r="V346" s="128"/>
      <c r="W346" s="141"/>
      <c r="X346" s="50"/>
      <c r="Y346" s="128"/>
    </row>
    <row r="347" spans="2:25" x14ac:dyDescent="0.3">
      <c r="B347" s="131"/>
      <c r="C347" s="132"/>
      <c r="D347" s="16"/>
      <c r="E347" s="133"/>
      <c r="F347" s="134"/>
      <c r="G347" s="135"/>
      <c r="H347" s="135"/>
      <c r="I347" s="135"/>
      <c r="J347" s="135"/>
      <c r="K347" s="128"/>
      <c r="L347" s="128"/>
      <c r="M347" s="128"/>
      <c r="N347" s="128"/>
      <c r="O347" s="128"/>
      <c r="P347" s="128"/>
      <c r="Q347" s="128"/>
      <c r="R347" s="128"/>
      <c r="S347" s="128"/>
      <c r="T347" s="128"/>
      <c r="U347" s="128"/>
      <c r="V347" s="128"/>
      <c r="W347" s="141"/>
      <c r="X347" s="50"/>
      <c r="Y347" s="128"/>
    </row>
    <row r="348" spans="2:25" x14ac:dyDescent="0.3">
      <c r="B348" s="131"/>
      <c r="C348" s="132"/>
      <c r="D348" s="16"/>
      <c r="E348" s="133"/>
      <c r="F348" s="134"/>
      <c r="G348" s="135"/>
      <c r="H348" s="135"/>
      <c r="I348" s="135"/>
      <c r="J348" s="135"/>
      <c r="K348" s="128"/>
      <c r="L348" s="128"/>
      <c r="M348" s="128"/>
      <c r="N348" s="128"/>
      <c r="O348" s="128"/>
      <c r="P348" s="128"/>
      <c r="Q348" s="128"/>
      <c r="R348" s="128"/>
      <c r="S348" s="128"/>
      <c r="T348" s="128"/>
      <c r="U348" s="128"/>
      <c r="V348" s="128"/>
      <c r="W348" s="141"/>
      <c r="X348" s="50"/>
      <c r="Y348" s="128"/>
    </row>
    <row r="349" spans="2:25" x14ac:dyDescent="0.3">
      <c r="B349" s="131"/>
      <c r="C349" s="132"/>
      <c r="D349" s="16"/>
      <c r="E349" s="133"/>
      <c r="F349" s="134"/>
      <c r="G349" s="135"/>
      <c r="H349" s="135"/>
      <c r="I349" s="135"/>
      <c r="J349" s="135"/>
      <c r="K349" s="128"/>
      <c r="L349" s="128"/>
      <c r="M349" s="128"/>
      <c r="N349" s="128"/>
      <c r="O349" s="128"/>
      <c r="P349" s="128"/>
      <c r="Q349" s="128"/>
      <c r="R349" s="128"/>
      <c r="S349" s="128"/>
      <c r="T349" s="128"/>
      <c r="U349" s="128"/>
      <c r="V349" s="128"/>
      <c r="W349" s="141"/>
      <c r="X349" s="50"/>
      <c r="Y349" s="128"/>
    </row>
    <row r="350" spans="2:25" x14ac:dyDescent="0.3">
      <c r="B350" s="131"/>
      <c r="C350" s="132"/>
      <c r="D350" s="16"/>
      <c r="E350" s="133"/>
      <c r="F350" s="134"/>
      <c r="G350" s="135"/>
      <c r="H350" s="135"/>
      <c r="I350" s="135"/>
      <c r="J350" s="135"/>
      <c r="K350" s="128"/>
      <c r="L350" s="128"/>
      <c r="M350" s="128"/>
      <c r="N350" s="128"/>
      <c r="O350" s="128"/>
      <c r="P350" s="128"/>
      <c r="Q350" s="128"/>
      <c r="R350" s="128"/>
      <c r="S350" s="128"/>
      <c r="T350" s="128"/>
      <c r="U350" s="128"/>
      <c r="V350" s="128"/>
      <c r="W350" s="141"/>
      <c r="X350" s="50"/>
      <c r="Y350" s="128"/>
    </row>
    <row r="351" spans="2:25" x14ac:dyDescent="0.3">
      <c r="B351" s="131"/>
      <c r="C351" s="132"/>
      <c r="D351" s="16"/>
      <c r="E351" s="133"/>
      <c r="F351" s="134"/>
      <c r="G351" s="135"/>
      <c r="H351" s="135"/>
      <c r="I351" s="135"/>
      <c r="J351" s="135"/>
      <c r="K351" s="128"/>
      <c r="L351" s="128"/>
      <c r="M351" s="128"/>
      <c r="N351" s="128"/>
      <c r="O351" s="128"/>
      <c r="P351" s="128"/>
      <c r="Q351" s="128"/>
      <c r="R351" s="128"/>
      <c r="S351" s="128"/>
      <c r="T351" s="128"/>
      <c r="U351" s="128"/>
      <c r="V351" s="128"/>
      <c r="W351" s="141"/>
      <c r="X351" s="50"/>
      <c r="Y351" s="128"/>
    </row>
    <row r="352" spans="2:25" x14ac:dyDescent="0.3">
      <c r="B352" s="131"/>
      <c r="C352" s="132"/>
      <c r="D352" s="16"/>
      <c r="E352" s="133"/>
      <c r="F352" s="134"/>
      <c r="G352" s="135"/>
      <c r="H352" s="135"/>
      <c r="I352" s="135"/>
      <c r="J352" s="135"/>
      <c r="K352" s="128"/>
      <c r="L352" s="128"/>
      <c r="M352" s="128"/>
      <c r="N352" s="128"/>
      <c r="O352" s="128"/>
      <c r="P352" s="128"/>
      <c r="Q352" s="128"/>
      <c r="R352" s="128"/>
      <c r="S352" s="128"/>
      <c r="T352" s="128"/>
      <c r="U352" s="128"/>
      <c r="V352" s="128"/>
      <c r="W352" s="141"/>
      <c r="X352" s="50"/>
      <c r="Y352" s="128"/>
    </row>
    <row r="353" spans="2:25" x14ac:dyDescent="0.3">
      <c r="B353" s="131"/>
      <c r="C353" s="132"/>
      <c r="D353" s="16"/>
      <c r="E353" s="133"/>
      <c r="F353" s="134"/>
      <c r="G353" s="135"/>
      <c r="H353" s="135"/>
      <c r="I353" s="135"/>
      <c r="J353" s="135"/>
      <c r="K353" s="128"/>
      <c r="L353" s="128"/>
      <c r="M353" s="128"/>
      <c r="N353" s="128"/>
      <c r="O353" s="128"/>
      <c r="P353" s="128"/>
      <c r="Q353" s="128"/>
      <c r="R353" s="128"/>
      <c r="S353" s="128"/>
      <c r="T353" s="128"/>
      <c r="U353" s="128"/>
      <c r="V353" s="128"/>
      <c r="W353" s="141"/>
      <c r="X353" s="50"/>
      <c r="Y353" s="128"/>
    </row>
    <row r="354" spans="2:25" x14ac:dyDescent="0.3">
      <c r="B354" s="131"/>
      <c r="C354" s="132"/>
      <c r="D354" s="16"/>
      <c r="E354" s="133"/>
      <c r="F354" s="134"/>
      <c r="G354" s="135"/>
      <c r="H354" s="135"/>
      <c r="I354" s="135"/>
      <c r="J354" s="135"/>
      <c r="K354" s="128"/>
      <c r="L354" s="128"/>
      <c r="M354" s="128"/>
      <c r="N354" s="128"/>
      <c r="O354" s="128"/>
      <c r="P354" s="128"/>
      <c r="Q354" s="128"/>
      <c r="R354" s="128"/>
      <c r="S354" s="128"/>
      <c r="T354" s="128"/>
      <c r="U354" s="128"/>
      <c r="V354" s="128"/>
      <c r="W354" s="141"/>
      <c r="X354" s="50"/>
      <c r="Y354" s="128"/>
    </row>
    <row r="355" spans="2:25" x14ac:dyDescent="0.3">
      <c r="B355" s="131"/>
      <c r="C355" s="132"/>
      <c r="D355" s="16"/>
      <c r="E355" s="133"/>
      <c r="F355" s="134"/>
      <c r="G355" s="135"/>
      <c r="H355" s="135"/>
      <c r="I355" s="135"/>
      <c r="J355" s="135"/>
      <c r="K355" s="128"/>
      <c r="L355" s="128"/>
      <c r="M355" s="128"/>
      <c r="N355" s="128"/>
      <c r="O355" s="128"/>
      <c r="P355" s="128"/>
      <c r="Q355" s="128"/>
      <c r="R355" s="128"/>
      <c r="S355" s="128"/>
      <c r="T355" s="128"/>
      <c r="U355" s="128"/>
      <c r="V355" s="128"/>
      <c r="W355" s="141"/>
      <c r="X355" s="50"/>
      <c r="Y355" s="128"/>
    </row>
    <row r="356" spans="2:25" x14ac:dyDescent="0.3">
      <c r="B356" s="131"/>
      <c r="C356" s="132"/>
      <c r="D356" s="16"/>
      <c r="E356" s="133"/>
      <c r="F356" s="134"/>
      <c r="G356" s="135"/>
      <c r="H356" s="135"/>
      <c r="I356" s="135"/>
      <c r="J356" s="135"/>
      <c r="K356" s="128"/>
      <c r="L356" s="128"/>
      <c r="M356" s="128"/>
      <c r="N356" s="128"/>
      <c r="O356" s="128"/>
      <c r="P356" s="128"/>
      <c r="Q356" s="128"/>
      <c r="R356" s="128"/>
      <c r="S356" s="128"/>
      <c r="T356" s="128"/>
      <c r="U356" s="128"/>
      <c r="V356" s="128"/>
      <c r="W356" s="141"/>
      <c r="X356" s="50"/>
      <c r="Y356" s="128"/>
    </row>
    <row r="357" spans="2:25" x14ac:dyDescent="0.3">
      <c r="B357" s="131"/>
      <c r="C357" s="132"/>
      <c r="D357" s="16"/>
      <c r="E357" s="133"/>
      <c r="F357" s="134"/>
      <c r="G357" s="135"/>
      <c r="H357" s="135"/>
      <c r="I357" s="135"/>
      <c r="J357" s="135"/>
      <c r="K357" s="128"/>
      <c r="L357" s="128"/>
      <c r="M357" s="128"/>
      <c r="N357" s="128"/>
      <c r="O357" s="128"/>
      <c r="P357" s="128"/>
      <c r="Q357" s="128"/>
      <c r="R357" s="128"/>
      <c r="S357" s="128"/>
      <c r="T357" s="128"/>
      <c r="U357" s="128"/>
      <c r="V357" s="128"/>
      <c r="W357" s="141"/>
      <c r="X357" s="50"/>
      <c r="Y357" s="128"/>
    </row>
    <row r="358" spans="2:25" x14ac:dyDescent="0.3">
      <c r="B358" s="131"/>
      <c r="C358" s="132"/>
      <c r="D358" s="16"/>
      <c r="E358" s="133"/>
      <c r="F358" s="134"/>
      <c r="G358" s="135"/>
      <c r="H358" s="135"/>
      <c r="I358" s="135"/>
      <c r="J358" s="135"/>
      <c r="K358" s="128"/>
      <c r="L358" s="128"/>
      <c r="M358" s="128"/>
      <c r="N358" s="128"/>
      <c r="O358" s="128"/>
      <c r="P358" s="128"/>
      <c r="Q358" s="128"/>
      <c r="R358" s="128"/>
      <c r="S358" s="128"/>
      <c r="T358" s="128"/>
      <c r="U358" s="128"/>
      <c r="V358" s="128"/>
      <c r="W358" s="141"/>
      <c r="X358" s="50"/>
      <c r="Y358" s="128"/>
    </row>
    <row r="359" spans="2:25" x14ac:dyDescent="0.3">
      <c r="B359" s="131"/>
      <c r="C359" s="132"/>
      <c r="D359" s="16"/>
      <c r="E359" s="133"/>
      <c r="F359" s="134"/>
      <c r="G359" s="135"/>
      <c r="H359" s="135"/>
      <c r="I359" s="135"/>
      <c r="J359" s="135"/>
      <c r="K359" s="128"/>
      <c r="L359" s="128"/>
      <c r="M359" s="128"/>
      <c r="N359" s="128"/>
      <c r="O359" s="128"/>
      <c r="P359" s="128"/>
      <c r="Q359" s="128"/>
      <c r="R359" s="128"/>
      <c r="S359" s="128"/>
      <c r="T359" s="128"/>
      <c r="U359" s="128"/>
      <c r="V359" s="128"/>
      <c r="W359" s="141"/>
      <c r="X359" s="50"/>
      <c r="Y359" s="128"/>
    </row>
    <row r="360" spans="2:25" x14ac:dyDescent="0.3">
      <c r="B360" s="131"/>
      <c r="C360" s="132"/>
      <c r="D360" s="16"/>
      <c r="E360" s="133"/>
      <c r="F360" s="134"/>
      <c r="G360" s="135"/>
      <c r="H360" s="135"/>
      <c r="I360" s="135"/>
      <c r="J360" s="135"/>
      <c r="K360" s="128"/>
      <c r="L360" s="128"/>
      <c r="M360" s="128"/>
      <c r="N360" s="128"/>
      <c r="O360" s="128"/>
      <c r="P360" s="128"/>
      <c r="Q360" s="128"/>
      <c r="R360" s="128"/>
      <c r="S360" s="128"/>
      <c r="T360" s="128"/>
      <c r="U360" s="128"/>
      <c r="V360" s="128"/>
      <c r="W360" s="141"/>
      <c r="X360" s="50"/>
      <c r="Y360" s="128"/>
    </row>
    <row r="361" spans="2:25" x14ac:dyDescent="0.3">
      <c r="B361" s="131"/>
      <c r="C361" s="132"/>
      <c r="D361" s="16"/>
      <c r="E361" s="133"/>
      <c r="F361" s="134"/>
      <c r="G361" s="135"/>
      <c r="H361" s="135"/>
      <c r="I361" s="135"/>
      <c r="J361" s="135"/>
      <c r="K361" s="128"/>
      <c r="L361" s="128"/>
      <c r="M361" s="128"/>
      <c r="N361" s="128"/>
      <c r="O361" s="128"/>
      <c r="P361" s="128"/>
      <c r="Q361" s="128"/>
      <c r="R361" s="128"/>
      <c r="S361" s="128"/>
      <c r="T361" s="128"/>
      <c r="U361" s="128"/>
      <c r="V361" s="128"/>
      <c r="W361" s="141"/>
      <c r="X361" s="50"/>
      <c r="Y361" s="128"/>
    </row>
    <row r="362" spans="2:25" x14ac:dyDescent="0.3">
      <c r="B362" s="131"/>
      <c r="C362" s="132"/>
      <c r="D362" s="16"/>
      <c r="E362" s="133"/>
      <c r="F362" s="134"/>
      <c r="G362" s="135"/>
      <c r="H362" s="135"/>
      <c r="I362" s="135"/>
      <c r="J362" s="135"/>
      <c r="K362" s="128"/>
      <c r="L362" s="128"/>
      <c r="M362" s="128"/>
      <c r="N362" s="128"/>
      <c r="O362" s="128"/>
      <c r="P362" s="128"/>
      <c r="Q362" s="128"/>
      <c r="R362" s="128"/>
      <c r="S362" s="128"/>
      <c r="T362" s="128"/>
      <c r="U362" s="128"/>
      <c r="V362" s="128"/>
      <c r="W362" s="141"/>
      <c r="X362" s="50"/>
      <c r="Y362" s="128"/>
    </row>
    <row r="363" spans="2:25" x14ac:dyDescent="0.3">
      <c r="B363" s="131"/>
      <c r="C363" s="132"/>
      <c r="D363" s="16"/>
      <c r="E363" s="133"/>
      <c r="F363" s="134"/>
      <c r="G363" s="135"/>
      <c r="H363" s="135"/>
      <c r="I363" s="135"/>
      <c r="J363" s="135"/>
      <c r="K363" s="128"/>
      <c r="L363" s="128"/>
      <c r="M363" s="128"/>
      <c r="N363" s="128"/>
      <c r="O363" s="128"/>
      <c r="P363" s="128"/>
      <c r="Q363" s="128"/>
      <c r="R363" s="128"/>
      <c r="S363" s="128"/>
      <c r="T363" s="128"/>
      <c r="U363" s="128"/>
      <c r="V363" s="128"/>
      <c r="W363" s="141"/>
      <c r="X363" s="50"/>
      <c r="Y363" s="128"/>
    </row>
    <row r="364" spans="2:25" x14ac:dyDescent="0.3">
      <c r="B364" s="131"/>
      <c r="C364" s="132"/>
      <c r="D364" s="16"/>
      <c r="E364" s="133"/>
      <c r="F364" s="134"/>
      <c r="G364" s="135"/>
      <c r="H364" s="135"/>
      <c r="I364" s="135"/>
      <c r="J364" s="135"/>
      <c r="K364" s="128"/>
      <c r="L364" s="128"/>
      <c r="M364" s="128"/>
      <c r="N364" s="128"/>
      <c r="O364" s="128"/>
      <c r="P364" s="128"/>
      <c r="Q364" s="128"/>
      <c r="R364" s="128"/>
      <c r="S364" s="128"/>
      <c r="T364" s="128"/>
      <c r="U364" s="128"/>
      <c r="V364" s="128"/>
      <c r="W364" s="141"/>
      <c r="X364" s="50"/>
      <c r="Y364" s="128"/>
    </row>
    <row r="365" spans="2:25" x14ac:dyDescent="0.3">
      <c r="B365" s="131"/>
      <c r="C365" s="132"/>
      <c r="D365" s="16"/>
      <c r="E365" s="133"/>
      <c r="F365" s="134"/>
      <c r="G365" s="135"/>
      <c r="H365" s="135"/>
      <c r="I365" s="135"/>
      <c r="J365" s="135"/>
      <c r="K365" s="128"/>
      <c r="L365" s="128"/>
      <c r="M365" s="128"/>
      <c r="N365" s="128"/>
      <c r="O365" s="128"/>
      <c r="P365" s="128"/>
      <c r="Q365" s="128"/>
      <c r="R365" s="128"/>
      <c r="S365" s="128"/>
      <c r="T365" s="128"/>
      <c r="U365" s="128"/>
      <c r="V365" s="128"/>
      <c r="W365" s="141"/>
      <c r="X365" s="50"/>
      <c r="Y365" s="128"/>
    </row>
    <row r="366" spans="2:25" x14ac:dyDescent="0.3">
      <c r="B366" s="131"/>
      <c r="C366" s="132"/>
      <c r="D366" s="16"/>
      <c r="E366" s="133"/>
      <c r="F366" s="134"/>
      <c r="G366" s="135"/>
      <c r="H366" s="135"/>
      <c r="I366" s="135"/>
      <c r="J366" s="135"/>
      <c r="K366" s="128"/>
      <c r="L366" s="128"/>
      <c r="M366" s="128"/>
      <c r="N366" s="128"/>
      <c r="O366" s="128"/>
      <c r="P366" s="128"/>
      <c r="Q366" s="128"/>
      <c r="R366" s="128"/>
      <c r="S366" s="128"/>
      <c r="T366" s="128"/>
      <c r="U366" s="128"/>
      <c r="V366" s="128"/>
      <c r="W366" s="141"/>
      <c r="X366" s="50"/>
      <c r="Y366" s="128"/>
    </row>
    <row r="367" spans="2:25" x14ac:dyDescent="0.3">
      <c r="B367" s="131"/>
      <c r="C367" s="132"/>
      <c r="D367" s="16"/>
      <c r="E367" s="133"/>
      <c r="F367" s="134"/>
      <c r="G367" s="135"/>
      <c r="H367" s="135"/>
      <c r="I367" s="135"/>
      <c r="J367" s="135"/>
      <c r="K367" s="128"/>
      <c r="L367" s="128"/>
      <c r="M367" s="128"/>
      <c r="N367" s="128"/>
      <c r="O367" s="128"/>
      <c r="P367" s="128"/>
      <c r="Q367" s="128"/>
      <c r="R367" s="128"/>
      <c r="S367" s="128"/>
      <c r="T367" s="128"/>
      <c r="U367" s="128"/>
      <c r="V367" s="128"/>
      <c r="W367" s="141"/>
      <c r="X367" s="50"/>
      <c r="Y367" s="128"/>
    </row>
    <row r="368" spans="2:25" x14ac:dyDescent="0.3">
      <c r="B368" s="131"/>
      <c r="C368" s="132"/>
      <c r="D368" s="16"/>
      <c r="E368" s="133"/>
      <c r="F368" s="134"/>
      <c r="G368" s="135"/>
      <c r="H368" s="135"/>
      <c r="I368" s="135"/>
      <c r="J368" s="135"/>
      <c r="K368" s="128"/>
      <c r="L368" s="128"/>
      <c r="M368" s="128"/>
      <c r="N368" s="128"/>
      <c r="O368" s="128"/>
      <c r="P368" s="128"/>
      <c r="Q368" s="128"/>
      <c r="R368" s="128"/>
      <c r="S368" s="128"/>
      <c r="T368" s="128"/>
      <c r="U368" s="128"/>
      <c r="V368" s="128"/>
      <c r="W368" s="141"/>
      <c r="X368" s="50"/>
      <c r="Y368" s="128"/>
    </row>
    <row r="369" spans="2:25" x14ac:dyDescent="0.3">
      <c r="B369" s="131"/>
      <c r="C369" s="132"/>
      <c r="D369" s="16"/>
      <c r="E369" s="133"/>
      <c r="F369" s="134"/>
      <c r="G369" s="135"/>
      <c r="H369" s="135"/>
      <c r="I369" s="135"/>
      <c r="J369" s="135"/>
      <c r="K369" s="128"/>
      <c r="L369" s="128"/>
      <c r="M369" s="128"/>
      <c r="N369" s="128"/>
      <c r="O369" s="128"/>
      <c r="P369" s="128"/>
      <c r="Q369" s="128"/>
      <c r="R369" s="128"/>
      <c r="S369" s="128"/>
      <c r="T369" s="128"/>
      <c r="U369" s="128"/>
      <c r="V369" s="128"/>
      <c r="W369" s="141"/>
      <c r="X369" s="50"/>
      <c r="Y369" s="128"/>
    </row>
    <row r="370" spans="2:25" x14ac:dyDescent="0.3">
      <c r="B370" s="131"/>
      <c r="C370" s="132"/>
      <c r="D370" s="16"/>
      <c r="E370" s="133"/>
      <c r="F370" s="134"/>
      <c r="G370" s="135"/>
      <c r="H370" s="135"/>
      <c r="I370" s="135"/>
      <c r="J370" s="135"/>
      <c r="K370" s="128"/>
      <c r="L370" s="128"/>
      <c r="M370" s="128"/>
      <c r="N370" s="128"/>
      <c r="O370" s="128"/>
      <c r="P370" s="128"/>
      <c r="Q370" s="128"/>
      <c r="R370" s="128"/>
      <c r="S370" s="128"/>
      <c r="T370" s="128"/>
      <c r="U370" s="128"/>
      <c r="V370" s="128"/>
      <c r="W370" s="141"/>
      <c r="X370" s="50"/>
      <c r="Y370" s="128"/>
    </row>
    <row r="371" spans="2:25" x14ac:dyDescent="0.3">
      <c r="B371" s="131"/>
      <c r="C371" s="132"/>
      <c r="D371" s="16"/>
      <c r="E371" s="133"/>
      <c r="F371" s="134"/>
      <c r="G371" s="135"/>
      <c r="H371" s="135"/>
      <c r="I371" s="135"/>
      <c r="J371" s="135"/>
      <c r="K371" s="128"/>
      <c r="L371" s="128"/>
      <c r="M371" s="128"/>
      <c r="N371" s="128"/>
      <c r="O371" s="128"/>
      <c r="P371" s="128"/>
      <c r="Q371" s="128"/>
      <c r="R371" s="128"/>
      <c r="S371" s="128"/>
      <c r="T371" s="128"/>
      <c r="U371" s="128"/>
      <c r="V371" s="128"/>
      <c r="W371" s="141"/>
      <c r="X371" s="50"/>
      <c r="Y371" s="128"/>
    </row>
    <row r="372" spans="2:25" x14ac:dyDescent="0.3">
      <c r="B372" s="131"/>
      <c r="C372" s="132"/>
      <c r="D372" s="16"/>
      <c r="E372" s="133"/>
      <c r="F372" s="134"/>
      <c r="G372" s="135"/>
      <c r="H372" s="135"/>
      <c r="I372" s="135"/>
      <c r="J372" s="135"/>
      <c r="K372" s="128"/>
      <c r="L372" s="128"/>
      <c r="M372" s="128"/>
      <c r="N372" s="128"/>
      <c r="O372" s="128"/>
      <c r="P372" s="128"/>
      <c r="Q372" s="128"/>
      <c r="R372" s="128"/>
      <c r="S372" s="128"/>
      <c r="T372" s="128"/>
      <c r="U372" s="128"/>
      <c r="V372" s="128"/>
      <c r="W372" s="141"/>
      <c r="X372" s="50"/>
      <c r="Y372" s="128"/>
    </row>
    <row r="373" spans="2:25" x14ac:dyDescent="0.3">
      <c r="B373" s="131"/>
      <c r="C373" s="132"/>
      <c r="D373" s="16"/>
      <c r="E373" s="133"/>
      <c r="F373" s="134"/>
      <c r="G373" s="135"/>
      <c r="H373" s="135"/>
      <c r="I373" s="135"/>
      <c r="J373" s="135"/>
      <c r="K373" s="128"/>
      <c r="L373" s="128"/>
      <c r="M373" s="128"/>
      <c r="N373" s="128"/>
      <c r="O373" s="128"/>
      <c r="P373" s="128"/>
      <c r="Q373" s="128"/>
      <c r="R373" s="128"/>
      <c r="S373" s="128"/>
      <c r="T373" s="128"/>
      <c r="U373" s="128"/>
      <c r="V373" s="128"/>
      <c r="W373" s="141"/>
      <c r="X373" s="50"/>
      <c r="Y373" s="128"/>
    </row>
    <row r="374" spans="2:25" x14ac:dyDescent="0.3">
      <c r="B374" s="131"/>
      <c r="C374" s="132"/>
      <c r="D374" s="16"/>
      <c r="E374" s="133"/>
      <c r="F374" s="134"/>
      <c r="G374" s="135"/>
      <c r="H374" s="135"/>
      <c r="I374" s="135"/>
      <c r="J374" s="135"/>
      <c r="K374" s="128"/>
      <c r="L374" s="128"/>
      <c r="M374" s="128"/>
      <c r="N374" s="128"/>
      <c r="O374" s="128"/>
      <c r="P374" s="128"/>
      <c r="Q374" s="128"/>
      <c r="R374" s="128"/>
      <c r="S374" s="128"/>
      <c r="T374" s="128"/>
      <c r="U374" s="128"/>
      <c r="V374" s="128"/>
      <c r="W374" s="141"/>
      <c r="X374" s="50"/>
      <c r="Y374" s="128"/>
    </row>
    <row r="375" spans="2:25" x14ac:dyDescent="0.3">
      <c r="B375" s="131"/>
      <c r="C375" s="132"/>
      <c r="D375" s="16"/>
      <c r="E375" s="133"/>
      <c r="F375" s="134"/>
      <c r="G375" s="135"/>
      <c r="H375" s="135"/>
      <c r="I375" s="135"/>
      <c r="J375" s="135"/>
      <c r="K375" s="128"/>
      <c r="L375" s="128"/>
      <c r="M375" s="128"/>
      <c r="N375" s="128"/>
      <c r="O375" s="128"/>
      <c r="P375" s="128"/>
      <c r="Q375" s="128"/>
      <c r="R375" s="128"/>
      <c r="S375" s="128"/>
      <c r="T375" s="128"/>
      <c r="U375" s="128"/>
      <c r="V375" s="128"/>
      <c r="W375" s="141"/>
      <c r="X375" s="50"/>
      <c r="Y375" s="128"/>
    </row>
    <row r="376" spans="2:25" x14ac:dyDescent="0.3">
      <c r="B376" s="131"/>
      <c r="C376" s="132"/>
      <c r="D376" s="16"/>
      <c r="E376" s="133"/>
      <c r="F376" s="134"/>
      <c r="G376" s="135"/>
      <c r="H376" s="135"/>
      <c r="I376" s="135"/>
      <c r="J376" s="135"/>
      <c r="K376" s="128"/>
      <c r="L376" s="128"/>
      <c r="M376" s="128"/>
      <c r="N376" s="128"/>
      <c r="O376" s="128"/>
      <c r="P376" s="128"/>
      <c r="Q376" s="128"/>
      <c r="R376" s="128"/>
      <c r="S376" s="128"/>
      <c r="T376" s="128"/>
      <c r="U376" s="128"/>
      <c r="V376" s="128"/>
      <c r="W376" s="141"/>
      <c r="X376" s="50"/>
      <c r="Y376" s="128"/>
    </row>
    <row r="377" spans="2:25" x14ac:dyDescent="0.3">
      <c r="B377" s="131"/>
      <c r="C377" s="132"/>
      <c r="D377" s="16"/>
      <c r="E377" s="133"/>
      <c r="F377" s="134"/>
      <c r="G377" s="135"/>
      <c r="H377" s="135"/>
      <c r="I377" s="135"/>
      <c r="J377" s="135"/>
      <c r="K377" s="128"/>
      <c r="L377" s="128"/>
      <c r="M377" s="128"/>
      <c r="N377" s="128"/>
      <c r="O377" s="128"/>
      <c r="P377" s="128"/>
      <c r="Q377" s="128"/>
      <c r="R377" s="128"/>
      <c r="S377" s="128"/>
      <c r="T377" s="128"/>
      <c r="U377" s="128"/>
      <c r="V377" s="128"/>
      <c r="W377" s="141"/>
      <c r="X377" s="50"/>
      <c r="Y377" s="128"/>
    </row>
    <row r="378" spans="2:25" x14ac:dyDescent="0.3">
      <c r="B378" s="131"/>
      <c r="C378" s="132"/>
      <c r="D378" s="16"/>
      <c r="E378" s="133"/>
      <c r="F378" s="134"/>
      <c r="G378" s="135"/>
      <c r="H378" s="135"/>
      <c r="I378" s="135"/>
      <c r="J378" s="135"/>
      <c r="K378" s="128"/>
      <c r="L378" s="128"/>
      <c r="M378" s="128"/>
      <c r="N378" s="128"/>
      <c r="O378" s="128"/>
      <c r="P378" s="128"/>
      <c r="Q378" s="128"/>
      <c r="R378" s="128"/>
      <c r="S378" s="128"/>
      <c r="T378" s="128"/>
      <c r="U378" s="128"/>
      <c r="V378" s="128"/>
      <c r="W378" s="141"/>
      <c r="X378" s="50"/>
      <c r="Y378" s="128"/>
    </row>
    <row r="379" spans="2:25" x14ac:dyDescent="0.3">
      <c r="B379" s="131"/>
      <c r="C379" s="132"/>
      <c r="D379" s="16"/>
      <c r="E379" s="133"/>
      <c r="F379" s="134"/>
      <c r="G379" s="135"/>
      <c r="H379" s="135"/>
      <c r="I379" s="135"/>
      <c r="J379" s="135"/>
      <c r="K379" s="128"/>
      <c r="L379" s="128"/>
      <c r="M379" s="128"/>
      <c r="N379" s="128"/>
      <c r="O379" s="128"/>
      <c r="P379" s="128"/>
      <c r="Q379" s="128"/>
      <c r="R379" s="128"/>
      <c r="S379" s="128"/>
      <c r="T379" s="128"/>
      <c r="U379" s="128"/>
      <c r="V379" s="128"/>
      <c r="W379" s="141"/>
      <c r="X379" s="50"/>
      <c r="Y379" s="128"/>
    </row>
    <row r="380" spans="2:25" x14ac:dyDescent="0.3">
      <c r="B380" s="131"/>
      <c r="C380" s="132"/>
      <c r="D380" s="16"/>
      <c r="E380" s="133"/>
      <c r="F380" s="134"/>
      <c r="G380" s="135"/>
      <c r="H380" s="135"/>
      <c r="I380" s="135"/>
      <c r="J380" s="135"/>
      <c r="K380" s="128"/>
      <c r="L380" s="128"/>
      <c r="M380" s="128"/>
      <c r="N380" s="128"/>
      <c r="O380" s="128"/>
      <c r="P380" s="128"/>
      <c r="Q380" s="128"/>
      <c r="R380" s="128"/>
      <c r="S380" s="128"/>
      <c r="T380" s="128"/>
      <c r="U380" s="128"/>
      <c r="V380" s="128"/>
      <c r="W380" s="141"/>
      <c r="X380" s="50"/>
      <c r="Y380" s="128"/>
    </row>
    <row r="381" spans="2:25" x14ac:dyDescent="0.3">
      <c r="B381" s="131"/>
      <c r="C381" s="132"/>
      <c r="D381" s="16"/>
      <c r="E381" s="133"/>
      <c r="F381" s="134"/>
      <c r="G381" s="135"/>
      <c r="H381" s="135"/>
      <c r="I381" s="135"/>
      <c r="J381" s="135"/>
      <c r="K381" s="128"/>
      <c r="L381" s="128"/>
      <c r="M381" s="128"/>
      <c r="N381" s="128"/>
      <c r="O381" s="128"/>
      <c r="P381" s="128"/>
      <c r="Q381" s="128"/>
      <c r="R381" s="128"/>
      <c r="S381" s="128"/>
      <c r="T381" s="128"/>
      <c r="U381" s="128"/>
      <c r="V381" s="128"/>
      <c r="W381" s="141"/>
      <c r="X381" s="50"/>
      <c r="Y381" s="128"/>
    </row>
    <row r="382" spans="2:25" x14ac:dyDescent="0.3">
      <c r="B382" s="131"/>
      <c r="C382" s="132"/>
      <c r="D382" s="16"/>
      <c r="E382" s="133"/>
      <c r="F382" s="134"/>
      <c r="G382" s="135"/>
      <c r="H382" s="135"/>
      <c r="I382" s="135"/>
      <c r="J382" s="135"/>
      <c r="K382" s="128"/>
      <c r="L382" s="128"/>
      <c r="M382" s="128"/>
      <c r="N382" s="128"/>
      <c r="O382" s="128"/>
      <c r="P382" s="128"/>
      <c r="Q382" s="128"/>
      <c r="R382" s="128"/>
      <c r="S382" s="128"/>
      <c r="T382" s="128"/>
      <c r="U382" s="128"/>
      <c r="V382" s="128"/>
      <c r="W382" s="141"/>
      <c r="X382" s="50"/>
      <c r="Y382" s="128"/>
    </row>
    <row r="383" spans="2:25" x14ac:dyDescent="0.3">
      <c r="B383" s="131"/>
      <c r="C383" s="132"/>
      <c r="D383" s="16"/>
      <c r="E383" s="133"/>
      <c r="F383" s="134"/>
      <c r="G383" s="135"/>
      <c r="H383" s="135"/>
      <c r="I383" s="135"/>
      <c r="J383" s="135"/>
      <c r="K383" s="128"/>
      <c r="L383" s="128"/>
      <c r="M383" s="128"/>
      <c r="N383" s="128"/>
      <c r="O383" s="128"/>
      <c r="P383" s="128"/>
      <c r="Q383" s="128"/>
      <c r="R383" s="128"/>
      <c r="S383" s="128"/>
      <c r="T383" s="128"/>
      <c r="U383" s="128"/>
      <c r="V383" s="128"/>
      <c r="W383" s="141"/>
      <c r="X383" s="50"/>
      <c r="Y383" s="128"/>
    </row>
    <row r="384" spans="2:25" x14ac:dyDescent="0.3">
      <c r="B384" s="131"/>
      <c r="C384" s="132"/>
      <c r="D384" s="16"/>
      <c r="E384" s="133"/>
      <c r="F384" s="134"/>
      <c r="G384" s="135"/>
      <c r="H384" s="135"/>
      <c r="I384" s="135"/>
      <c r="J384" s="135"/>
      <c r="K384" s="128"/>
      <c r="L384" s="128"/>
      <c r="M384" s="128"/>
      <c r="N384" s="128"/>
      <c r="O384" s="128"/>
      <c r="P384" s="128"/>
      <c r="Q384" s="128"/>
      <c r="R384" s="128"/>
      <c r="S384" s="128"/>
      <c r="T384" s="128"/>
      <c r="U384" s="128"/>
      <c r="V384" s="128"/>
      <c r="W384" s="141"/>
      <c r="X384" s="50"/>
      <c r="Y384" s="128"/>
    </row>
    <row r="385" spans="2:25" x14ac:dyDescent="0.3">
      <c r="B385" s="131"/>
      <c r="C385" s="132"/>
      <c r="D385" s="16"/>
      <c r="E385" s="133"/>
      <c r="F385" s="134"/>
      <c r="G385" s="135"/>
      <c r="H385" s="135"/>
      <c r="I385" s="135"/>
      <c r="J385" s="135"/>
      <c r="K385" s="128"/>
      <c r="L385" s="128"/>
      <c r="M385" s="128"/>
      <c r="N385" s="128"/>
      <c r="O385" s="128"/>
      <c r="P385" s="128"/>
      <c r="Q385" s="128"/>
      <c r="R385" s="128"/>
      <c r="S385" s="128"/>
      <c r="T385" s="128"/>
      <c r="U385" s="128"/>
      <c r="V385" s="128"/>
      <c r="W385" s="141"/>
      <c r="X385" s="50"/>
      <c r="Y385" s="128"/>
    </row>
    <row r="386" spans="2:25" x14ac:dyDescent="0.3">
      <c r="B386" s="131"/>
      <c r="C386" s="132"/>
      <c r="D386" s="16"/>
      <c r="E386" s="133"/>
      <c r="F386" s="134"/>
      <c r="G386" s="135"/>
      <c r="H386" s="135"/>
      <c r="I386" s="135"/>
      <c r="J386" s="135"/>
      <c r="K386" s="128"/>
      <c r="L386" s="128"/>
      <c r="M386" s="128"/>
      <c r="N386" s="128"/>
      <c r="O386" s="128"/>
      <c r="P386" s="128"/>
      <c r="Q386" s="128"/>
      <c r="R386" s="128"/>
      <c r="S386" s="128"/>
      <c r="T386" s="128"/>
      <c r="U386" s="128"/>
      <c r="V386" s="128"/>
      <c r="W386" s="141"/>
      <c r="X386" s="50"/>
      <c r="Y386" s="128"/>
    </row>
    <row r="387" spans="2:25" x14ac:dyDescent="0.3">
      <c r="B387" s="131"/>
      <c r="C387" s="132"/>
      <c r="D387" s="16"/>
      <c r="E387" s="133"/>
      <c r="F387" s="134"/>
      <c r="G387" s="135"/>
      <c r="H387" s="135"/>
      <c r="I387" s="135"/>
      <c r="J387" s="135"/>
      <c r="K387" s="128"/>
      <c r="L387" s="128"/>
      <c r="M387" s="128"/>
      <c r="N387" s="128"/>
      <c r="O387" s="128"/>
      <c r="P387" s="128"/>
      <c r="Q387" s="128"/>
      <c r="R387" s="128"/>
      <c r="S387" s="128"/>
      <c r="T387" s="128"/>
      <c r="U387" s="128"/>
      <c r="V387" s="128"/>
      <c r="W387" s="141"/>
      <c r="X387" s="50"/>
      <c r="Y387" s="128"/>
    </row>
    <row r="388" spans="2:25" x14ac:dyDescent="0.3">
      <c r="B388" s="131"/>
      <c r="C388" s="132"/>
      <c r="D388" s="16"/>
      <c r="E388" s="133"/>
      <c r="F388" s="134"/>
      <c r="G388" s="135"/>
      <c r="H388" s="135"/>
      <c r="I388" s="135"/>
      <c r="J388" s="135"/>
      <c r="K388" s="128"/>
      <c r="L388" s="128"/>
      <c r="M388" s="128"/>
      <c r="N388" s="128"/>
      <c r="O388" s="128"/>
      <c r="P388" s="128"/>
      <c r="Q388" s="128"/>
      <c r="R388" s="128"/>
      <c r="S388" s="128"/>
      <c r="T388" s="128"/>
      <c r="U388" s="128"/>
      <c r="V388" s="128"/>
      <c r="W388" s="141"/>
      <c r="X388" s="50"/>
      <c r="Y388" s="128"/>
    </row>
    <row r="389" spans="2:25" x14ac:dyDescent="0.3">
      <c r="B389" s="131"/>
      <c r="C389" s="132"/>
      <c r="D389" s="16"/>
      <c r="E389" s="133"/>
      <c r="F389" s="134"/>
      <c r="G389" s="135"/>
      <c r="H389" s="135"/>
      <c r="I389" s="135"/>
      <c r="J389" s="135"/>
      <c r="K389" s="128"/>
      <c r="L389" s="128"/>
      <c r="M389" s="128"/>
      <c r="N389" s="128"/>
      <c r="O389" s="128"/>
      <c r="P389" s="128"/>
      <c r="Q389" s="128"/>
      <c r="R389" s="128"/>
      <c r="S389" s="128"/>
      <c r="T389" s="128"/>
      <c r="U389" s="128"/>
      <c r="V389" s="128"/>
      <c r="W389" s="141"/>
      <c r="X389" s="50"/>
      <c r="Y389" s="128"/>
    </row>
    <row r="390" spans="2:25" x14ac:dyDescent="0.3">
      <c r="B390" s="131"/>
      <c r="C390" s="132"/>
      <c r="D390" s="16"/>
      <c r="E390" s="133"/>
      <c r="F390" s="134"/>
      <c r="G390" s="135"/>
      <c r="H390" s="135"/>
      <c r="I390" s="135"/>
      <c r="J390" s="135"/>
      <c r="K390" s="128"/>
      <c r="L390" s="128"/>
      <c r="M390" s="128"/>
      <c r="N390" s="128"/>
      <c r="O390" s="128"/>
      <c r="P390" s="128"/>
      <c r="Q390" s="128"/>
      <c r="R390" s="128"/>
      <c r="S390" s="128"/>
      <c r="T390" s="128"/>
      <c r="U390" s="128"/>
      <c r="V390" s="128"/>
      <c r="W390" s="141"/>
      <c r="X390" s="50"/>
      <c r="Y390" s="128"/>
    </row>
    <row r="391" spans="2:25" x14ac:dyDescent="0.3">
      <c r="B391" s="131"/>
      <c r="C391" s="132"/>
      <c r="D391" s="16"/>
      <c r="E391" s="133"/>
      <c r="F391" s="134"/>
      <c r="G391" s="135"/>
      <c r="H391" s="135"/>
      <c r="I391" s="135"/>
      <c r="J391" s="135"/>
      <c r="K391" s="128"/>
      <c r="L391" s="128"/>
      <c r="M391" s="128"/>
      <c r="N391" s="128"/>
      <c r="O391" s="128"/>
      <c r="P391" s="128"/>
      <c r="Q391" s="128"/>
      <c r="R391" s="128"/>
      <c r="S391" s="128"/>
      <c r="T391" s="128"/>
      <c r="U391" s="128"/>
      <c r="V391" s="128"/>
      <c r="W391" s="141"/>
      <c r="X391" s="50"/>
      <c r="Y391" s="128"/>
    </row>
    <row r="392" spans="2:25" x14ac:dyDescent="0.3">
      <c r="B392" s="131"/>
      <c r="C392" s="132"/>
      <c r="D392" s="16"/>
      <c r="E392" s="133"/>
      <c r="F392" s="134"/>
      <c r="G392" s="135"/>
      <c r="H392" s="135"/>
      <c r="I392" s="135"/>
      <c r="J392" s="135"/>
      <c r="K392" s="128"/>
      <c r="L392" s="128"/>
      <c r="M392" s="128"/>
      <c r="N392" s="128"/>
      <c r="O392" s="128"/>
      <c r="P392" s="128"/>
      <c r="Q392" s="128"/>
      <c r="R392" s="128"/>
      <c r="S392" s="128"/>
      <c r="T392" s="128"/>
      <c r="U392" s="128"/>
      <c r="V392" s="128"/>
      <c r="W392" s="141"/>
      <c r="X392" s="50"/>
      <c r="Y392" s="128"/>
    </row>
    <row r="393" spans="2:25" x14ac:dyDescent="0.3">
      <c r="B393" s="131"/>
      <c r="C393" s="132"/>
      <c r="D393" s="16"/>
      <c r="E393" s="133"/>
      <c r="F393" s="134"/>
      <c r="G393" s="135"/>
      <c r="H393" s="135"/>
      <c r="I393" s="135"/>
      <c r="J393" s="135"/>
      <c r="K393" s="128"/>
      <c r="L393" s="128"/>
      <c r="M393" s="128"/>
      <c r="N393" s="128"/>
      <c r="O393" s="128"/>
      <c r="P393" s="128"/>
      <c r="Q393" s="128"/>
      <c r="R393" s="128"/>
      <c r="S393" s="128"/>
      <c r="T393" s="128"/>
      <c r="U393" s="128"/>
      <c r="V393" s="128"/>
      <c r="W393" s="141"/>
      <c r="X393" s="50"/>
      <c r="Y393" s="128"/>
    </row>
    <row r="394" spans="2:25" x14ac:dyDescent="0.3">
      <c r="B394" s="131"/>
      <c r="C394" s="132"/>
      <c r="D394" s="16"/>
      <c r="E394" s="133"/>
      <c r="F394" s="134"/>
      <c r="G394" s="135"/>
      <c r="H394" s="135"/>
      <c r="I394" s="135"/>
      <c r="J394" s="135"/>
      <c r="K394" s="128"/>
      <c r="L394" s="128"/>
      <c r="M394" s="128"/>
      <c r="N394" s="128"/>
      <c r="O394" s="128"/>
      <c r="P394" s="128"/>
      <c r="Q394" s="128"/>
      <c r="R394" s="128"/>
      <c r="S394" s="128"/>
      <c r="T394" s="128"/>
      <c r="U394" s="128"/>
      <c r="V394" s="128"/>
      <c r="W394" s="141"/>
      <c r="X394" s="50"/>
      <c r="Y394" s="128"/>
    </row>
    <row r="395" spans="2:25" x14ac:dyDescent="0.3">
      <c r="B395" s="131"/>
      <c r="C395" s="132"/>
      <c r="D395" s="16"/>
      <c r="E395" s="133"/>
      <c r="F395" s="134"/>
      <c r="G395" s="135"/>
      <c r="H395" s="135"/>
      <c r="I395" s="135"/>
      <c r="J395" s="135"/>
      <c r="K395" s="128"/>
      <c r="L395" s="128"/>
      <c r="M395" s="128"/>
      <c r="N395" s="128"/>
      <c r="O395" s="128"/>
      <c r="P395" s="128"/>
      <c r="Q395" s="128"/>
      <c r="R395" s="128"/>
      <c r="S395" s="128"/>
      <c r="T395" s="128"/>
      <c r="U395" s="128"/>
      <c r="V395" s="128"/>
      <c r="W395" s="141"/>
      <c r="X395" s="50"/>
      <c r="Y395" s="128"/>
    </row>
    <row r="396" spans="2:25" x14ac:dyDescent="0.3">
      <c r="B396" s="131"/>
      <c r="C396" s="132"/>
      <c r="D396" s="16"/>
      <c r="E396" s="133"/>
      <c r="F396" s="134"/>
      <c r="G396" s="135"/>
      <c r="H396" s="135"/>
      <c r="I396" s="135"/>
      <c r="J396" s="135"/>
      <c r="K396" s="128"/>
      <c r="L396" s="128"/>
      <c r="M396" s="128"/>
      <c r="N396" s="128"/>
      <c r="O396" s="128"/>
      <c r="P396" s="128"/>
      <c r="Q396" s="128"/>
      <c r="R396" s="128"/>
      <c r="S396" s="128"/>
      <c r="T396" s="128"/>
      <c r="U396" s="128"/>
      <c r="V396" s="128"/>
      <c r="W396" s="141"/>
      <c r="X396" s="50"/>
      <c r="Y396" s="128"/>
    </row>
    <row r="397" spans="2:25" x14ac:dyDescent="0.3">
      <c r="B397" s="131"/>
      <c r="C397" s="132"/>
      <c r="D397" s="16"/>
      <c r="E397" s="133"/>
      <c r="F397" s="134"/>
      <c r="G397" s="135"/>
      <c r="H397" s="135"/>
      <c r="I397" s="135"/>
      <c r="J397" s="135"/>
      <c r="K397" s="128"/>
      <c r="L397" s="128"/>
      <c r="M397" s="128"/>
      <c r="N397" s="128"/>
      <c r="O397" s="128"/>
      <c r="P397" s="128"/>
      <c r="Q397" s="128"/>
      <c r="R397" s="128"/>
      <c r="S397" s="128"/>
      <c r="T397" s="128"/>
      <c r="U397" s="128"/>
      <c r="V397" s="128"/>
      <c r="W397" s="141"/>
      <c r="X397" s="50"/>
      <c r="Y397" s="128"/>
    </row>
    <row r="398" spans="2:25" x14ac:dyDescent="0.3">
      <c r="B398" s="131"/>
      <c r="C398" s="132"/>
      <c r="D398" s="16"/>
      <c r="E398" s="133"/>
      <c r="F398" s="134"/>
      <c r="G398" s="135"/>
      <c r="H398" s="135"/>
      <c r="I398" s="135"/>
      <c r="J398" s="135"/>
      <c r="K398" s="128"/>
      <c r="L398" s="128"/>
      <c r="M398" s="128"/>
      <c r="N398" s="128"/>
      <c r="O398" s="128"/>
      <c r="P398" s="128"/>
      <c r="Q398" s="128"/>
      <c r="R398" s="128"/>
      <c r="S398" s="128"/>
      <c r="T398" s="128"/>
      <c r="U398" s="128"/>
      <c r="V398" s="128"/>
      <c r="W398" s="141"/>
      <c r="X398" s="50"/>
      <c r="Y398" s="128"/>
    </row>
    <row r="399" spans="2:25" x14ac:dyDescent="0.3">
      <c r="B399" s="131"/>
      <c r="C399" s="132"/>
      <c r="D399" s="16"/>
      <c r="E399" s="133"/>
      <c r="F399" s="134"/>
      <c r="G399" s="135"/>
      <c r="H399" s="135"/>
      <c r="I399" s="135"/>
      <c r="J399" s="135"/>
      <c r="K399" s="128"/>
      <c r="L399" s="128"/>
      <c r="M399" s="128"/>
      <c r="N399" s="128"/>
      <c r="O399" s="128"/>
      <c r="P399" s="128"/>
      <c r="Q399" s="128"/>
      <c r="R399" s="128"/>
      <c r="S399" s="128"/>
      <c r="T399" s="128"/>
      <c r="U399" s="128"/>
      <c r="V399" s="128"/>
      <c r="W399" s="141"/>
      <c r="X399" s="50"/>
      <c r="Y399" s="128"/>
    </row>
    <row r="400" spans="2:25" x14ac:dyDescent="0.3">
      <c r="B400" s="131"/>
      <c r="C400" s="132"/>
      <c r="D400" s="16"/>
      <c r="E400" s="133"/>
      <c r="F400" s="134"/>
      <c r="G400" s="135"/>
      <c r="H400" s="135"/>
      <c r="I400" s="135"/>
      <c r="J400" s="135"/>
      <c r="K400" s="128"/>
      <c r="L400" s="128"/>
      <c r="M400" s="128"/>
      <c r="N400" s="128"/>
      <c r="O400" s="128"/>
      <c r="P400" s="128"/>
      <c r="Q400" s="128"/>
      <c r="R400" s="128"/>
      <c r="S400" s="128"/>
      <c r="T400" s="128"/>
      <c r="U400" s="128"/>
      <c r="V400" s="128"/>
      <c r="W400" s="141"/>
      <c r="X400" s="50"/>
      <c r="Y400" s="128"/>
    </row>
  </sheetData>
  <customSheetViews>
    <customSheetView guid="{B41BB11B-8ECA-4760-921C-F8720A6A66AF}" scale="90" hiddenColumns="1">
      <selection activeCell="F23" sqref="F23"/>
      <pageMargins left="0.7" right="0.7" top="0.75" bottom="0.75" header="0.3" footer="0.3"/>
    </customSheetView>
  </customSheetViews>
  <mergeCells count="33">
    <mergeCell ref="G3:G4"/>
    <mergeCell ref="B16:B24"/>
    <mergeCell ref="B25:B26"/>
    <mergeCell ref="B27:B29"/>
    <mergeCell ref="D30:E30"/>
    <mergeCell ref="V3:X3"/>
    <mergeCell ref="P3:P4"/>
    <mergeCell ref="Q3:Q4"/>
    <mergeCell ref="R3:R4"/>
    <mergeCell ref="S3:S4"/>
    <mergeCell ref="T3:T4"/>
    <mergeCell ref="U3:U4"/>
    <mergeCell ref="H3:H4"/>
    <mergeCell ref="I3:I4"/>
    <mergeCell ref="J3:J4"/>
    <mergeCell ref="K3:K4"/>
    <mergeCell ref="N3:N4"/>
    <mergeCell ref="AV3:AV4"/>
    <mergeCell ref="B1:AV1"/>
    <mergeCell ref="B2:AV2"/>
    <mergeCell ref="AU3:AU4"/>
    <mergeCell ref="B5:B15"/>
    <mergeCell ref="Y3:Y4"/>
    <mergeCell ref="Z3:Z4"/>
    <mergeCell ref="AQ3:AQ4"/>
    <mergeCell ref="AR3:AR4"/>
    <mergeCell ref="AT3:AT4"/>
    <mergeCell ref="O3:O4"/>
    <mergeCell ref="B3:B4"/>
    <mergeCell ref="C3:C4"/>
    <mergeCell ref="D3:D4"/>
    <mergeCell ref="E3:E4"/>
    <mergeCell ref="F3:F4"/>
  </mergeCells>
  <conditionalFormatting sqref="AT5:AT28">
    <cfRule type="colorScale" priority="11">
      <colorScale>
        <cfvo type="min"/>
        <cfvo type="percentile" val="50"/>
        <cfvo type="max"/>
        <color rgb="FFF8696B"/>
        <color rgb="FFFFEB84"/>
        <color rgb="FF63BE7B"/>
      </colorScale>
    </cfRule>
  </conditionalFormatting>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600046-1B42-4C0E-971C-F5783E444860}">
  <dimension ref="C4:E31"/>
  <sheetViews>
    <sheetView workbookViewId="0">
      <selection activeCell="C4" sqref="C4:E31"/>
    </sheetView>
  </sheetViews>
  <sheetFormatPr defaultRowHeight="14.4" x14ac:dyDescent="0.3"/>
  <cols>
    <col min="3" max="3" width="69.44140625" customWidth="1"/>
    <col min="4" max="4" width="63.6640625" style="130" hidden="1" customWidth="1"/>
    <col min="5" max="5" width="25.88671875" customWidth="1"/>
  </cols>
  <sheetData>
    <row r="4" spans="3:5" x14ac:dyDescent="0.3">
      <c r="C4" s="504" t="s">
        <v>343</v>
      </c>
      <c r="D4" s="504"/>
      <c r="E4" s="504"/>
    </row>
    <row r="5" spans="3:5" x14ac:dyDescent="0.3">
      <c r="C5" s="236" t="s">
        <v>5</v>
      </c>
      <c r="D5" s="236"/>
      <c r="E5" s="235" t="s">
        <v>345</v>
      </c>
    </row>
    <row r="6" spans="3:5" ht="20.100000000000001" customHeight="1" x14ac:dyDescent="0.3">
      <c r="C6" s="126" t="s">
        <v>285</v>
      </c>
      <c r="D6" s="126" t="s">
        <v>369</v>
      </c>
      <c r="E6" s="229">
        <v>35000</v>
      </c>
    </row>
    <row r="7" spans="3:5" ht="20.100000000000001" customHeight="1" x14ac:dyDescent="0.3">
      <c r="C7" s="230" t="s">
        <v>284</v>
      </c>
      <c r="D7" s="231" t="s">
        <v>370</v>
      </c>
      <c r="E7" s="229">
        <v>65000</v>
      </c>
    </row>
    <row r="8" spans="3:5" ht="20.100000000000001" customHeight="1" x14ac:dyDescent="0.3">
      <c r="C8" s="230" t="s">
        <v>344</v>
      </c>
      <c r="D8" s="231" t="s">
        <v>371</v>
      </c>
      <c r="E8" s="229">
        <v>150000</v>
      </c>
    </row>
    <row r="9" spans="3:5" ht="20.100000000000001" customHeight="1" x14ac:dyDescent="0.3">
      <c r="C9" s="126" t="s">
        <v>83</v>
      </c>
      <c r="D9" s="126" t="s">
        <v>372</v>
      </c>
      <c r="E9" s="229">
        <v>1400000</v>
      </c>
    </row>
    <row r="10" spans="3:5" ht="20.100000000000001" customHeight="1" x14ac:dyDescent="0.3">
      <c r="C10" s="137" t="s">
        <v>292</v>
      </c>
      <c r="D10" s="232" t="s">
        <v>327</v>
      </c>
      <c r="E10" s="238">
        <v>20000</v>
      </c>
    </row>
    <row r="11" spans="3:5" ht="20.100000000000001" customHeight="1" x14ac:dyDescent="0.3">
      <c r="C11" s="137" t="s">
        <v>293</v>
      </c>
      <c r="D11" s="232" t="s">
        <v>311</v>
      </c>
      <c r="E11" s="238">
        <v>10000</v>
      </c>
    </row>
    <row r="12" spans="3:5" ht="20.100000000000001" customHeight="1" x14ac:dyDescent="0.3">
      <c r="C12" s="137" t="s">
        <v>294</v>
      </c>
      <c r="D12" s="232" t="s">
        <v>305</v>
      </c>
      <c r="E12" s="238">
        <v>12000</v>
      </c>
    </row>
    <row r="13" spans="3:5" ht="20.100000000000001" customHeight="1" x14ac:dyDescent="0.3">
      <c r="C13" s="137" t="s">
        <v>295</v>
      </c>
      <c r="D13" s="232" t="s">
        <v>309</v>
      </c>
      <c r="E13" s="238">
        <v>75000</v>
      </c>
    </row>
    <row r="14" spans="3:5" ht="20.100000000000001" customHeight="1" x14ac:dyDescent="0.3">
      <c r="C14" s="137" t="s">
        <v>296</v>
      </c>
      <c r="D14" s="232" t="s">
        <v>304</v>
      </c>
      <c r="E14" s="238">
        <v>1000000</v>
      </c>
    </row>
    <row r="15" spans="3:5" ht="20.100000000000001" customHeight="1" x14ac:dyDescent="0.3">
      <c r="C15" s="137" t="s">
        <v>297</v>
      </c>
      <c r="D15" s="232" t="s">
        <v>310</v>
      </c>
      <c r="E15" s="238">
        <v>15000</v>
      </c>
    </row>
    <row r="16" spans="3:5" ht="20.100000000000001" customHeight="1" x14ac:dyDescent="0.3">
      <c r="C16" s="137" t="s">
        <v>298</v>
      </c>
      <c r="D16" s="232" t="s">
        <v>308</v>
      </c>
      <c r="E16" s="238">
        <v>292000</v>
      </c>
    </row>
    <row r="17" spans="3:5" ht="20.100000000000001" customHeight="1" x14ac:dyDescent="0.3">
      <c r="C17" s="137" t="s">
        <v>299</v>
      </c>
      <c r="D17" s="232" t="s">
        <v>306</v>
      </c>
      <c r="E17" s="238">
        <v>25000</v>
      </c>
    </row>
    <row r="18" spans="3:5" ht="20.100000000000001" customHeight="1" x14ac:dyDescent="0.3">
      <c r="C18" s="137" t="s">
        <v>300</v>
      </c>
      <c r="D18" s="232" t="s">
        <v>307</v>
      </c>
      <c r="E18" s="238">
        <v>300000</v>
      </c>
    </row>
    <row r="19" spans="3:5" ht="20.100000000000001" customHeight="1" x14ac:dyDescent="0.3">
      <c r="C19" s="126" t="s">
        <v>224</v>
      </c>
      <c r="D19" s="126" t="s">
        <v>225</v>
      </c>
      <c r="E19" s="239">
        <v>50000</v>
      </c>
    </row>
    <row r="20" spans="3:5" ht="20.100000000000001" customHeight="1" x14ac:dyDescent="0.3">
      <c r="C20" s="137" t="s">
        <v>353</v>
      </c>
      <c r="D20" s="233" t="s">
        <v>231</v>
      </c>
      <c r="E20" s="239">
        <v>3235000</v>
      </c>
    </row>
    <row r="21" spans="3:5" ht="20.100000000000001" customHeight="1" x14ac:dyDescent="0.3">
      <c r="C21" s="126" t="s">
        <v>232</v>
      </c>
      <c r="D21" s="232" t="s">
        <v>355</v>
      </c>
      <c r="E21" s="239">
        <v>50000</v>
      </c>
    </row>
    <row r="22" spans="3:5" ht="20.100000000000001" customHeight="1" x14ac:dyDescent="0.3">
      <c r="C22" s="126" t="s">
        <v>234</v>
      </c>
      <c r="D22" s="232" t="s">
        <v>356</v>
      </c>
      <c r="E22" s="239">
        <v>100000</v>
      </c>
    </row>
    <row r="23" spans="3:5" ht="20.100000000000001" customHeight="1" x14ac:dyDescent="0.3">
      <c r="C23" s="126" t="s">
        <v>357</v>
      </c>
      <c r="D23" s="231"/>
      <c r="E23" s="239">
        <v>141000</v>
      </c>
    </row>
    <row r="24" spans="3:5" ht="20.100000000000001" customHeight="1" x14ac:dyDescent="0.3">
      <c r="C24" s="237" t="s">
        <v>288</v>
      </c>
      <c r="D24" s="233" t="s">
        <v>317</v>
      </c>
      <c r="E24" s="239">
        <v>10000</v>
      </c>
    </row>
    <row r="25" spans="3:5" ht="20.100000000000001" customHeight="1" x14ac:dyDescent="0.3">
      <c r="C25" s="237" t="s">
        <v>289</v>
      </c>
      <c r="D25" s="233" t="s">
        <v>318</v>
      </c>
      <c r="E25" s="239">
        <v>10000</v>
      </c>
    </row>
    <row r="26" spans="3:5" ht="20.100000000000001" customHeight="1" x14ac:dyDescent="0.3">
      <c r="C26" s="237" t="s">
        <v>290</v>
      </c>
      <c r="D26" s="233" t="s">
        <v>319</v>
      </c>
      <c r="E26" s="239">
        <v>5000</v>
      </c>
    </row>
    <row r="27" spans="3:5" ht="20.100000000000001" customHeight="1" x14ac:dyDescent="0.3">
      <c r="C27" s="237" t="s">
        <v>291</v>
      </c>
      <c r="D27" s="233" t="s">
        <v>312</v>
      </c>
      <c r="E27" s="240">
        <v>500000</v>
      </c>
    </row>
    <row r="28" spans="3:5" ht="20.100000000000001" customHeight="1" x14ac:dyDescent="0.3">
      <c r="C28" s="137" t="s">
        <v>267</v>
      </c>
      <c r="D28" s="233" t="s">
        <v>365</v>
      </c>
      <c r="E28" s="239">
        <v>6000000</v>
      </c>
    </row>
    <row r="29" spans="3:5" ht="20.100000000000001" customHeight="1" x14ac:dyDescent="0.3">
      <c r="C29" s="137" t="s">
        <v>270</v>
      </c>
      <c r="D29" s="234" t="s">
        <v>271</v>
      </c>
      <c r="E29" s="240">
        <v>5000000</v>
      </c>
    </row>
    <row r="30" spans="3:5" ht="20.100000000000001" customHeight="1" x14ac:dyDescent="0.3">
      <c r="C30" s="137" t="s">
        <v>273</v>
      </c>
      <c r="D30" s="234" t="s">
        <v>274</v>
      </c>
      <c r="E30" s="240">
        <v>740000</v>
      </c>
    </row>
    <row r="31" spans="3:5" ht="20.100000000000001" customHeight="1" x14ac:dyDescent="0.3">
      <c r="C31" s="137" t="s">
        <v>276</v>
      </c>
      <c r="D31" s="234" t="s">
        <v>277</v>
      </c>
      <c r="E31" s="240">
        <v>7500000</v>
      </c>
    </row>
  </sheetData>
  <customSheetViews>
    <customSheetView guid="{B41BB11B-8ECA-4760-921C-F8720A6A66AF}" hiddenColumns="1">
      <selection activeCell="C4" sqref="C4:E31"/>
      <pageMargins left="0.7" right="0.7" top="0.75" bottom="0.75" header="0.3" footer="0.3"/>
    </customSheetView>
  </customSheetViews>
  <mergeCells count="1">
    <mergeCell ref="C4:E4"/>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Transitory - Organizing and Monitoring Work in Progress" ma:contentTypeID="0x01010006ECCEB8876C3241BF9EAC4A765FAF4200B010D51BFC38B74EAC311886D95ED0A300EDC58EA103263747929A0695BF92E373" ma:contentTypeVersion="4" ma:contentTypeDescription="Create a new document." ma:contentTypeScope="" ma:versionID="16a87a5a69da41d0ca6b817235497675">
  <xsd:schema xmlns:xsd="http://www.w3.org/2001/XMLSchema" xmlns:xs="http://www.w3.org/2001/XMLSchema" xmlns:p="http://schemas.microsoft.com/office/2006/metadata/properties" xmlns:ns2="2025f06d-6995-4e44-8ee8-f8a6ae3bb98f" targetNamespace="http://schemas.microsoft.com/office/2006/metadata/properties" ma:root="true" ma:fieldsID="4eaeb6596560183758bd0c8a4ed784a9" ns2:_="">
    <xsd:import namespace="2025f06d-6995-4e44-8ee8-f8a6ae3bb98f"/>
    <xsd:element name="properties">
      <xsd:complexType>
        <xsd:sequence>
          <xsd:element name="documentManagement">
            <xsd:complexType>
              <xsd:all>
                <xsd:element ref="ns2:SupersededDat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025f06d-6995-4e44-8ee8-f8a6ae3bb98f" elementFormDefault="qualified">
    <xsd:import namespace="http://schemas.microsoft.com/office/2006/documentManagement/types"/>
    <xsd:import namespace="http://schemas.microsoft.com/office/infopath/2007/PartnerControls"/>
    <xsd:element name="SupersededDate" ma:index="8" nillable="true" ma:displayName="Superseded Date" ma:internalName="SupersededDate">
      <xsd:simpleType>
        <xsd:restriction base="dms:DateTim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SupersededDate xmlns="2025f06d-6995-4e44-8ee8-f8a6ae3bb98f" xsi:nil="true"/>
  </documentManagement>
</p:properties>
</file>

<file path=customXml/item4.xml><?xml version="1.0" encoding="utf-8"?>
<?mso-contentType ?>
<SharedContentType xmlns="Microsoft.SharePoint.Taxonomy.ContentTypeSync" SourceId="076fe23b-1fd5-490c-8cb0-07279ee04191" ContentTypeId="0x01010006ECCEB8876C3241BF9EAC4A765FAF4200B010D51BFC38B74EAC311886D95ED0A3" PreviousValue="false" LastSyncTimeStamp="2024-11-07T22:31:03.417Z"/>
</file>

<file path=customXml/itemProps1.xml><?xml version="1.0" encoding="utf-8"?>
<ds:datastoreItem xmlns:ds="http://schemas.openxmlformats.org/officeDocument/2006/customXml" ds:itemID="{AF1992A6-4E82-4A9E-992D-0B7EBB2B2BEE}">
  <ds:schemaRefs>
    <ds:schemaRef ds:uri="http://schemas.microsoft.com/sharepoint/v3/contenttype/forms"/>
  </ds:schemaRefs>
</ds:datastoreItem>
</file>

<file path=customXml/itemProps2.xml><?xml version="1.0" encoding="utf-8"?>
<ds:datastoreItem xmlns:ds="http://schemas.openxmlformats.org/officeDocument/2006/customXml" ds:itemID="{690B443B-64F5-4B13-BEC7-421C3DB3080D}"/>
</file>

<file path=customXml/itemProps3.xml><?xml version="1.0" encoding="utf-8"?>
<ds:datastoreItem xmlns:ds="http://schemas.openxmlformats.org/officeDocument/2006/customXml" ds:itemID="{10AB0BBD-0927-4453-9FBC-20594C1667C0}">
  <ds:schemaRefs>
    <ds:schemaRef ds:uri="http://schemas.openxmlformats.org/package/2006/metadata/core-properties"/>
    <ds:schemaRef ds:uri="http://www.w3.org/XML/1998/namespace"/>
    <ds:schemaRef ds:uri="http://schemas.microsoft.com/office/2006/documentManagement/types"/>
    <ds:schemaRef ds:uri="http://schemas.microsoft.com/office/infopath/2007/PartnerControls"/>
    <ds:schemaRef ds:uri="2025f06d-6995-4e44-8ee8-f8a6ae3bb98f"/>
    <ds:schemaRef ds:uri="http://purl.org/dc/elements/1.1/"/>
    <ds:schemaRef ds:uri="http://purl.org/dc/terms/"/>
    <ds:schemaRef ds:uri="d6d9ead2-91ff-495c-85d8-b2059af526f3"/>
    <ds:schemaRef ds:uri="http://schemas.microsoft.com/office/2006/metadata/properties"/>
    <ds:schemaRef ds:uri="http://purl.org/dc/dcmitype/"/>
  </ds:schemaRefs>
</ds:datastoreItem>
</file>

<file path=customXml/itemProps4.xml><?xml version="1.0" encoding="utf-8"?>
<ds:datastoreItem xmlns:ds="http://schemas.openxmlformats.org/officeDocument/2006/customXml" ds:itemID="{D392D10F-8ACC-453E-823D-F341324B9C63}"/>
</file>

<file path=docMetadata/LabelInfo.xml><?xml version="1.0" encoding="utf-8"?>
<clbl:labelList xmlns:clbl="http://schemas.microsoft.com/office/2020/mipLabelMetadata">
  <clbl:label id="{c7243e29-e897-47ce-8043-54eeb9907be5}" enabled="0" method="" siteId="{c7243e29-e897-47ce-8043-54eeb9907be5}"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2</vt:i4>
      </vt:variant>
    </vt:vector>
  </HeadingPairs>
  <TitlesOfParts>
    <vt:vector size="7" baseType="lpstr">
      <vt:lpstr>2025</vt:lpstr>
      <vt:lpstr>2026</vt:lpstr>
      <vt:lpstr>Sheet1</vt:lpstr>
      <vt:lpstr>2025 Project Health</vt:lpstr>
      <vt:lpstr>Unfunded Projects</vt:lpstr>
      <vt:lpstr>'2025'!Print_Area</vt:lpstr>
      <vt:lpstr>'2026'!Print_Area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Kim Klinkers</dc:creator>
  <cp:keywords/>
  <dc:description/>
  <cp:lastModifiedBy>Barbara Stevens</cp:lastModifiedBy>
  <cp:revision/>
  <cp:lastPrinted>2025-10-23T17:32:21Z</cp:lastPrinted>
  <dcterms:created xsi:type="dcterms:W3CDTF">2024-10-18T18:47:17Z</dcterms:created>
  <dcterms:modified xsi:type="dcterms:W3CDTF">2025-11-18T19:51:31Z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axKeyword">
    <vt:lpwstr/>
  </property>
  <property fmtid="{D5CDD505-2E9C-101B-9397-08002B2CF9AE}" pid="3" name="ContentTypeId">
    <vt:lpwstr>0x01010006ECCEB8876C3241BF9EAC4A765FAF4200B010D51BFC38B74EAC311886D95ED0A300EDC58EA103263747929A0695BF92E373</vt:lpwstr>
  </property>
  <property fmtid="{D5CDD505-2E9C-101B-9397-08002B2CF9AE}" pid="4" name="MediaServiceImageTags">
    <vt:lpwstr/>
  </property>
  <property fmtid="{D5CDD505-2E9C-101B-9397-08002B2CF9AE}" pid="5" name="Order">
    <vt:r8>100</vt:r8>
  </property>
  <property fmtid="{D5CDD505-2E9C-101B-9397-08002B2CF9AE}" pid="6" name="_ExtendedDescription">
    <vt:lpwstr/>
  </property>
  <property fmtid="{D5CDD505-2E9C-101B-9397-08002B2CF9AE}" pid="7" name="Topic">
    <vt:lpwstr>Erik's</vt:lpwstr>
  </property>
  <property fmtid="{D5CDD505-2E9C-101B-9397-08002B2CF9AE}" pid="8" name="lcf76f155ced4ddcb4097134ff3c332f">
    <vt:lpwstr/>
  </property>
  <property fmtid="{D5CDD505-2E9C-101B-9397-08002B2CF9AE}" pid="9" name="TaxCatchAll">
    <vt:lpwstr/>
  </property>
</Properties>
</file>