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kestevens.sharepoint.com/sites/RMS-CapitalProjects/Planning/"/>
    </mc:Choice>
  </mc:AlternateContent>
  <xr:revisionPtr revIDLastSave="2383" documentId="13_ncr:1_{F95D6DED-4F48-470B-9667-7974809B1E99}" xr6:coauthVersionLast="47" xr6:coauthVersionMax="47" xr10:uidLastSave="{F91F5854-E293-4BDA-9FE8-1B1EEB754BC1}"/>
  <bookViews>
    <workbookView xWindow="14540" yWindow="-21740" windowWidth="38620" windowHeight="21100" xr2:uid="{5374B1B8-6BC4-49DF-9ABF-78A6827D2186}"/>
  </bookViews>
  <sheets>
    <sheet name="2025 GANNT" sheetId="7" r:id="rId1"/>
    <sheet name="2025" sheetId="6" r:id="rId2"/>
    <sheet name="2024" sheetId="5" r:id="rId3"/>
    <sheet name="2023.1" sheetId="2" r:id="rId4"/>
    <sheet name="2023" sheetId="1" r:id="rId5"/>
  </sheets>
  <definedNames>
    <definedName name="_xlnm._FilterDatabase" localSheetId="4" hidden="1">'2023'!$B$5:$F$5</definedName>
    <definedName name="_xlnm._FilterDatabase" localSheetId="3" hidden="1">'2023.1'!$B$5:$F$5</definedName>
    <definedName name="_xlnm._FilterDatabase" localSheetId="1" hidden="1">'2025'!$A$3:$V$4</definedName>
    <definedName name="_xlnm._FilterDatabase" localSheetId="0" hidden="1">'2025 GANNT'!$A$3:$AB$4</definedName>
    <definedName name="Design">#REF!</definedName>
    <definedName name="_xlnm.Print_Area" localSheetId="4">'2023'!$A$1:$V$63</definedName>
    <definedName name="_xlnm.Print_Area" localSheetId="3">'2023.1'!$A$1:$V$56</definedName>
    <definedName name="_xlnm.Print_Area" localSheetId="1">'2025'!$A$1:$Z$62</definedName>
    <definedName name="_xlnm.Print_Area" localSheetId="0">'2025 GANNT'!$A$1:$AB$67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5" i="7" l="1"/>
  <c r="M60" i="6" l="1"/>
  <c r="N60" i="6"/>
  <c r="R60" i="6"/>
  <c r="T60" i="6"/>
  <c r="U60" i="6"/>
  <c r="V60" i="6"/>
  <c r="W60" i="6"/>
  <c r="X60" i="6"/>
  <c r="AQ52" i="6"/>
  <c r="AR52" i="6" s="1"/>
  <c r="AQ41" i="6"/>
  <c r="AR41" i="6" s="1"/>
  <c r="AQ28" i="6"/>
  <c r="AR28" i="6" s="1"/>
  <c r="AQ49" i="6"/>
  <c r="AR49" i="6" s="1"/>
  <c r="AQ31" i="6"/>
  <c r="AR31" i="6" s="1"/>
  <c r="AQ24" i="6"/>
  <c r="AR24" i="6" s="1"/>
  <c r="AQ20" i="6"/>
  <c r="AR20" i="6" s="1"/>
  <c r="AQ5" i="6"/>
  <c r="AR5" i="6" s="1"/>
  <c r="AQ56" i="6"/>
  <c r="AR56" i="6" s="1"/>
  <c r="O56" i="6"/>
  <c r="Q56" i="6" s="1"/>
  <c r="L56" i="6"/>
  <c r="AQ55" i="6"/>
  <c r="AR55" i="6" s="1"/>
  <c r="O55" i="6"/>
  <c r="Q55" i="6" s="1"/>
  <c r="L55" i="6"/>
  <c r="AQ13" i="6" l="1"/>
  <c r="AR13" i="6" s="1"/>
  <c r="O74" i="6"/>
  <c r="Q74" i="6" s="1"/>
  <c r="O73" i="6"/>
  <c r="Q73" i="6" s="1"/>
  <c r="O72" i="6"/>
  <c r="Q72" i="6" s="1"/>
  <c r="AQ15" i="6"/>
  <c r="AR15" i="6" s="1"/>
  <c r="O15" i="6"/>
  <c r="Q15" i="6" s="1"/>
  <c r="L15" i="6"/>
  <c r="AQ18" i="6"/>
  <c r="AR18" i="6" s="1"/>
  <c r="O18" i="6"/>
  <c r="Q18" i="6" s="1"/>
  <c r="L18" i="6"/>
  <c r="AQ30" i="6"/>
  <c r="AR30" i="6" s="1"/>
  <c r="O30" i="6"/>
  <c r="Q30" i="6" s="1"/>
  <c r="L30" i="6"/>
  <c r="AQ29" i="6"/>
  <c r="AR29" i="6" s="1"/>
  <c r="O29" i="6"/>
  <c r="Q29" i="6" s="1"/>
  <c r="L29" i="6"/>
  <c r="AQ57" i="6"/>
  <c r="AR57" i="6" s="1"/>
  <c r="O57" i="6"/>
  <c r="Q57" i="6" s="1"/>
  <c r="L57" i="6"/>
  <c r="AQ58" i="6"/>
  <c r="AR58" i="6" s="1"/>
  <c r="O58" i="6"/>
  <c r="Q58" i="6" s="1"/>
  <c r="L58" i="6"/>
  <c r="AQ12" i="6"/>
  <c r="AR12" i="6" s="1"/>
  <c r="O12" i="6"/>
  <c r="Q12" i="6" s="1"/>
  <c r="L12" i="6"/>
  <c r="AQ48" i="6"/>
  <c r="AR48" i="6" s="1"/>
  <c r="O48" i="6"/>
  <c r="Q48" i="6" s="1"/>
  <c r="L48" i="6"/>
  <c r="AQ51" i="6"/>
  <c r="O51" i="6"/>
  <c r="P51" i="6" s="1"/>
  <c r="AQ50" i="6"/>
  <c r="AR50" i="6" s="1"/>
  <c r="O50" i="6"/>
  <c r="Q50" i="6" s="1"/>
  <c r="L50" i="6"/>
  <c r="AQ47" i="6"/>
  <c r="AR47" i="6" s="1"/>
  <c r="O47" i="6"/>
  <c r="Q47" i="6" s="1"/>
  <c r="L47" i="6"/>
  <c r="AQ46" i="6"/>
  <c r="AR46" i="6" s="1"/>
  <c r="O46" i="6"/>
  <c r="Q46" i="6" s="1"/>
  <c r="L46" i="6"/>
  <c r="AQ45" i="6"/>
  <c r="AR45" i="6" s="1"/>
  <c r="O45" i="6"/>
  <c r="Q45" i="6" s="1"/>
  <c r="L45" i="6"/>
  <c r="AQ44" i="6"/>
  <c r="AR44" i="6" s="1"/>
  <c r="O44" i="6"/>
  <c r="Q44" i="6" s="1"/>
  <c r="L44" i="6"/>
  <c r="AQ43" i="6"/>
  <c r="AR43" i="6" s="1"/>
  <c r="O43" i="6"/>
  <c r="Q43" i="6" s="1"/>
  <c r="L43" i="6"/>
  <c r="AQ42" i="6"/>
  <c r="AR42" i="6" s="1"/>
  <c r="O42" i="6"/>
  <c r="Q42" i="6" s="1"/>
  <c r="L42" i="6"/>
  <c r="AQ40" i="6"/>
  <c r="AR40" i="6" s="1"/>
  <c r="O40" i="6"/>
  <c r="Q40" i="6" s="1"/>
  <c r="L40" i="6"/>
  <c r="AQ8" i="6"/>
  <c r="AR8" i="6" s="1"/>
  <c r="O8" i="6"/>
  <c r="Q8" i="6" s="1"/>
  <c r="L8" i="6"/>
  <c r="AQ7" i="6"/>
  <c r="AR7" i="6" s="1"/>
  <c r="O7" i="6"/>
  <c r="Q7" i="6" s="1"/>
  <c r="L7" i="6"/>
  <c r="AQ39" i="6"/>
  <c r="AR39" i="6" s="1"/>
  <c r="O39" i="6"/>
  <c r="Q39" i="6" s="1"/>
  <c r="L39" i="6"/>
  <c r="AQ38" i="6"/>
  <c r="AR38" i="6" s="1"/>
  <c r="O38" i="6"/>
  <c r="Q38" i="6" s="1"/>
  <c r="L38" i="6"/>
  <c r="AQ37" i="6"/>
  <c r="AR37" i="6" s="1"/>
  <c r="S37" i="6"/>
  <c r="S60" i="6" s="1"/>
  <c r="O37" i="6"/>
  <c r="Q37" i="6" s="1"/>
  <c r="AQ36" i="6"/>
  <c r="AR36" i="6" s="1"/>
  <c r="O36" i="6"/>
  <c r="Q36" i="6" s="1"/>
  <c r="L36" i="6"/>
  <c r="AQ35" i="6"/>
  <c r="AR35" i="6" s="1"/>
  <c r="Q35" i="6"/>
  <c r="O35" i="6"/>
  <c r="L35" i="6"/>
  <c r="AQ34" i="6"/>
  <c r="AR34" i="6" s="1"/>
  <c r="O34" i="6"/>
  <c r="Q34" i="6" s="1"/>
  <c r="L34" i="6"/>
  <c r="AQ32" i="6"/>
  <c r="AR32" i="6" s="1"/>
  <c r="Q32" i="6"/>
  <c r="O32" i="6"/>
  <c r="L32" i="6"/>
  <c r="AQ33" i="6"/>
  <c r="O33" i="6"/>
  <c r="P33" i="6" s="1"/>
  <c r="AQ19" i="6"/>
  <c r="O19" i="6"/>
  <c r="P19" i="6" s="1"/>
  <c r="P60" i="6" s="1"/>
  <c r="AQ9" i="6"/>
  <c r="AR9" i="6" s="1"/>
  <c r="O9" i="6"/>
  <c r="L9" i="6"/>
  <c r="AQ22" i="6"/>
  <c r="AR22" i="6" s="1"/>
  <c r="O22" i="6"/>
  <c r="Q22" i="6" s="1"/>
  <c r="L22" i="6"/>
  <c r="AQ14" i="6"/>
  <c r="AR14" i="6" s="1"/>
  <c r="Q14" i="6"/>
  <c r="O14" i="6"/>
  <c r="L14" i="6"/>
  <c r="AQ26" i="6"/>
  <c r="AR26" i="6" s="1"/>
  <c r="O26" i="6"/>
  <c r="Q26" i="6" s="1"/>
  <c r="AQ21" i="6"/>
  <c r="AR21" i="6" s="1"/>
  <c r="Q21" i="6"/>
  <c r="O21" i="6"/>
  <c r="AQ54" i="6"/>
  <c r="AR54" i="6" s="1"/>
  <c r="O54" i="6"/>
  <c r="Q54" i="6" s="1"/>
  <c r="L54" i="6"/>
  <c r="AQ11" i="6"/>
  <c r="AR11" i="6" s="1"/>
  <c r="O11" i="6"/>
  <c r="Q11" i="6" s="1"/>
  <c r="L11" i="6"/>
  <c r="AQ17" i="6"/>
  <c r="AR17" i="6" s="1"/>
  <c r="O17" i="6"/>
  <c r="Q17" i="6" s="1"/>
  <c r="L17" i="6"/>
  <c r="AQ53" i="6"/>
  <c r="AR53" i="6" s="1"/>
  <c r="O53" i="6"/>
  <c r="Q53" i="6" s="1"/>
  <c r="L53" i="6"/>
  <c r="AQ16" i="6"/>
  <c r="AR16" i="6" s="1"/>
  <c r="O16" i="6"/>
  <c r="Q16" i="6" s="1"/>
  <c r="L16" i="6"/>
  <c r="AQ6" i="6"/>
  <c r="AR6" i="6" s="1"/>
  <c r="O6" i="6"/>
  <c r="L6" i="6"/>
  <c r="AQ25" i="6"/>
  <c r="AR25" i="6" s="1"/>
  <c r="O25" i="6"/>
  <c r="Q25" i="6" s="1"/>
  <c r="L25" i="6"/>
  <c r="AQ10" i="6"/>
  <c r="AR10" i="6" s="1"/>
  <c r="O10" i="6"/>
  <c r="Q10" i="6" s="1"/>
  <c r="L10" i="6"/>
  <c r="AJ1" i="6"/>
  <c r="F12" i="2"/>
  <c r="F13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1" i="2"/>
  <c r="F10" i="2"/>
  <c r="F9" i="2"/>
  <c r="F8" i="2"/>
  <c r="F7" i="2"/>
  <c r="F6" i="2"/>
  <c r="F13" i="1"/>
  <c r="F18" i="1"/>
  <c r="F37" i="1"/>
  <c r="F10" i="1"/>
  <c r="F27" i="1"/>
  <c r="F26" i="1"/>
  <c r="F40" i="1"/>
  <c r="F8" i="1"/>
  <c r="F9" i="1"/>
  <c r="F34" i="1"/>
  <c r="F33" i="1"/>
  <c r="F32" i="1"/>
  <c r="F31" i="1"/>
  <c r="F30" i="1"/>
  <c r="F36" i="1"/>
  <c r="F15" i="1"/>
  <c r="F25" i="1"/>
  <c r="F23" i="1"/>
  <c r="F21" i="1"/>
  <c r="F19" i="1"/>
  <c r="F17" i="1"/>
  <c r="F39" i="1"/>
  <c r="F14" i="1"/>
  <c r="Q6" i="6" l="1"/>
  <c r="O60" i="6"/>
  <c r="AR51" i="6"/>
  <c r="Q51" i="6"/>
  <c r="L51" i="6"/>
  <c r="AR19" i="6"/>
  <c r="Q19" i="6"/>
  <c r="L19" i="6"/>
  <c r="L60" i="6" s="1"/>
  <c r="Q33" i="6"/>
  <c r="AR33" i="6"/>
  <c r="Q9" i="6"/>
  <c r="F11" i="1"/>
  <c r="Q60" i="6" l="1"/>
  <c r="F24" i="1"/>
  <c r="F6" i="1"/>
  <c r="F12" i="1"/>
  <c r="F20" i="1"/>
  <c r="F22" i="1" s="1"/>
  <c r="F16" i="1"/>
  <c r="F28" i="1"/>
  <c r="F29" i="1"/>
  <c r="F35" i="1"/>
  <c r="F38" i="1"/>
  <c r="F7" i="1"/>
  <c r="P6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tc={E304E1F8-5AC0-4E4C-85B0-AC1D6192AEBE}</author>
    <author>tc={29AF0A12-2BF2-48E9-BCD7-5FB6E9D0E0B9}</author>
    <author>tc={EF1D6670-F5E3-4681-BDA7-41168EC4F4A3}</author>
    <author>Kim Klinkers</author>
    <author>tc={3B839ACF-FB17-4634-BDF0-981E82DA9B5C}</author>
    <author>tc={F8BBE452-7A90-4597-A8EC-0C61C6E3541A}</author>
  </authors>
  <commentList>
    <comment ref="AN3" authorId="0" shapeId="0" xr:uid="{E304E1F8-5AC0-4E4C-85B0-AC1D6192AEBE}">
      <text>
        <t>[Threaded comment]
Your version of Excel allows you to read this threaded comment; however, any edits to it will get removed if the file is opened in a newer version of Excel. Learn more: https://go.microsoft.com/fwlink/?linkid=870924
Comment:
    Sidewalk</t>
      </text>
    </comment>
    <comment ref="AO3" authorId="1" shapeId="0" xr:uid="{29AF0A12-2BF2-48E9-BCD7-5FB6E9D0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Stormwater Capital</t>
      </text>
    </comment>
    <comment ref="AP3" authorId="2" shapeId="0" xr:uid="{EF1D6670-F5E3-4681-BDA7-41168EC4F4A3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Capital</t>
      </text>
    </comment>
    <comment ref="N6" authorId="3" shapeId="0" xr:uid="{87C8BE46-5071-4018-9647-E83B6B9098DC}">
      <text>
        <r>
          <rPr>
            <b/>
            <sz val="9"/>
            <color indexed="81"/>
            <rFont val="Tahoma"/>
            <family val="2"/>
          </rPr>
          <t>Kim Klinkers:</t>
        </r>
        <r>
          <rPr>
            <sz val="9"/>
            <color indexed="81"/>
            <rFont val="Tahoma"/>
            <family val="2"/>
          </rPr>
          <t xml:space="preserve">
Check that TIB grant for $442k is accounted for.</t>
        </r>
      </text>
    </comment>
    <comment ref="X11" authorId="3" shapeId="0" xr:uid="{708F7EE2-73D7-42A2-AA36-0ED55F2EF831}">
      <text>
        <r>
          <rPr>
            <b/>
            <sz val="9"/>
            <color indexed="81"/>
            <rFont val="Tahoma"/>
            <family val="2"/>
          </rPr>
          <t>Kim Klinkers:</t>
        </r>
        <r>
          <rPr>
            <sz val="9"/>
            <color indexed="81"/>
            <rFont val="Tahoma"/>
            <family val="2"/>
          </rPr>
          <t xml:space="preserve">
Estimate. Working through DEA.</t>
        </r>
      </text>
    </comment>
    <comment ref="R15" authorId="4" shapeId="0" xr:uid="{3B839ACF-FB17-4634-BDF0-981E82DA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Kim was this feasibility, design &amp; engineering only?
Reply:
    It should be design and construction. I guessed at the construction cost for now. It will need to be refined once we are in the design phase. 
Reply:
    Okay</t>
      </text>
    </comment>
    <comment ref="P25" authorId="3" shapeId="0" xr:uid="{DA86F252-1297-4BFE-9CC9-D204CED8157C}">
      <text>
        <r>
          <rPr>
            <b/>
            <sz val="9"/>
            <color indexed="81"/>
            <rFont val="Tahoma"/>
            <family val="2"/>
          </rPr>
          <t>Kim Klinkers:</t>
        </r>
        <r>
          <rPr>
            <sz val="9"/>
            <color indexed="81"/>
            <rFont val="Tahoma"/>
            <family val="2"/>
          </rPr>
          <t xml:space="preserve">
Need ~ $500k local funds for design and federal match req.</t>
        </r>
      </text>
    </comment>
    <comment ref="P33" authorId="5" shapeId="0" xr:uid="{F8BBE452-7A90-4597-A8EC-0C61C6E3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Roll Over Unspent from last year and add a new $15k</t>
      </text>
    </comment>
    <comment ref="P53" authorId="3" shapeId="0" xr:uid="{7F26D04E-8D1B-43CC-B29A-A4112927EF22}">
      <text>
        <r>
          <rPr>
            <b/>
            <sz val="9"/>
            <color indexed="81"/>
            <rFont val="Tahoma"/>
            <family val="2"/>
          </rPr>
          <t>Kim Klinkers:</t>
        </r>
        <r>
          <rPr>
            <sz val="9"/>
            <color indexed="81"/>
            <rFont val="Tahoma"/>
            <family val="2"/>
          </rPr>
          <t xml:space="preserve">
Waiting for WSDOT grant notice.</t>
        </r>
      </text>
    </comment>
    <comment ref="P54" authorId="3" shapeId="0" xr:uid="{1083F7B5-0A9D-4EE4-9F1E-A2893690B33E}">
      <text>
        <r>
          <rPr>
            <b/>
            <sz val="9"/>
            <color indexed="81"/>
            <rFont val="Tahoma"/>
            <family val="2"/>
          </rPr>
          <t>Kim Klinkers:</t>
        </r>
        <r>
          <rPr>
            <sz val="9"/>
            <color indexed="81"/>
            <rFont val="Tahoma"/>
            <family val="2"/>
          </rPr>
          <t xml:space="preserve">
Waiting for TIB grant notice.</t>
        </r>
      </text>
    </comment>
  </commentList>
</comments>
</file>

<file path=xl/sharedStrings.xml><?xml version="1.0" encoding="utf-8"?>
<sst xmlns="http://schemas.openxmlformats.org/spreadsheetml/2006/main" count="1278" uniqueCount="471">
  <si>
    <t>City of Lake Stevens</t>
  </si>
  <si>
    <t>2025 Capital Improvement Projects</t>
  </si>
  <si>
    <t>Project type.</t>
  </si>
  <si>
    <t>CFP No.</t>
  </si>
  <si>
    <t>Project #</t>
  </si>
  <si>
    <t>Project Name</t>
  </si>
  <si>
    <t>Status</t>
  </si>
  <si>
    <t>Scope status</t>
  </si>
  <si>
    <t>Schedule Status</t>
  </si>
  <si>
    <t>Budget Status</t>
  </si>
  <si>
    <t>Project Charter (add link)</t>
  </si>
  <si>
    <t>Pre-app
Done</t>
  </si>
  <si>
    <t>Total Project Cost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</si>
  <si>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</si>
  <si>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</si>
  <si>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</si>
  <si>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</si>
  <si>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</si>
  <si>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</si>
  <si>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</si>
  <si>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</si>
  <si>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</si>
  <si>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</si>
  <si>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</si>
  <si>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</si>
  <si>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Executed</t>
  </si>
  <si>
    <t>Draft</t>
  </si>
  <si>
    <t>Not Started</t>
  </si>
  <si>
    <t>N/A</t>
  </si>
  <si>
    <t>ERIK</t>
  </si>
  <si>
    <t>ST</t>
  </si>
  <si>
    <t>TBD-02/03</t>
  </si>
  <si>
    <t>91st Ave SE Sidewalk (4th to Market) &amp; (8th to 4th St SE)</t>
  </si>
  <si>
    <t>Final Payments and closeout</t>
  </si>
  <si>
    <t>Close</t>
  </si>
  <si>
    <t>Yes</t>
  </si>
  <si>
    <t>PA</t>
  </si>
  <si>
    <t>PR-107</t>
  </si>
  <si>
    <t>Lake Stevens Bayview Connector Phase 0</t>
  </si>
  <si>
    <t>2 weeks to finish, Trail Final Paving this week</t>
  </si>
  <si>
    <t>CN</t>
  </si>
  <si>
    <t>PR-108</t>
  </si>
  <si>
    <t>Lake Stevens Bayview Connector Phase 0.5</t>
  </si>
  <si>
    <t>Working with Consultant to scope and finalize Design</t>
  </si>
  <si>
    <t>Design</t>
  </si>
  <si>
    <t>ROW</t>
  </si>
  <si>
    <t>Ad</t>
  </si>
  <si>
    <t>23006_Project Charter_230502.docx</t>
  </si>
  <si>
    <t>No</t>
  </si>
  <si>
    <t>PR-100</t>
  </si>
  <si>
    <t>Frontier Heights Phase II</t>
  </si>
  <si>
    <t>Finalizing Design/Permits. Preparing Advertisement</t>
  </si>
  <si>
    <t>22016_Project Charter_231107.docx</t>
  </si>
  <si>
    <t>RD-101</t>
  </si>
  <si>
    <t>Main St. Improvements (16th St NE to 20th St NE)</t>
  </si>
  <si>
    <t>Awarded Contract, CM Services Award, Construction Begins 2025</t>
  </si>
  <si>
    <t>Impeded</t>
  </si>
  <si>
    <t>AD</t>
  </si>
  <si>
    <t>Hold</t>
  </si>
  <si>
    <t>X</t>
  </si>
  <si>
    <t>FC-112</t>
  </si>
  <si>
    <t>131st Avenue Infrastructure Improvements</t>
  </si>
  <si>
    <t>Finalizing ROW/Design/Permits. Preparing Advertisement</t>
  </si>
  <si>
    <t>FA</t>
  </si>
  <si>
    <t>FC-114</t>
  </si>
  <si>
    <t>Machias Sewer Infrastructure Improvements</t>
  </si>
  <si>
    <t>FC-111</t>
  </si>
  <si>
    <t>?</t>
  </si>
  <si>
    <t>RD-203</t>
  </si>
  <si>
    <t>Annual Pavement Preservation Program &amp; Citywide Striping</t>
  </si>
  <si>
    <t>Substantially Complete</t>
  </si>
  <si>
    <t>Planning</t>
  </si>
  <si>
    <t>SW</t>
  </si>
  <si>
    <t>Downtown Regional Stormwater Facility</t>
  </si>
  <si>
    <t>Pre-app meeting mid-July</t>
  </si>
  <si>
    <t>Stopped</t>
  </si>
  <si>
    <t>TBD-04</t>
  </si>
  <si>
    <t>117th Ave NE Sidewalk (20th to 26th St NE)</t>
  </si>
  <si>
    <t>Design Starting</t>
  </si>
  <si>
    <t>TBD-07</t>
  </si>
  <si>
    <t>Soper Hill Sidewalk (Lake Drive to SR9)</t>
  </si>
  <si>
    <t>Project Charter</t>
  </si>
  <si>
    <t>91st SE Phase 2 Multiuse Path (TBP 5)</t>
  </si>
  <si>
    <t>Accepting Grant. Consultant Selection</t>
  </si>
  <si>
    <t>99th Ave Sidewalk (TBP 14)</t>
  </si>
  <si>
    <t>Construction begins mid July</t>
  </si>
  <si>
    <t>SW-104</t>
  </si>
  <si>
    <t>Bridge 06 Replacement - 36th Street NE</t>
  </si>
  <si>
    <t>Project Charter, Design Starting</t>
  </si>
  <si>
    <t>RD-113</t>
  </si>
  <si>
    <t>20th St NE and Main Street Roundabout</t>
  </si>
  <si>
    <t>60% PS&amp;E by July</t>
  </si>
  <si>
    <t>WHITNEY</t>
  </si>
  <si>
    <t>Annual Citywide Road Striping and Thermoplastic</t>
  </si>
  <si>
    <t>Included in 2025 Overlay contract, out to ad now</t>
  </si>
  <si>
    <t>RD-205</t>
  </si>
  <si>
    <t>Traffic Safety &amp; Calming Program</t>
  </si>
  <si>
    <t>Scope work: Cameras project (AH), Traffic Calming Policy (LSMC) and Program (including EDDS) development/update</t>
  </si>
  <si>
    <t>EDDS Update</t>
  </si>
  <si>
    <t>Ch. 2 underway</t>
  </si>
  <si>
    <t>Mill Spur Public Safety Concerns</t>
  </si>
  <si>
    <t>Scoping with traffic engineer, evaluating countermeasures</t>
  </si>
  <si>
    <t>https://lakestevens.sharepoint.com/:w:/r/teams/CityofLakeStevens/Shared%20Documents/General/08-Public%20Works%20-%20Public/Mill%20Spur/20250703_Charter_MillSpurTrafficCalming.docx?d=w2c58a3d455fb42a5966cd1ea0e6c3e51&amp;csf=1&amp;web=1&amp;e=c9U3lM</t>
  </si>
  <si>
    <t>SHANNON</t>
  </si>
  <si>
    <t>SW-106</t>
  </si>
  <si>
    <t>Hartford Crossing - New and Channel realignment</t>
  </si>
  <si>
    <t>SoQ Evaluation</t>
  </si>
  <si>
    <t>grant application</t>
  </si>
  <si>
    <t>Funding/Granting</t>
  </si>
  <si>
    <t>SW-111</t>
  </si>
  <si>
    <t>Catherine Creek/Hartford Crossing Replacement</t>
  </si>
  <si>
    <t>SOQ evaluation</t>
  </si>
  <si>
    <t>AARON</t>
  </si>
  <si>
    <t>PW/Parks Building Feasibility Study</t>
  </si>
  <si>
    <t>consultant selected</t>
  </si>
  <si>
    <t>Traffic Safety Camera Program</t>
  </si>
  <si>
    <t>bringing to council June</t>
  </si>
  <si>
    <t>PARKS</t>
  </si>
  <si>
    <t>PR-206</t>
  </si>
  <si>
    <t>Eagle Ridge Property Acquisition</t>
  </si>
  <si>
    <t>Complete</t>
  </si>
  <si>
    <t>Feasibility for Eagle Ridge</t>
  </si>
  <si>
    <t>PR-123</t>
  </si>
  <si>
    <t>Eagle Ridge Storage Building</t>
  </si>
  <si>
    <t>Bars on windows have been completed. Remaining work will be reported by field this week. (9/2)</t>
  </si>
  <si>
    <t> </t>
  </si>
  <si>
    <t>PR-201</t>
  </si>
  <si>
    <t xml:space="preserve">N Cove Marina &amp; Marine Unit Relocation Feasibility </t>
  </si>
  <si>
    <t>RFQ closes November 19</t>
  </si>
  <si>
    <t>PR-141</t>
  </si>
  <si>
    <t>North Cove Non-Motorized Dock</t>
  </si>
  <si>
    <t>Permits</t>
  </si>
  <si>
    <t>PR-103</t>
  </si>
  <si>
    <t>North Cove Light Bollard Replacement</t>
  </si>
  <si>
    <t>PR-104</t>
  </si>
  <si>
    <t>Cedarwood Property</t>
  </si>
  <si>
    <t>Consultant negotiations</t>
  </si>
  <si>
    <t>Select Contractor</t>
  </si>
  <si>
    <t>PR-113</t>
  </si>
  <si>
    <t>Davies Beach Pier Resurfacing</t>
  </si>
  <si>
    <t>Structural analysis complete, preliminary comments indicate there is minimal work that needs to be done to piles</t>
  </si>
  <si>
    <t>PR-106</t>
  </si>
  <si>
    <t>West Lake Park Recreation Amenities</t>
  </si>
  <si>
    <t xml:space="preserve">SCL is amenable to a pump track in this location.  </t>
  </si>
  <si>
    <t>PR-203</t>
  </si>
  <si>
    <t>Lake Stevens Bayview Connector Phase 1</t>
  </si>
  <si>
    <t>Consultant PSA executed, kick off meeting 10/8</t>
  </si>
  <si>
    <t>Submit</t>
  </si>
  <si>
    <t>Consultant selection</t>
  </si>
  <si>
    <t>PR-102</t>
  </si>
  <si>
    <t>Eagle Ridge Park Phase II</t>
  </si>
  <si>
    <t>Consultant selection will begin by Dec</t>
  </si>
  <si>
    <t>Pause</t>
  </si>
  <si>
    <t>Restart</t>
  </si>
  <si>
    <t>CURTIS</t>
  </si>
  <si>
    <t>Evergreen Office Building (siding, HVAC, fire alarm)</t>
  </si>
  <si>
    <t>RFQ posted, Ratings 3/4, Proceed</t>
  </si>
  <si>
    <t>FC-107</t>
  </si>
  <si>
    <t>1819 Building (HVAC, fire panel)</t>
  </si>
  <si>
    <t>timing vendor's action</t>
  </si>
  <si>
    <t>PW Shop Improvements (electrical panels, roof, cracked walls)</t>
  </si>
  <si>
    <t>PD Station (fire alarm)</t>
  </si>
  <si>
    <t>PD Evidence Building (fire alarm, security system panels)</t>
  </si>
  <si>
    <t>Visitor Information Center (electrical panel)</t>
  </si>
  <si>
    <t>working with Facilities Team</t>
  </si>
  <si>
    <t>RUSS</t>
  </si>
  <si>
    <t>Municipal Service Campus</t>
  </si>
  <si>
    <t>revised site plans and prelim cost estimates</t>
  </si>
  <si>
    <t>FC-101</t>
  </si>
  <si>
    <t>Museum</t>
  </si>
  <si>
    <t>awaiting structural and electrical and cost estimate</t>
  </si>
  <si>
    <t>permitting</t>
  </si>
  <si>
    <t>GRANTS - ON HOLD</t>
  </si>
  <si>
    <t>SS4A - Planning grant for Local Road Safety Plan</t>
  </si>
  <si>
    <t>Submitted</t>
  </si>
  <si>
    <t>CP-140S</t>
  </si>
  <si>
    <t>South Lake Stevens Multi-Use Path Phase II</t>
  </si>
  <si>
    <t>TBD-18</t>
  </si>
  <si>
    <t>South Lake Stevens Multi-Use Path Phase III</t>
  </si>
  <si>
    <t>SW-108</t>
  </si>
  <si>
    <t>36th St Culvert Replacement</t>
  </si>
  <si>
    <t>FC-204</t>
  </si>
  <si>
    <t>Police Training Center Lighting</t>
  </si>
  <si>
    <t>TOTAL</t>
  </si>
  <si>
    <t>Status Legend:</t>
  </si>
  <si>
    <t>Good</t>
  </si>
  <si>
    <t>Phase Legend</t>
  </si>
  <si>
    <t>Advertisement</t>
  </si>
  <si>
    <t>Construction</t>
  </si>
  <si>
    <t>Closeout</t>
  </si>
  <si>
    <t>Project
Charter</t>
  </si>
  <si>
    <t>2024 Budget</t>
  </si>
  <si>
    <t>2024 Spent</t>
  </si>
  <si>
    <t>Difference</t>
  </si>
  <si>
    <t>2025 Request</t>
  </si>
  <si>
    <t>2025 Additional Needed</t>
  </si>
  <si>
    <t>Grants</t>
  </si>
  <si>
    <t>Gen</t>
  </si>
  <si>
    <t>PR</t>
  </si>
  <si>
    <t>Rental</t>
  </si>
  <si>
    <t>Street</t>
  </si>
  <si>
    <t>TIZ1</t>
  </si>
  <si>
    <t>TIZ2</t>
  </si>
  <si>
    <t>TIZ3</t>
  </si>
  <si>
    <t>TBP</t>
  </si>
  <si>
    <t>FIL</t>
  </si>
  <si>
    <t>PM</t>
  </si>
  <si>
    <t>R1</t>
  </si>
  <si>
    <t>R2</t>
  </si>
  <si>
    <t>FC</t>
  </si>
  <si>
    <t>SWC</t>
  </si>
  <si>
    <t>Cap</t>
  </si>
  <si>
    <t>Q4</t>
  </si>
  <si>
    <t>Q1</t>
  </si>
  <si>
    <t>Q2</t>
  </si>
  <si>
    <t>Q3</t>
  </si>
  <si>
    <t>Barb's Finance Notes</t>
  </si>
  <si>
    <t>Amount</t>
  </si>
  <si>
    <t>Source</t>
  </si>
  <si>
    <t>Notes</t>
  </si>
  <si>
    <t>001</t>
  </si>
  <si>
    <t>004</t>
  </si>
  <si>
    <t>005</t>
  </si>
  <si>
    <t>101</t>
  </si>
  <si>
    <t>301</t>
  </si>
  <si>
    <t>120</t>
  </si>
  <si>
    <t>302</t>
  </si>
  <si>
    <t>303</t>
  </si>
  <si>
    <t>304</t>
  </si>
  <si>
    <t>306</t>
  </si>
  <si>
    <t>309</t>
  </si>
  <si>
    <t>411</t>
  </si>
  <si>
    <t>other</t>
  </si>
  <si>
    <t xml:space="preserve"> Project Completion - TIB Grant Submission needed </t>
  </si>
  <si>
    <t>TIB</t>
  </si>
  <si>
    <t>TIB # C-P-146(002)-1</t>
  </si>
  <si>
    <t xml:space="preserve"> RF $800K for 1A </t>
  </si>
  <si>
    <t xml:space="preserve">Construction - RF </t>
  </si>
  <si>
    <t>RCO</t>
  </si>
  <si>
    <t>Secured thru 2025</t>
  </si>
  <si>
    <t>RF</t>
  </si>
  <si>
    <t xml:space="preserve"> RF Current Budgets </t>
  </si>
  <si>
    <t>FHWA</t>
  </si>
  <si>
    <t>Obligate by June 2024</t>
  </si>
  <si>
    <t xml:space="preserve"> RF Only - Sewer Dist $$? - No need to find $$ now</t>
  </si>
  <si>
    <t>LSSD Share</t>
  </si>
  <si>
    <t>Negotiations in process</t>
  </si>
  <si>
    <t>x</t>
  </si>
  <si>
    <t xml:space="preserve"> RF </t>
  </si>
  <si>
    <t>BEN</t>
  </si>
  <si>
    <t>Annual Pavement Preservation Program</t>
  </si>
  <si>
    <t xml:space="preserve"> ST (Sewer UT), TBP, REET,  </t>
  </si>
  <si>
    <t>Design &amp; Estimated Construction</t>
  </si>
  <si>
    <t xml:space="preserve"> TBP - through final design </t>
  </si>
  <si>
    <t>Soper Hill Sidewalk &amp; Sewer Extension (Lake Drive to SR9)</t>
  </si>
  <si>
    <t xml:space="preserve"> TBP - D&amp;E </t>
  </si>
  <si>
    <t xml:space="preserve"> PWTF Loan - Loan payments Budget (need amort)</t>
  </si>
  <si>
    <t>PW Board Loan</t>
  </si>
  <si>
    <t>Award / unsecured</t>
  </si>
  <si>
    <t xml:space="preserve"> RF - Pursuing grants </t>
  </si>
  <si>
    <t>Applied / unsecured</t>
  </si>
  <si>
    <t xml:space="preserve"> Street </t>
  </si>
  <si>
    <t xml:space="preserve"> RF $50K = $100K </t>
  </si>
  <si>
    <t>KIM</t>
  </si>
  <si>
    <t xml:space="preserve"> $500K Local Needed?Construction to start late 2025. BA when grant obligated. </t>
  </si>
  <si>
    <t>Federal Earmark</t>
  </si>
  <si>
    <t>Obligate by Sept. 2026</t>
  </si>
  <si>
    <t>RD-202</t>
  </si>
  <si>
    <t>Annual ADA &amp; Sidewalk Improvements</t>
  </si>
  <si>
    <t xml:space="preserve"> 309 - $50K for sidewalk &amp; $50K ADA </t>
  </si>
  <si>
    <t>Costco Closeout</t>
  </si>
  <si>
    <t xml:space="preserve"> Budget with Grant Revenue  - BARS 3316600</t>
  </si>
  <si>
    <t xml:space="preserve">EPA </t>
  </si>
  <si>
    <t>Federal Direct Award / unsecured</t>
  </si>
  <si>
    <t xml:space="preserve"> Design </t>
  </si>
  <si>
    <t xml:space="preserve"> Complete 2024 - PR - May come in under budget.</t>
  </si>
  <si>
    <t>Updated per Sarah</t>
  </si>
  <si>
    <t>N Cove Marina Feasibility &amp; Marine Unit Relocation</t>
  </si>
  <si>
    <t>$40000 $87000</t>
  </si>
  <si>
    <t>Fire District &amp; Snohomish County</t>
  </si>
  <si>
    <t>Secured</t>
  </si>
  <si>
    <t xml:space="preserve"> RF for feasibility only - Not budgeting construction or grants until they approve scope change. </t>
  </si>
  <si>
    <t>State</t>
  </si>
  <si>
    <t>Snohomish County</t>
  </si>
  <si>
    <t xml:space="preserve"> Design - Cost Sharing with Marysville </t>
  </si>
  <si>
    <t>Public Works O&amp;M</t>
  </si>
  <si>
    <t>PLANNING &amp; CD</t>
  </si>
  <si>
    <t xml:space="preserve"> RF - $11.8M budget per Russ (+$100K retainage)</t>
  </si>
  <si>
    <t>Capital Heritage Grant</t>
  </si>
  <si>
    <t>Secured through 2025</t>
  </si>
  <si>
    <t>TBD-05</t>
  </si>
  <si>
    <t>91st Ave SE Sidewalk (20th to 12th St SE)</t>
  </si>
  <si>
    <t xml:space="preserve"> Planning D&amp;E. Hold for grant - Do not budget</t>
  </si>
  <si>
    <t>WSDOT SRTS</t>
  </si>
  <si>
    <t>20th St SE Widening, Trestle to 83rd Ave</t>
  </si>
  <si>
    <t xml:space="preserve"> Local Match? Hold for Grant - Do not budget</t>
  </si>
  <si>
    <t>Capital Transportation</t>
  </si>
  <si>
    <t>Available 2029</t>
  </si>
  <si>
    <t xml:space="preserve"> Hold for grant. $40K Local </t>
  </si>
  <si>
    <t>Fish Barrier Removal</t>
  </si>
  <si>
    <t>Hold for grant. Do not Budget</t>
  </si>
  <si>
    <t>Energy Conservation</t>
  </si>
  <si>
    <t>Other 2024 CIP</t>
  </si>
  <si>
    <t>RD-106</t>
  </si>
  <si>
    <t>79th Ave SE &amp; 8th St SE Intersection Improvements</t>
  </si>
  <si>
    <t>RD-201</t>
  </si>
  <si>
    <t>Wayfinding Signage</t>
  </si>
  <si>
    <t>??</t>
  </si>
  <si>
    <t>SW-201</t>
  </si>
  <si>
    <t>Hartford Property Acquisition and Restoration</t>
  </si>
  <si>
    <t>Status:</t>
  </si>
  <si>
    <t>Project Type</t>
  </si>
  <si>
    <t>Budget</t>
  </si>
  <si>
    <t>Schedule</t>
  </si>
  <si>
    <t>Scope</t>
  </si>
  <si>
    <t>J</t>
  </si>
  <si>
    <t>F</t>
  </si>
  <si>
    <t>M</t>
  </si>
  <si>
    <t>A</t>
  </si>
  <si>
    <t>S</t>
  </si>
  <si>
    <t>O</t>
  </si>
  <si>
    <t>N</t>
  </si>
  <si>
    <t>D</t>
  </si>
  <si>
    <t>Main Street Improvements (16th to 20th)</t>
  </si>
  <si>
    <t>Streets</t>
  </si>
  <si>
    <t>Erik</t>
  </si>
  <si>
    <t>Bid open 10/15</t>
  </si>
  <si>
    <t>2024 Pavement Preservation</t>
  </si>
  <si>
    <t>Started 8/12</t>
  </si>
  <si>
    <t>91st Ave Sidewalk, 4th St to Market</t>
  </si>
  <si>
    <t>91st Ave Sidewalk, 8th St to 4th St</t>
  </si>
  <si>
    <t>Frontier Heights Park Phase II</t>
  </si>
  <si>
    <t>Park</t>
  </si>
  <si>
    <t>Process change request</t>
  </si>
  <si>
    <t>LS Bayview Connector Phase 0 (Powerline Trail)</t>
  </si>
  <si>
    <t>Started 7/29</t>
  </si>
  <si>
    <t>131st Ave Infrastructure Improvements</t>
  </si>
  <si>
    <t>Fac/Util</t>
  </si>
  <si>
    <t>Final design, ROW</t>
  </si>
  <si>
    <t>Machias Lift Station</t>
  </si>
  <si>
    <t>Design report in/pending comments</t>
  </si>
  <si>
    <t>117th Ave Sidewalk, 20th St to 26th St</t>
  </si>
  <si>
    <t>Ben</t>
  </si>
  <si>
    <t>Kickoff design</t>
  </si>
  <si>
    <t>Main Street/20th Street Roundabout</t>
  </si>
  <si>
    <t>Pre-app meeting</t>
  </si>
  <si>
    <t>Regional Stormwater Facility</t>
  </si>
  <si>
    <t>Storm</t>
  </si>
  <si>
    <t>Kim</t>
  </si>
  <si>
    <t>Prelim. scoping</t>
  </si>
  <si>
    <t>ADA Transition Plan</t>
  </si>
  <si>
    <t>Final draft</t>
  </si>
  <si>
    <t>Weir Replacement</t>
  </si>
  <si>
    <t>Shannon</t>
  </si>
  <si>
    <t>Prelim. design</t>
  </si>
  <si>
    <t>36th Street Bridge Replacement</t>
  </si>
  <si>
    <t>Loan request</t>
  </si>
  <si>
    <t>Annual Striping Program</t>
  </si>
  <si>
    <t>Whitney</t>
  </si>
  <si>
    <t>79th Ave &amp; 8th St Intersection</t>
  </si>
  <si>
    <t>Underway</t>
  </si>
  <si>
    <t>91st Ave Sidewalk, 20th St to 12th St</t>
  </si>
  <si>
    <t>North Lakeshore Dr., Main Street to 123rd Ave NE</t>
  </si>
  <si>
    <t>Soper Hill Rd. SR9 to Lake Dr</t>
  </si>
  <si>
    <t>P&amp;CD</t>
  </si>
  <si>
    <t>91st Ave NE Commercial Revitalization Phase I</t>
  </si>
  <si>
    <t>Prelim. design done</t>
  </si>
  <si>
    <t>Parks</t>
  </si>
  <si>
    <t xml:space="preserve">Grant applications </t>
  </si>
  <si>
    <t>N Cove Row Dock</t>
  </si>
  <si>
    <t>Design &amp; permitting</t>
  </si>
  <si>
    <t>Cedarwood Community Center</t>
  </si>
  <si>
    <t>Remove?</t>
  </si>
  <si>
    <t>PW Shop Building Feasibility/Preliminary Design</t>
  </si>
  <si>
    <t>PW</t>
  </si>
  <si>
    <t>Security Cameras</t>
  </si>
  <si>
    <t>IT</t>
  </si>
  <si>
    <t>City Hall Purchase and Tenant Improvement</t>
  </si>
  <si>
    <t>1819 Commercial Building Paint and Remodel</t>
  </si>
  <si>
    <t>On track</t>
  </si>
  <si>
    <t>Scoping/Pre-design Stage</t>
  </si>
  <si>
    <t>Design/Permitting Stage (Starts with Executing Design Contract(s)</t>
  </si>
  <si>
    <t>Obstructed</t>
  </si>
  <si>
    <t>ROW Acquisition/Temporary Construction Access (Design Slowdown)</t>
  </si>
  <si>
    <t>Celebrate</t>
  </si>
  <si>
    <t>External Agency Permitting (Design Slowdown)</t>
  </si>
  <si>
    <t>Invitation for Bids Window</t>
  </si>
  <si>
    <t>Construction Stage (Starts with Award Date; excludes close-out)</t>
  </si>
  <si>
    <t>Schedule Adjust from Previous Meeting</t>
  </si>
  <si>
    <t>.</t>
  </si>
  <si>
    <t>2023 Capital Work Plan - City of Lake Stevens</t>
  </si>
  <si>
    <t>Original Date: 2/17/2023</t>
  </si>
  <si>
    <t>Date Prepared:</t>
  </si>
  <si>
    <t>Prepared By:</t>
  </si>
  <si>
    <t>Erik Mangold</t>
  </si>
  <si>
    <t>Project</t>
  </si>
  <si>
    <t>Project Manager</t>
  </si>
  <si>
    <t>Start Date</t>
  </si>
  <si>
    <t>Duration</t>
  </si>
  <si>
    <t>End Date</t>
  </si>
  <si>
    <t>Main Street &amp; 20th Street RAB</t>
  </si>
  <si>
    <t>Aaron</t>
  </si>
  <si>
    <t>Law Enforcement Dock</t>
  </si>
  <si>
    <t>131st Ave NE Sewer Extension</t>
  </si>
  <si>
    <t>Parks Relocation/Sewer Relocation</t>
  </si>
  <si>
    <t>Main Street</t>
  </si>
  <si>
    <t>South Lake Stevens MUP II &amp; III</t>
  </si>
  <si>
    <t>Mill Spur Parking Lot</t>
  </si>
  <si>
    <t>Gateway Sign @ S. lake Stevens Rd</t>
  </si>
  <si>
    <t>Gateway Signs @ SR204</t>
  </si>
  <si>
    <t>Sunset Park Dock</t>
  </si>
  <si>
    <t>Sunset Park Improvements</t>
  </si>
  <si>
    <t>Powerline Trail</t>
  </si>
  <si>
    <t>Festival Street Restroom</t>
  </si>
  <si>
    <t>Frank</t>
  </si>
  <si>
    <t>36th Street Culvert Replacement</t>
  </si>
  <si>
    <t>Traffic Calming</t>
  </si>
  <si>
    <t>79th Ave SE/8th St. SE Intersection</t>
  </si>
  <si>
    <t>ADA Ramp Improvements</t>
  </si>
  <si>
    <t>North Cove Water Feature</t>
  </si>
  <si>
    <t>Guiding Principles</t>
  </si>
  <si>
    <t>1. Engineering Division Manages Projects</t>
  </si>
  <si>
    <t>2. Charter is gatekeeper to advance from initiation, must be budgeted, must assign PM</t>
  </si>
  <si>
    <t>3. Project Managers do not manage more than 4 projects. Number of projects by employee are below</t>
  </si>
  <si>
    <t>Erik Mangold = 4</t>
  </si>
  <si>
    <t>Frank = 4</t>
  </si>
  <si>
    <t>Kim Klinkers = 2</t>
  </si>
  <si>
    <t>Shannon Farrant = 2</t>
  </si>
  <si>
    <t>Whitney Ojalehto = 2</t>
  </si>
  <si>
    <t>Aaron Halverson = 2</t>
  </si>
  <si>
    <t>Approved by</t>
  </si>
  <si>
    <t>Kim Klinkers, City Engineer</t>
  </si>
  <si>
    <t>Aaron Halverson, Public Works Director</t>
  </si>
  <si>
    <t>Gene Brazel, City Administrator</t>
  </si>
  <si>
    <t>January 1st</t>
  </si>
  <si>
    <t>February 1st</t>
  </si>
  <si>
    <t>March 1st</t>
  </si>
  <si>
    <t>April 1st</t>
  </si>
  <si>
    <t>Main Street &amp; 20th Street RAB (Pre-Design)</t>
  </si>
  <si>
    <t>Law Enforcement Dock (Pre-design)</t>
  </si>
  <si>
    <t>131st Ave NE Sewer Extension (Design)</t>
  </si>
  <si>
    <t>Main Street (Design)</t>
  </si>
  <si>
    <t>Main Street (Construction)</t>
  </si>
  <si>
    <t>South Lake Stevens MUP II &amp; III (Pre-Design)</t>
  </si>
  <si>
    <t>Mill Spur Parking Lot (Design)</t>
  </si>
  <si>
    <t>Mill Spur Parking Lot (Construction)</t>
  </si>
  <si>
    <t>Gateway Sign (Construction)</t>
  </si>
  <si>
    <t>Frontier Heights Park Phase II (Design)</t>
  </si>
  <si>
    <t>Frontier Heights Park Phase II (Construction)</t>
  </si>
  <si>
    <t>Sunset Park Dock &amp; Shoreline (Design)</t>
  </si>
  <si>
    <t>Sunset Park Dock &amp; Shoreline (Construction)</t>
  </si>
  <si>
    <t>Sunset Park Improvements (Design)</t>
  </si>
  <si>
    <t>Sunset Park Improvements (Construction)</t>
  </si>
  <si>
    <t>Eagle Ridge Park Phase II (Design)</t>
  </si>
  <si>
    <t>Eagle Ridge Park Phase II (Construction)</t>
  </si>
  <si>
    <t>Powerline Trail (Design)</t>
  </si>
  <si>
    <t>Powerline Trail (Construction)</t>
  </si>
  <si>
    <t>Festival Street Restroom (Construction)</t>
  </si>
  <si>
    <t>91st Ave Sidewalk, 4th St to Market (Design)</t>
  </si>
  <si>
    <t>Senior Engineer</t>
  </si>
  <si>
    <t>91st Ave Sidewalk, 8th St to 4th St (Design)</t>
  </si>
  <si>
    <t>91st Ave Sidewalk, 20th St to 12th St (Design)</t>
  </si>
  <si>
    <t>117th Ave Sidewalk, 20th St to 26th St (Design)</t>
  </si>
  <si>
    <t>36th Street Culvert Replacement (Design)</t>
  </si>
  <si>
    <t>Weir Replacement (Design)</t>
  </si>
  <si>
    <t>79th Ave SE/8th St. SE Intersection (Design)</t>
  </si>
  <si>
    <t>ADA Ramp Improvements (Design)</t>
  </si>
  <si>
    <t>ADA Ramp Improvements (Construction)</t>
  </si>
  <si>
    <t>North Cove Water Feature (Construction)</t>
  </si>
  <si>
    <t>Senior Engineer = 4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</si>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</sst>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&quot;$&quot;* #,##0.0_);_(&quot;$&quot;* \(#,##0.0\);_(&quot;$&quot;* &quot;-&quot;??_);_(@_)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FFFF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3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12"/>
      <color rgb="FF44546A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1"/>
      <color theme="9" tint="-0.249977111117893"/>
      <name val="Arial"/>
      <family val="2"/>
    </font>
    <font>
      <sz val="11"/>
      <color rgb="FFC00000"/>
      <name val="Arial"/>
      <family val="2"/>
    </font>
    <font>
      <sz val="11"/>
      <color theme="7"/>
      <name val="Arial"/>
      <family val="2"/>
    </font>
    <font>
      <sz val="8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sz val="9"/>
      <color theme="0"/>
      <name val="Arial"/>
      <family val="2"/>
    </font>
    <font>
      <sz val="9"/>
      <color theme="1"/>
      <name val="Arial"/>
    </font>
  </fonts>
  <fills count="5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gradientFill degree="90">
        <stop position="0">
          <color theme="0"/>
        </stop>
        <stop position="0.5">
          <color theme="7" tint="-0.2509842219306009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00B050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00B0F0"/>
        </stop>
        <stop position="1">
          <color theme="0"/>
        </stop>
      </gradientFill>
    </fill>
    <fill>
      <gradientFill degree="90">
        <stop position="0">
          <color rgb="FF7030A0"/>
        </stop>
        <stop position="0.5">
          <color rgb="FF00B050"/>
        </stop>
        <stop position="1">
          <color rgb="FF7030A0"/>
        </stop>
      </gradientFill>
    </fill>
    <fill>
      <gradientFill degree="90">
        <stop position="0">
          <color rgb="FF00B050"/>
        </stop>
        <stop position="0.5">
          <color theme="7" tint="-0.25098422193060094"/>
        </stop>
        <stop position="1">
          <color rgb="FF00B050"/>
        </stop>
      </gradientFill>
    </fill>
    <fill>
      <gradientFill degree="90">
        <stop position="0">
          <color rgb="FF00B0F0"/>
        </stop>
        <stop position="0.5">
          <color rgb="FF00B050"/>
        </stop>
        <stop position="1">
          <color rgb="FF00B0F0"/>
        </stop>
      </gradient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 style="thin">
        <color rgb="FFFF0000"/>
      </diagonal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ck">
        <color rgb="FF4472C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theme="4"/>
      </top>
      <bottom style="thin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/>
      <top style="double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ck">
        <color theme="4"/>
      </top>
      <bottom style="thin">
        <color auto="1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auto="1"/>
      </bottom>
      <diagonal/>
    </border>
    <border>
      <left/>
      <right style="thick">
        <color theme="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n">
        <color indexed="6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/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rgb="FF4472C4"/>
      </left>
      <right style="thick">
        <color rgb="FF4472C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/>
      <bottom style="thick">
        <color theme="4"/>
      </bottom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37" applyNumberFormat="0" applyFill="0" applyAlignment="0" applyProtection="0"/>
    <xf numFmtId="0" fontId="1" fillId="0" borderId="38" applyNumberFormat="0" applyFill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1" fillId="0" borderId="0" applyNumberFormat="0" applyFill="0" applyBorder="0" applyAlignment="0" applyProtection="0"/>
  </cellStyleXfs>
  <cellXfs count="449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1" fontId="1" fillId="0" borderId="2" xfId="0" applyNumberFormat="1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 applyAlignment="1">
      <alignment wrapText="1"/>
    </xf>
    <xf numFmtId="14" fontId="0" fillId="0" borderId="5" xfId="0" applyNumberFormat="1" applyBorder="1"/>
    <xf numFmtId="1" fontId="0" fillId="0" borderId="5" xfId="0" applyNumberFormat="1" applyBorder="1"/>
    <xf numFmtId="14" fontId="0" fillId="0" borderId="6" xfId="0" applyNumberFormat="1" applyBorder="1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14" fontId="0" fillId="0" borderId="10" xfId="0" applyNumberFormat="1" applyBorder="1"/>
    <xf numFmtId="1" fontId="0" fillId="0" borderId="10" xfId="0" applyNumberFormat="1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 applyAlignment="1">
      <alignment wrapText="1"/>
    </xf>
    <xf numFmtId="14" fontId="0" fillId="0" borderId="13" xfId="0" applyNumberFormat="1" applyBorder="1"/>
    <xf numFmtId="1" fontId="0" fillId="0" borderId="13" xfId="0" applyNumberFormat="1" applyBorder="1"/>
    <xf numFmtId="14" fontId="0" fillId="0" borderId="14" xfId="0" applyNumberFormat="1" applyBorder="1"/>
    <xf numFmtId="0" fontId="0" fillId="0" borderId="16" xfId="0" applyBorder="1" applyAlignment="1">
      <alignment wrapText="1"/>
    </xf>
    <xf numFmtId="1" fontId="0" fillId="0" borderId="16" xfId="0" applyNumberFormat="1" applyBorder="1"/>
    <xf numFmtId="14" fontId="0" fillId="0" borderId="17" xfId="0" applyNumberFormat="1" applyBorder="1"/>
    <xf numFmtId="0" fontId="0" fillId="0" borderId="19" xfId="0" applyBorder="1" applyAlignment="1">
      <alignment wrapText="1"/>
    </xf>
    <xf numFmtId="14" fontId="0" fillId="0" borderId="19" xfId="0" applyNumberFormat="1" applyBorder="1"/>
    <xf numFmtId="1" fontId="0" fillId="0" borderId="19" xfId="0" applyNumberFormat="1" applyBorder="1"/>
    <xf numFmtId="14" fontId="0" fillId="0" borderId="20" xfId="0" applyNumberFormat="1" applyBorder="1"/>
    <xf numFmtId="0" fontId="1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0" borderId="15" xfId="0" applyBorder="1"/>
    <xf numFmtId="0" fontId="0" fillId="0" borderId="18" xfId="0" applyBorder="1"/>
    <xf numFmtId="0" fontId="1" fillId="8" borderId="0" xfId="0" applyFont="1" applyFill="1" applyAlignment="1">
      <alignment horizontal="center"/>
    </xf>
    <xf numFmtId="0" fontId="0" fillId="8" borderId="4" xfId="0" applyFill="1" applyBorder="1"/>
    <xf numFmtId="0" fontId="0" fillId="8" borderId="5" xfId="0" applyFill="1" applyBorder="1" applyAlignment="1">
      <alignment wrapText="1"/>
    </xf>
    <xf numFmtId="14" fontId="0" fillId="8" borderId="5" xfId="0" applyNumberFormat="1" applyFill="1" applyBorder="1"/>
    <xf numFmtId="1" fontId="0" fillId="8" borderId="5" xfId="0" applyNumberFormat="1" applyFill="1" applyBorder="1"/>
    <xf numFmtId="14" fontId="0" fillId="8" borderId="6" xfId="0" applyNumberFormat="1" applyFill="1" applyBorder="1"/>
    <xf numFmtId="0" fontId="0" fillId="8" borderId="12" xfId="0" applyFill="1" applyBorder="1"/>
    <xf numFmtId="0" fontId="0" fillId="8" borderId="13" xfId="0" applyFill="1" applyBorder="1" applyAlignment="1">
      <alignment wrapText="1"/>
    </xf>
    <xf numFmtId="14" fontId="0" fillId="8" borderId="13" xfId="0" applyNumberFormat="1" applyFill="1" applyBorder="1"/>
    <xf numFmtId="1" fontId="0" fillId="8" borderId="13" xfId="0" applyNumberFormat="1" applyFill="1" applyBorder="1"/>
    <xf numFmtId="14" fontId="0" fillId="8" borderId="14" xfId="0" applyNumberFormat="1" applyFill="1" applyBorder="1"/>
    <xf numFmtId="0" fontId="1" fillId="9" borderId="0" xfId="0" applyFont="1" applyFill="1" applyAlignment="1">
      <alignment horizontal="center"/>
    </xf>
    <xf numFmtId="0" fontId="0" fillId="9" borderId="4" xfId="0" applyFill="1" applyBorder="1"/>
    <xf numFmtId="0" fontId="0" fillId="9" borderId="5" xfId="0" applyFill="1" applyBorder="1" applyAlignment="1">
      <alignment wrapText="1"/>
    </xf>
    <xf numFmtId="14" fontId="0" fillId="9" borderId="5" xfId="0" applyNumberFormat="1" applyFill="1" applyBorder="1"/>
    <xf numFmtId="1" fontId="0" fillId="9" borderId="5" xfId="0" applyNumberFormat="1" applyFill="1" applyBorder="1"/>
    <xf numFmtId="14" fontId="0" fillId="9" borderId="6" xfId="0" applyNumberFormat="1" applyFill="1" applyBorder="1"/>
    <xf numFmtId="0" fontId="0" fillId="9" borderId="12" xfId="0" applyFill="1" applyBorder="1"/>
    <xf numFmtId="0" fontId="0" fillId="9" borderId="13" xfId="0" applyFill="1" applyBorder="1" applyAlignment="1">
      <alignment wrapText="1"/>
    </xf>
    <xf numFmtId="14" fontId="0" fillId="9" borderId="13" xfId="0" applyNumberFormat="1" applyFill="1" applyBorder="1"/>
    <xf numFmtId="1" fontId="0" fillId="9" borderId="13" xfId="0" applyNumberFormat="1" applyFill="1" applyBorder="1"/>
    <xf numFmtId="14" fontId="0" fillId="9" borderId="14" xfId="0" applyNumberFormat="1" applyFill="1" applyBorder="1"/>
    <xf numFmtId="0" fontId="0" fillId="0" borderId="26" xfId="0" applyBorder="1"/>
    <xf numFmtId="0" fontId="4" fillId="15" borderId="0" xfId="0" applyFont="1" applyFill="1"/>
    <xf numFmtId="14" fontId="0" fillId="15" borderId="0" xfId="0" applyNumberForma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4" fillId="19" borderId="0" xfId="0" applyFont="1" applyFill="1"/>
    <xf numFmtId="0" fontId="7" fillId="0" borderId="0" xfId="0" applyFont="1"/>
    <xf numFmtId="0" fontId="7" fillId="17" borderId="0" xfId="0" applyFont="1" applyFill="1"/>
    <xf numFmtId="0" fontId="7" fillId="16" borderId="0" xfId="0" applyFont="1" applyFill="1"/>
    <xf numFmtId="0" fontId="7" fillId="20" borderId="0" xfId="0" applyFont="1" applyFill="1"/>
    <xf numFmtId="0" fontId="7" fillId="18" borderId="0" xfId="0" applyFont="1" applyFill="1"/>
    <xf numFmtId="0" fontId="8" fillId="19" borderId="0" xfId="0" applyFont="1" applyFill="1"/>
    <xf numFmtId="0" fontId="8" fillId="15" borderId="0" xfId="0" applyFont="1" applyFill="1"/>
    <xf numFmtId="0" fontId="7" fillId="0" borderId="28" xfId="0" applyFont="1" applyBorder="1"/>
    <xf numFmtId="0" fontId="0" fillId="0" borderId="30" xfId="0" applyBorder="1"/>
    <xf numFmtId="0" fontId="0" fillId="0" borderId="31" xfId="0" applyBorder="1"/>
    <xf numFmtId="0" fontId="6" fillId="0" borderId="2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5" xfId="0" applyFont="1" applyBorder="1" applyAlignment="1">
      <alignment horizontal="center"/>
    </xf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0" fillId="0" borderId="22" xfId="0" applyBorder="1"/>
    <xf numFmtId="0" fontId="7" fillId="17" borderId="26" xfId="0" applyFont="1" applyFill="1" applyBorder="1"/>
    <xf numFmtId="0" fontId="8" fillId="15" borderId="26" xfId="0" applyFont="1" applyFill="1" applyBorder="1"/>
    <xf numFmtId="0" fontId="8" fillId="19" borderId="26" xfId="0" applyFont="1" applyFill="1" applyBorder="1"/>
    <xf numFmtId="0" fontId="6" fillId="0" borderId="31" xfId="0" applyFont="1" applyBorder="1"/>
    <xf numFmtId="0" fontId="7" fillId="0" borderId="32" xfId="0" applyFont="1" applyBorder="1"/>
    <xf numFmtId="0" fontId="0" fillId="0" borderId="24" xfId="0" applyBorder="1"/>
    <xf numFmtId="0" fontId="0" fillId="0" borderId="25" xfId="0" applyBorder="1"/>
    <xf numFmtId="0" fontId="0" fillId="16" borderId="24" xfId="0" applyFill="1" applyBorder="1"/>
    <xf numFmtId="0" fontId="0" fillId="16" borderId="25" xfId="0" applyFill="1" applyBorder="1"/>
    <xf numFmtId="0" fontId="0" fillId="17" borderId="24" xfId="0" applyFill="1" applyBorder="1"/>
    <xf numFmtId="0" fontId="0" fillId="0" borderId="33" xfId="0" applyBorder="1"/>
    <xf numFmtId="0" fontId="0" fillId="0" borderId="27" xfId="0" applyBorder="1"/>
    <xf numFmtId="0" fontId="0" fillId="0" borderId="21" xfId="0" applyBorder="1"/>
    <xf numFmtId="0" fontId="0" fillId="0" borderId="23" xfId="0" applyBorder="1"/>
    <xf numFmtId="0" fontId="10" fillId="0" borderId="0" xfId="0" applyFont="1" applyAlignment="1">
      <alignment horizontal="right" wrapText="1"/>
    </xf>
    <xf numFmtId="0" fontId="8" fillId="0" borderId="0" xfId="0" applyFont="1"/>
    <xf numFmtId="0" fontId="7" fillId="0" borderId="21" xfId="0" applyFont="1" applyBorder="1"/>
    <xf numFmtId="0" fontId="7" fillId="0" borderId="24" xfId="0" applyFont="1" applyBorder="1"/>
    <xf numFmtId="0" fontId="11" fillId="0" borderId="33" xfId="0" applyFont="1" applyBorder="1"/>
    <xf numFmtId="0" fontId="9" fillId="21" borderId="26" xfId="0" applyFont="1" applyFill="1" applyBorder="1"/>
    <xf numFmtId="0" fontId="0" fillId="16" borderId="26" xfId="0" applyFill="1" applyBorder="1"/>
    <xf numFmtId="0" fontId="0" fillId="16" borderId="22" xfId="0" applyFill="1" applyBorder="1"/>
    <xf numFmtId="0" fontId="8" fillId="19" borderId="22" xfId="0" applyFont="1" applyFill="1" applyBorder="1"/>
    <xf numFmtId="0" fontId="8" fillId="15" borderId="22" xfId="0" applyFont="1" applyFill="1" applyBorder="1"/>
    <xf numFmtId="14" fontId="0" fillId="0" borderId="26" xfId="0" applyNumberFormat="1" applyBorder="1"/>
    <xf numFmtId="0" fontId="9" fillId="21" borderId="22" xfId="0" applyFont="1" applyFill="1" applyBorder="1"/>
    <xf numFmtId="0" fontId="7" fillId="18" borderId="22" xfId="0" applyFont="1" applyFill="1" applyBorder="1"/>
    <xf numFmtId="0" fontId="0" fillId="18" borderId="21" xfId="0" applyFill="1" applyBorder="1"/>
    <xf numFmtId="0" fontId="0" fillId="18" borderId="22" xfId="0" applyFill="1" applyBorder="1"/>
    <xf numFmtId="0" fontId="7" fillId="0" borderId="33" xfId="0" applyFont="1" applyBorder="1"/>
    <xf numFmtId="0" fontId="9" fillId="24" borderId="26" xfId="0" applyFont="1" applyFill="1" applyBorder="1"/>
    <xf numFmtId="0" fontId="11" fillId="0" borderId="24" xfId="0" applyFont="1" applyBorder="1"/>
    <xf numFmtId="0" fontId="11" fillId="0" borderId="21" xfId="0" applyFont="1" applyBorder="1"/>
    <xf numFmtId="0" fontId="9" fillId="22" borderId="35" xfId="0" applyFont="1" applyFill="1" applyBorder="1"/>
    <xf numFmtId="0" fontId="9" fillId="0" borderId="0" xfId="0" applyFont="1"/>
    <xf numFmtId="0" fontId="5" fillId="0" borderId="21" xfId="0" applyFont="1" applyBorder="1"/>
    <xf numFmtId="0" fontId="6" fillId="0" borderId="22" xfId="0" applyFont="1" applyBorder="1" applyAlignment="1">
      <alignment wrapText="1"/>
    </xf>
    <xf numFmtId="0" fontId="6" fillId="0" borderId="22" xfId="0" applyFont="1" applyBorder="1"/>
    <xf numFmtId="0" fontId="6" fillId="0" borderId="22" xfId="0" applyFont="1" applyBorder="1" applyAlignment="1">
      <alignment textRotation="90"/>
    </xf>
    <xf numFmtId="0" fontId="7" fillId="16" borderId="24" xfId="0" applyFont="1" applyFill="1" applyBorder="1"/>
    <xf numFmtId="0" fontId="7" fillId="17" borderId="24" xfId="0" applyFont="1" applyFill="1" applyBorder="1"/>
    <xf numFmtId="0" fontId="7" fillId="17" borderId="25" xfId="0" applyFont="1" applyFill="1" applyBorder="1"/>
    <xf numFmtId="0" fontId="0" fillId="16" borderId="27" xfId="0" applyFill="1" applyBorder="1"/>
    <xf numFmtId="0" fontId="7" fillId="17" borderId="33" xfId="0" applyFont="1" applyFill="1" applyBorder="1"/>
    <xf numFmtId="0" fontId="7" fillId="0" borderId="25" xfId="0" applyFont="1" applyBorder="1"/>
    <xf numFmtId="0" fontId="7" fillId="16" borderId="25" xfId="0" applyFont="1" applyFill="1" applyBorder="1"/>
    <xf numFmtId="0" fontId="7" fillId="9" borderId="34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 wrapText="1"/>
    </xf>
    <xf numFmtId="0" fontId="7" fillId="9" borderId="16" xfId="0" applyFont="1" applyFill="1" applyBorder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0" fontId="7" fillId="9" borderId="10" xfId="0" applyFont="1" applyFill="1" applyBorder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2" borderId="16" xfId="0" applyFont="1" applyFill="1" applyBorder="1" applyAlignment="1">
      <alignment horizontal="center" wrapText="1"/>
    </xf>
    <xf numFmtId="0" fontId="7" fillId="12" borderId="29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wrapText="1"/>
    </xf>
    <xf numFmtId="0" fontId="7" fillId="14" borderId="0" xfId="0" applyFont="1" applyFill="1" applyAlignment="1">
      <alignment horizontal="center" wrapText="1"/>
    </xf>
    <xf numFmtId="0" fontId="7" fillId="10" borderId="10" xfId="0" applyFont="1" applyFill="1" applyBorder="1" applyAlignment="1">
      <alignment horizontal="center" wrapText="1"/>
    </xf>
    <xf numFmtId="0" fontId="7" fillId="10" borderId="19" xfId="0" applyFont="1" applyFill="1" applyBorder="1" applyAlignment="1">
      <alignment horizontal="center" wrapText="1"/>
    </xf>
    <xf numFmtId="0" fontId="7" fillId="0" borderId="29" xfId="0" applyFont="1" applyBorder="1" applyAlignment="1">
      <alignment horizontal="center" wrapText="1"/>
    </xf>
    <xf numFmtId="0" fontId="7" fillId="13" borderId="36" xfId="0" applyFont="1" applyFill="1" applyBorder="1" applyAlignment="1">
      <alignment horizontal="center" wrapText="1"/>
    </xf>
    <xf numFmtId="0" fontId="7" fillId="13" borderId="29" xfId="0" applyFont="1" applyFill="1" applyBorder="1" applyAlignment="1">
      <alignment horizontal="center" wrapText="1"/>
    </xf>
    <xf numFmtId="0" fontId="7" fillId="25" borderId="10" xfId="0" applyFont="1" applyFill="1" applyBorder="1" applyAlignment="1">
      <alignment horizontal="center" wrapText="1"/>
    </xf>
    <xf numFmtId="0" fontId="7" fillId="25" borderId="0" xfId="0" applyFont="1" applyFill="1" applyAlignment="1">
      <alignment horizontal="center" wrapText="1"/>
    </xf>
    <xf numFmtId="0" fontId="7" fillId="26" borderId="0" xfId="0" applyFont="1" applyFill="1" applyAlignment="1">
      <alignment horizontal="center" wrapText="1"/>
    </xf>
    <xf numFmtId="0" fontId="7" fillId="26" borderId="26" xfId="0" applyFont="1" applyFill="1" applyBorder="1" applyAlignment="1">
      <alignment horizontal="center" wrapText="1"/>
    </xf>
    <xf numFmtId="0" fontId="7" fillId="27" borderId="0" xfId="0" applyFont="1" applyFill="1" applyAlignment="1">
      <alignment horizontal="center" wrapText="1"/>
    </xf>
    <xf numFmtId="0" fontId="6" fillId="0" borderId="22" xfId="0" applyFont="1" applyBorder="1" applyAlignment="1">
      <alignment horizontal="center" textRotation="90"/>
    </xf>
    <xf numFmtId="0" fontId="7" fillId="28" borderId="10" xfId="0" applyFont="1" applyFill="1" applyBorder="1" applyAlignment="1">
      <alignment horizontal="center" wrapText="1"/>
    </xf>
    <xf numFmtId="37" fontId="0" fillId="0" borderId="39" xfId="0" applyNumberForma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34" borderId="0" xfId="0" applyFont="1" applyFill="1" applyAlignment="1">
      <alignment horizontal="center" wrapText="1"/>
    </xf>
    <xf numFmtId="1" fontId="14" fillId="33" borderId="0" xfId="4" applyNumberFormat="1" applyFill="1" applyBorder="1" applyAlignment="1">
      <alignment horizontal="center" vertical="center"/>
    </xf>
    <xf numFmtId="0" fontId="14" fillId="0" borderId="37" xfId="4" applyFill="1" applyAlignment="1">
      <alignment vertical="center"/>
    </xf>
    <xf numFmtId="0" fontId="21" fillId="34" borderId="41" xfId="0" applyFont="1" applyFill="1" applyBorder="1" applyAlignment="1">
      <alignment horizontal="center" wrapText="1"/>
    </xf>
    <xf numFmtId="49" fontId="14" fillId="33" borderId="0" xfId="4" applyNumberFormat="1" applyFill="1" applyBorder="1" applyAlignment="1">
      <alignment horizontal="center" vertical="center"/>
    </xf>
    <xf numFmtId="1" fontId="14" fillId="0" borderId="37" xfId="4" applyNumberFormat="1" applyFill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 wrapText="1"/>
    </xf>
    <xf numFmtId="0" fontId="0" fillId="0" borderId="39" xfId="0" applyBorder="1" applyAlignment="1">
      <alignment horizontal="left" vertical="top" wrapText="1"/>
    </xf>
    <xf numFmtId="44" fontId="0" fillId="0" borderId="39" xfId="2" applyFont="1" applyBorder="1" applyAlignment="1">
      <alignment horizontal="center" vertical="center"/>
    </xf>
    <xf numFmtId="44" fontId="0" fillId="0" borderId="39" xfId="2" applyFont="1" applyFill="1" applyBorder="1" applyAlignment="1">
      <alignment vertical="center"/>
    </xf>
    <xf numFmtId="44" fontId="0" fillId="0" borderId="39" xfId="2" applyFont="1" applyBorder="1" applyAlignment="1">
      <alignment vertical="center"/>
    </xf>
    <xf numFmtId="0" fontId="0" fillId="0" borderId="39" xfId="0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3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39" xfId="0" applyNumberFormat="1" applyBorder="1" applyAlignment="1">
      <alignment horizontal="center" vertical="center"/>
    </xf>
    <xf numFmtId="37" fontId="0" fillId="33" borderId="39" xfId="0" applyNumberFormat="1" applyFill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44" fontId="0" fillId="0" borderId="39" xfId="2" applyFont="1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37" fontId="0" fillId="35" borderId="39" xfId="0" applyNumberFormat="1" applyFill="1" applyBorder="1" applyAlignment="1">
      <alignment horizontal="center" vertical="center"/>
    </xf>
    <xf numFmtId="44" fontId="12" fillId="0" borderId="39" xfId="2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/>
    <xf numFmtId="0" fontId="0" fillId="9" borderId="39" xfId="0" applyFill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164" fontId="2" fillId="0" borderId="38" xfId="2" applyNumberFormat="1" applyFont="1" applyFill="1" applyBorder="1" applyAlignment="1">
      <alignment vertical="top" wrapText="1"/>
    </xf>
    <xf numFmtId="164" fontId="25" fillId="0" borderId="38" xfId="2" applyNumberFormat="1" applyFont="1" applyFill="1" applyBorder="1" applyAlignment="1">
      <alignment vertical="top" wrapText="1"/>
    </xf>
    <xf numFmtId="164" fontId="2" fillId="0" borderId="38" xfId="2" applyNumberFormat="1" applyFont="1" applyFill="1" applyBorder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vertical="center"/>
    </xf>
    <xf numFmtId="0" fontId="2" fillId="0" borderId="38" xfId="5" applyFont="1" applyFill="1" applyAlignment="1">
      <alignment vertical="center"/>
    </xf>
    <xf numFmtId="0" fontId="25" fillId="0" borderId="38" xfId="5" applyFont="1" applyFill="1" applyAlignment="1">
      <alignment horizontal="center" vertical="center"/>
    </xf>
    <xf numFmtId="0" fontId="2" fillId="0" borderId="38" xfId="5" applyFont="1" applyFill="1" applyAlignment="1">
      <alignment horizontal="center" vertical="center"/>
    </xf>
    <xf numFmtId="1" fontId="14" fillId="6" borderId="0" xfId="4" applyNumberFormat="1" applyFill="1" applyBorder="1" applyAlignment="1">
      <alignment horizontal="center" vertical="center" wrapText="1"/>
    </xf>
    <xf numFmtId="1" fontId="2" fillId="0" borderId="38" xfId="5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" fillId="0" borderId="45" xfId="0" applyFont="1" applyBorder="1" applyAlignment="1">
      <alignment vertical="top" wrapText="1"/>
    </xf>
    <xf numFmtId="1" fontId="14" fillId="6" borderId="37" xfId="4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24" fillId="0" borderId="39" xfId="1" applyNumberFormat="1" applyFont="1" applyFill="1" applyBorder="1" applyAlignment="1">
      <alignment horizontal="center" vertical="center"/>
    </xf>
    <xf numFmtId="1" fontId="24" fillId="0" borderId="39" xfId="2" applyNumberFormat="1" applyFont="1" applyFill="1" applyBorder="1" applyAlignment="1">
      <alignment horizontal="center" vertical="center"/>
    </xf>
    <xf numFmtId="1" fontId="1" fillId="0" borderId="39" xfId="2" applyNumberFormat="1" applyFont="1" applyFill="1" applyBorder="1" applyAlignment="1">
      <alignment horizontal="center" vertical="center"/>
    </xf>
    <xf numFmtId="166" fontId="0" fillId="0" borderId="39" xfId="2" applyNumberFormat="1" applyFont="1" applyBorder="1" applyAlignment="1">
      <alignment vertical="center"/>
    </xf>
    <xf numFmtId="164" fontId="0" fillId="0" borderId="39" xfId="2" applyNumberFormat="1" applyFont="1" applyBorder="1" applyAlignment="1">
      <alignment horizontal="center" vertical="center"/>
    </xf>
    <xf numFmtId="164" fontId="0" fillId="0" borderId="39" xfId="2" applyNumberFormat="1" applyFont="1" applyFill="1" applyBorder="1" applyAlignment="1">
      <alignment horizontal="center" vertical="center"/>
    </xf>
    <xf numFmtId="164" fontId="2" fillId="0" borderId="38" xfId="5" applyNumberFormat="1" applyFont="1" applyFill="1" applyAlignment="1">
      <alignment horizontal="center" vertical="center"/>
    </xf>
    <xf numFmtId="164" fontId="24" fillId="0" borderId="39" xfId="2" applyNumberFormat="1" applyFont="1" applyFill="1" applyBorder="1" applyAlignment="1">
      <alignment horizontal="center" vertical="center"/>
    </xf>
    <xf numFmtId="164" fontId="24" fillId="0" borderId="39" xfId="1" applyNumberFormat="1" applyFont="1" applyFill="1" applyBorder="1" applyAlignment="1">
      <alignment horizontal="center" vertical="center"/>
    </xf>
    <xf numFmtId="0" fontId="7" fillId="20" borderId="25" xfId="0" applyFont="1" applyFill="1" applyBorder="1"/>
    <xf numFmtId="0" fontId="7" fillId="18" borderId="25" xfId="0" applyFont="1" applyFill="1" applyBorder="1"/>
    <xf numFmtId="0" fontId="1" fillId="0" borderId="3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52" xfId="0" applyBorder="1" applyAlignment="1">
      <alignment vertical="center" wrapText="1"/>
    </xf>
    <xf numFmtId="164" fontId="0" fillId="0" borderId="39" xfId="2" applyNumberFormat="1" applyFont="1" applyFill="1" applyBorder="1" applyAlignment="1">
      <alignment vertical="center"/>
    </xf>
    <xf numFmtId="164" fontId="23" fillId="0" borderId="43" xfId="0" applyNumberFormat="1" applyFont="1" applyBorder="1"/>
    <xf numFmtId="164" fontId="0" fillId="0" borderId="39" xfId="2" applyNumberFormat="1" applyFont="1" applyBorder="1" applyAlignment="1">
      <alignment vertical="center"/>
    </xf>
    <xf numFmtId="164" fontId="23" fillId="0" borderId="39" xfId="0" applyNumberFormat="1" applyFont="1" applyBorder="1"/>
    <xf numFmtId="164" fontId="0" fillId="0" borderId="0" xfId="2" applyNumberFormat="1" applyFont="1"/>
    <xf numFmtId="164" fontId="0" fillId="35" borderId="39" xfId="2" applyNumberFormat="1" applyFont="1" applyFill="1" applyBorder="1" applyAlignment="1">
      <alignment vertical="center"/>
    </xf>
    <xf numFmtId="164" fontId="23" fillId="36" borderId="39" xfId="0" applyNumberFormat="1" applyFont="1" applyFill="1" applyBorder="1"/>
    <xf numFmtId="164" fontId="23" fillId="37" borderId="43" xfId="0" applyNumberFormat="1" applyFont="1" applyFill="1" applyBorder="1"/>
    <xf numFmtId="164" fontId="4" fillId="0" borderId="39" xfId="2" applyNumberFormat="1" applyFont="1" applyFill="1" applyBorder="1" applyAlignment="1">
      <alignment vertical="center"/>
    </xf>
    <xf numFmtId="164" fontId="23" fillId="36" borderId="43" xfId="0" applyNumberFormat="1" applyFont="1" applyFill="1" applyBorder="1"/>
    <xf numFmtId="164" fontId="12" fillId="0" borderId="39" xfId="2" applyNumberFormat="1" applyFont="1" applyFill="1" applyBorder="1" applyAlignment="1">
      <alignment horizontal="center" vertical="center"/>
    </xf>
    <xf numFmtId="0" fontId="0" fillId="38" borderId="39" xfId="0" applyFill="1" applyBorder="1" applyAlignment="1">
      <alignment vertical="center" wrapText="1"/>
    </xf>
    <xf numFmtId="0" fontId="0" fillId="38" borderId="39" xfId="0" applyFill="1" applyBorder="1" applyAlignment="1">
      <alignment horizontal="left" vertical="center" wrapText="1"/>
    </xf>
    <xf numFmtId="0" fontId="0" fillId="38" borderId="39" xfId="0" applyFill="1" applyBorder="1" applyAlignment="1">
      <alignment vertical="center"/>
    </xf>
    <xf numFmtId="0" fontId="15" fillId="29" borderId="42" xfId="6" applyFont="1" applyBorder="1" applyAlignment="1">
      <alignment horizontal="center" vertical="center"/>
    </xf>
    <xf numFmtId="0" fontId="15" fillId="30" borderId="42" xfId="7" applyFont="1" applyBorder="1" applyAlignment="1">
      <alignment horizontal="center" vertical="center"/>
    </xf>
    <xf numFmtId="0" fontId="15" fillId="32" borderId="42" xfId="9" applyFont="1" applyBorder="1" applyAlignment="1">
      <alignment horizontal="center" vertical="center" wrapText="1"/>
    </xf>
    <xf numFmtId="0" fontId="15" fillId="31" borderId="44" xfId="8" applyFont="1" applyBorder="1" applyAlignment="1">
      <alignment horizontal="center" vertical="center"/>
    </xf>
    <xf numFmtId="164" fontId="2" fillId="0" borderId="38" xfId="2" applyNumberFormat="1" applyFont="1" applyFill="1" applyBorder="1" applyAlignment="1">
      <alignment horizontal="center" vertical="top" wrapText="1"/>
    </xf>
    <xf numFmtId="0" fontId="0" fillId="39" borderId="39" xfId="0" applyFill="1" applyBorder="1" applyAlignment="1">
      <alignment vertical="center" wrapText="1"/>
    </xf>
    <xf numFmtId="0" fontId="0" fillId="40" borderId="39" xfId="0" applyFill="1" applyBorder="1" applyAlignment="1">
      <alignment vertical="center" wrapText="1"/>
    </xf>
    <xf numFmtId="0" fontId="22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horizontal="right" vertical="top" wrapText="1"/>
    </xf>
    <xf numFmtId="0" fontId="1" fillId="0" borderId="39" xfId="0" applyFont="1" applyBorder="1" applyAlignment="1">
      <alignment horizontal="right" vertical="center"/>
    </xf>
    <xf numFmtId="0" fontId="1" fillId="28" borderId="45" xfId="0" applyFont="1" applyFill="1" applyBorder="1" applyAlignment="1">
      <alignment horizontal="center" vertical="center" wrapText="1"/>
    </xf>
    <xf numFmtId="0" fontId="0" fillId="42" borderId="39" xfId="0" applyFill="1" applyBorder="1" applyAlignment="1">
      <alignment vertical="center"/>
    </xf>
    <xf numFmtId="0" fontId="0" fillId="43" borderId="39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0" fontId="0" fillId="44" borderId="39" xfId="0" applyFill="1" applyBorder="1" applyAlignment="1">
      <alignment vertical="center"/>
    </xf>
    <xf numFmtId="0" fontId="0" fillId="45" borderId="39" xfId="0" applyFill="1" applyBorder="1" applyAlignment="1">
      <alignment vertical="center"/>
    </xf>
    <xf numFmtId="0" fontId="0" fillId="33" borderId="39" xfId="0" applyFill="1" applyBorder="1" applyAlignment="1">
      <alignment vertical="center"/>
    </xf>
    <xf numFmtId="164" fontId="0" fillId="33" borderId="39" xfId="2" applyNumberFormat="1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33" borderId="55" xfId="0" applyFont="1" applyFill="1" applyBorder="1" applyAlignment="1">
      <alignment horizontal="center" vertical="center"/>
    </xf>
    <xf numFmtId="0" fontId="1" fillId="33" borderId="56" xfId="0" applyFont="1" applyFill="1" applyBorder="1" applyAlignment="1">
      <alignment horizontal="center" vertical="center"/>
    </xf>
    <xf numFmtId="0" fontId="1" fillId="33" borderId="57" xfId="0" applyFont="1" applyFill="1" applyBorder="1" applyAlignment="1">
      <alignment horizontal="center" vertical="center"/>
    </xf>
    <xf numFmtId="0" fontId="1" fillId="33" borderId="65" xfId="0" applyFont="1" applyFill="1" applyBorder="1" applyAlignment="1">
      <alignment horizontal="center" vertical="center"/>
    </xf>
    <xf numFmtId="0" fontId="0" fillId="33" borderId="52" xfId="0" applyFill="1" applyBorder="1" applyAlignment="1">
      <alignment horizontal="center" vertical="center"/>
    </xf>
    <xf numFmtId="0" fontId="0" fillId="33" borderId="39" xfId="0" applyFill="1" applyBorder="1" applyAlignment="1">
      <alignment horizontal="center" vertical="center"/>
    </xf>
    <xf numFmtId="0" fontId="30" fillId="29" borderId="42" xfId="6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7" fillId="0" borderId="45" xfId="0" applyFont="1" applyBorder="1" applyAlignment="1">
      <alignment vertical="center" wrapText="1"/>
    </xf>
    <xf numFmtId="0" fontId="7" fillId="0" borderId="66" xfId="0" applyFont="1" applyBorder="1" applyAlignment="1">
      <alignment vertical="center" wrapText="1"/>
    </xf>
    <xf numFmtId="0" fontId="7" fillId="38" borderId="58" xfId="0" applyFont="1" applyFill="1" applyBorder="1" applyAlignment="1">
      <alignment vertical="center" wrapText="1"/>
    </xf>
    <xf numFmtId="0" fontId="7" fillId="38" borderId="39" xfId="0" applyFont="1" applyFill="1" applyBorder="1" applyAlignment="1">
      <alignment vertical="center" wrapText="1"/>
    </xf>
    <xf numFmtId="0" fontId="7" fillId="38" borderId="59" xfId="0" applyFont="1" applyFill="1" applyBorder="1" applyAlignment="1">
      <alignment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vertical="center" wrapText="1"/>
    </xf>
    <xf numFmtId="164" fontId="6" fillId="0" borderId="39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0" fillId="30" borderId="42" xfId="7" applyFont="1" applyBorder="1" applyAlignment="1">
      <alignment horizontal="center" vertical="center"/>
    </xf>
    <xf numFmtId="0" fontId="7" fillId="44" borderId="53" xfId="0" applyFont="1" applyFill="1" applyBorder="1" applyAlignment="1">
      <alignment horizontal="center" vertical="center"/>
    </xf>
    <xf numFmtId="0" fontId="7" fillId="45" borderId="39" xfId="0" applyFont="1" applyFill="1" applyBorder="1" applyAlignment="1">
      <alignment horizontal="center" vertical="center"/>
    </xf>
    <xf numFmtId="0" fontId="7" fillId="42" borderId="53" xfId="0" applyFont="1" applyFill="1" applyBorder="1" applyAlignment="1">
      <alignment horizontal="center" vertical="center"/>
    </xf>
    <xf numFmtId="0" fontId="7" fillId="4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44" borderId="39" xfId="0" applyFont="1" applyFill="1" applyBorder="1" applyAlignment="1">
      <alignment horizontal="center" vertical="center"/>
    </xf>
    <xf numFmtId="164" fontId="6" fillId="0" borderId="39" xfId="2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center" wrapText="1"/>
    </xf>
    <xf numFmtId="0" fontId="7" fillId="38" borderId="39" xfId="0" applyFont="1" applyFill="1" applyBorder="1" applyAlignment="1">
      <alignment horizontal="left" vertical="center" wrapText="1"/>
    </xf>
    <xf numFmtId="0" fontId="7" fillId="38" borderId="59" xfId="0" applyFont="1" applyFill="1" applyBorder="1" applyAlignment="1">
      <alignment horizontal="left" vertical="center" wrapText="1"/>
    </xf>
    <xf numFmtId="0" fontId="7" fillId="3" borderId="53" xfId="0" applyFont="1" applyFill="1" applyBorder="1" applyAlignment="1">
      <alignment horizontal="center" vertical="center"/>
    </xf>
    <xf numFmtId="0" fontId="30" fillId="32" borderId="42" xfId="9" applyFont="1" applyBorder="1" applyAlignment="1">
      <alignment horizontal="center" vertical="center" wrapText="1"/>
    </xf>
    <xf numFmtId="0" fontId="7" fillId="0" borderId="68" xfId="0" applyFont="1" applyBorder="1" applyAlignment="1">
      <alignment vertical="center" wrapText="1"/>
    </xf>
    <xf numFmtId="37" fontId="7" fillId="0" borderId="0" xfId="0" applyNumberFormat="1" applyFont="1" applyAlignment="1">
      <alignment vertical="center"/>
    </xf>
    <xf numFmtId="0" fontId="6" fillId="33" borderId="67" xfId="0" applyFont="1" applyFill="1" applyBorder="1" applyAlignment="1">
      <alignment horizontal="center" vertical="center"/>
    </xf>
    <xf numFmtId="0" fontId="6" fillId="33" borderId="60" xfId="0" applyFont="1" applyFill="1" applyBorder="1" applyAlignment="1">
      <alignment horizontal="center" vertical="center"/>
    </xf>
    <xf numFmtId="0" fontId="6" fillId="33" borderId="52" xfId="0" applyFont="1" applyFill="1" applyBorder="1" applyAlignment="1">
      <alignment horizontal="center" vertical="center"/>
    </xf>
    <xf numFmtId="0" fontId="6" fillId="33" borderId="61" xfId="0" applyFont="1" applyFill="1" applyBorder="1" applyAlignment="1">
      <alignment horizontal="center" vertical="center"/>
    </xf>
    <xf numFmtId="0" fontId="7" fillId="33" borderId="53" xfId="0" applyFont="1" applyFill="1" applyBorder="1" applyAlignment="1">
      <alignment horizontal="center" vertical="center"/>
    </xf>
    <xf numFmtId="0" fontId="7" fillId="33" borderId="39" xfId="0" applyFont="1" applyFill="1" applyBorder="1" applyAlignment="1">
      <alignment horizontal="center" vertical="center"/>
    </xf>
    <xf numFmtId="164" fontId="6" fillId="33" borderId="39" xfId="2" applyNumberFormat="1" applyFont="1" applyFill="1" applyBorder="1" applyAlignment="1">
      <alignment horizontal="center" vertical="center"/>
    </xf>
    <xf numFmtId="0" fontId="7" fillId="0" borderId="58" xfId="0" applyFont="1" applyBorder="1" applyAlignment="1">
      <alignment vertical="center" wrapText="1"/>
    </xf>
    <xf numFmtId="0" fontId="7" fillId="0" borderId="59" xfId="0" applyFont="1" applyBorder="1" applyAlignment="1">
      <alignment vertical="center" wrapText="1"/>
    </xf>
    <xf numFmtId="0" fontId="30" fillId="31" borderId="44" xfId="8" applyFont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7" fillId="0" borderId="66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vertical="center" wrapText="1"/>
    </xf>
    <xf numFmtId="0" fontId="6" fillId="33" borderId="65" xfId="0" applyFont="1" applyFill="1" applyBorder="1" applyAlignment="1">
      <alignment horizontal="center" vertical="center"/>
    </xf>
    <xf numFmtId="164" fontId="7" fillId="33" borderId="39" xfId="2" applyNumberFormat="1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164" fontId="7" fillId="0" borderId="39" xfId="2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69" xfId="0" applyFont="1" applyBorder="1" applyAlignment="1">
      <alignment vertical="center"/>
    </xf>
    <xf numFmtId="0" fontId="7" fillId="0" borderId="53" xfId="0" applyFont="1" applyBorder="1" applyAlignment="1">
      <alignment horizontal="center" vertical="center"/>
    </xf>
    <xf numFmtId="0" fontId="7" fillId="0" borderId="66" xfId="0" applyFont="1" applyBorder="1"/>
    <xf numFmtId="0" fontId="7" fillId="0" borderId="58" xfId="0" applyFont="1" applyBorder="1"/>
    <xf numFmtId="0" fontId="7" fillId="0" borderId="39" xfId="0" applyFont="1" applyBorder="1"/>
    <xf numFmtId="0" fontId="7" fillId="0" borderId="59" xfId="0" applyFont="1" applyBorder="1"/>
    <xf numFmtId="44" fontId="7" fillId="0" borderId="39" xfId="2" applyFont="1" applyBorder="1" applyAlignment="1">
      <alignment horizontal="center" vertical="center"/>
    </xf>
    <xf numFmtId="44" fontId="7" fillId="0" borderId="39" xfId="2" applyFont="1" applyFill="1" applyBorder="1" applyAlignment="1">
      <alignment horizontal="center" vertical="center"/>
    </xf>
    <xf numFmtId="44" fontId="6" fillId="0" borderId="39" xfId="2" applyFont="1" applyBorder="1" applyAlignment="1">
      <alignment horizontal="center" vertical="center"/>
    </xf>
    <xf numFmtId="0" fontId="7" fillId="0" borderId="62" xfId="0" applyFont="1" applyBorder="1" applyAlignment="1">
      <alignment vertical="center" wrapText="1"/>
    </xf>
    <xf numFmtId="0" fontId="7" fillId="0" borderId="63" xfId="0" applyFont="1" applyBorder="1" applyAlignment="1">
      <alignment vertical="center" wrapText="1"/>
    </xf>
    <xf numFmtId="0" fontId="7" fillId="0" borderId="64" xfId="0" applyFont="1" applyBorder="1" applyAlignment="1">
      <alignment vertical="center" wrapText="1"/>
    </xf>
    <xf numFmtId="0" fontId="31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7" fillId="0" borderId="39" xfId="0" applyFont="1" applyBorder="1" applyAlignment="1">
      <alignment horizontal="center" vertical="top" wrapText="1"/>
    </xf>
    <xf numFmtId="0" fontId="32" fillId="0" borderId="39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15" fillId="38" borderId="45" xfId="0" applyFont="1" applyFill="1" applyBorder="1" applyAlignment="1">
      <alignment horizontal="center" vertical="center" wrapText="1"/>
    </xf>
    <xf numFmtId="0" fontId="15" fillId="41" borderId="45" xfId="0" applyFont="1" applyFill="1" applyBorder="1" applyAlignment="1">
      <alignment horizontal="center" vertical="center" wrapText="1"/>
    </xf>
    <xf numFmtId="0" fontId="35" fillId="0" borderId="66" xfId="0" applyFont="1" applyBorder="1" applyAlignment="1">
      <alignment vertical="center" wrapText="1"/>
    </xf>
    <xf numFmtId="0" fontId="35" fillId="0" borderId="66" xfId="0" applyFont="1" applyBorder="1" applyAlignment="1">
      <alignment horizontal="left" vertical="center" wrapText="1"/>
    </xf>
    <xf numFmtId="0" fontId="4" fillId="46" borderId="39" xfId="0" applyFont="1" applyFill="1" applyBorder="1" applyAlignment="1">
      <alignment vertical="center"/>
    </xf>
    <xf numFmtId="0" fontId="0" fillId="10" borderId="39" xfId="0" applyFill="1" applyBorder="1" applyAlignment="1">
      <alignment vertical="center"/>
    </xf>
    <xf numFmtId="0" fontId="36" fillId="28" borderId="45" xfId="0" applyFont="1" applyFill="1" applyBorder="1" applyAlignment="1">
      <alignment horizontal="center" vertical="center" wrapText="1"/>
    </xf>
    <xf numFmtId="0" fontId="11" fillId="28" borderId="45" xfId="0" applyFont="1" applyFill="1" applyBorder="1" applyAlignment="1">
      <alignment horizontal="center" vertical="center" wrapText="1"/>
    </xf>
    <xf numFmtId="0" fontId="10" fillId="0" borderId="69" xfId="0" applyFont="1" applyBorder="1" applyAlignment="1">
      <alignment vertical="center" wrapText="1"/>
    </xf>
    <xf numFmtId="0" fontId="37" fillId="10" borderId="39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8" fillId="15" borderId="23" xfId="0" applyFont="1" applyFill="1" applyBorder="1"/>
    <xf numFmtId="0" fontId="8" fillId="15" borderId="25" xfId="0" applyFont="1" applyFill="1" applyBorder="1"/>
    <xf numFmtId="0" fontId="38" fillId="0" borderId="71" xfId="0" applyFont="1" applyBorder="1" applyAlignment="1">
      <alignment wrapText="1"/>
    </xf>
    <xf numFmtId="0" fontId="10" fillId="0" borderId="66" xfId="0" applyFont="1" applyBorder="1" applyAlignment="1">
      <alignment vertical="center" wrapText="1"/>
    </xf>
    <xf numFmtId="0" fontId="10" fillId="45" borderId="39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vertical="center"/>
    </xf>
    <xf numFmtId="0" fontId="10" fillId="42" borderId="53" xfId="0" applyFont="1" applyFill="1" applyBorder="1" applyAlignment="1">
      <alignment horizontal="center" vertical="center"/>
    </xf>
    <xf numFmtId="0" fontId="10" fillId="44" borderId="39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/>
    </xf>
    <xf numFmtId="0" fontId="39" fillId="47" borderId="39" xfId="0" applyFont="1" applyFill="1" applyBorder="1" applyAlignment="1">
      <alignment vertical="center"/>
    </xf>
    <xf numFmtId="0" fontId="39" fillId="47" borderId="53" xfId="0" applyFont="1" applyFill="1" applyBorder="1" applyAlignment="1">
      <alignment vertical="center"/>
    </xf>
    <xf numFmtId="0" fontId="38" fillId="0" borderId="53" xfId="0" applyFont="1" applyBorder="1" applyAlignment="1">
      <alignment vertical="center" wrapText="1"/>
    </xf>
    <xf numFmtId="0" fontId="38" fillId="48" borderId="53" xfId="0" applyFont="1" applyFill="1" applyBorder="1" applyAlignment="1">
      <alignment vertical="center"/>
    </xf>
    <xf numFmtId="0" fontId="3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 wrapText="1"/>
    </xf>
    <xf numFmtId="0" fontId="6" fillId="0" borderId="61" xfId="0" applyFont="1" applyBorder="1" applyAlignment="1">
      <alignment horizontal="center" vertical="center"/>
    </xf>
    <xf numFmtId="0" fontId="7" fillId="49" borderId="53" xfId="0" applyFont="1" applyFill="1" applyBorder="1" applyAlignment="1">
      <alignment horizontal="center" vertical="center"/>
    </xf>
    <xf numFmtId="0" fontId="0" fillId="46" borderId="39" xfId="0" applyFill="1" applyBorder="1" applyAlignment="1">
      <alignment vertical="center"/>
    </xf>
    <xf numFmtId="0" fontId="7" fillId="0" borderId="66" xfId="0" applyFont="1" applyBorder="1" applyAlignment="1">
      <alignment horizontal="left" vertical="center" wrapText="1"/>
    </xf>
    <xf numFmtId="0" fontId="7" fillId="0" borderId="7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6" fillId="0" borderId="60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164" fontId="7" fillId="0" borderId="39" xfId="2" applyNumberFormat="1" applyFont="1" applyFill="1" applyBorder="1" applyAlignment="1">
      <alignment horizontal="center" vertical="center"/>
    </xf>
    <xf numFmtId="0" fontId="11" fillId="49" borderId="45" xfId="0" applyFont="1" applyFill="1" applyBorder="1" applyAlignment="1">
      <alignment horizontal="center" vertical="center" wrapText="1"/>
    </xf>
    <xf numFmtId="0" fontId="10" fillId="49" borderId="53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33" borderId="45" xfId="0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33" borderId="45" xfId="0" applyFont="1" applyFill="1" applyBorder="1" applyAlignment="1">
      <alignment horizontal="center" vertical="center"/>
    </xf>
    <xf numFmtId="0" fontId="7" fillId="39" borderId="45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44" fontId="7" fillId="0" borderId="45" xfId="2" applyFont="1" applyFill="1" applyBorder="1" applyAlignment="1">
      <alignment horizontal="center" vertical="center"/>
    </xf>
    <xf numFmtId="0" fontId="0" fillId="33" borderId="53" xfId="0" applyFill="1" applyBorder="1" applyAlignment="1">
      <alignment vertical="center"/>
    </xf>
    <xf numFmtId="0" fontId="32" fillId="0" borderId="53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/>
    </xf>
    <xf numFmtId="0" fontId="7" fillId="0" borderId="53" xfId="0" applyFont="1" applyBorder="1" applyAlignment="1">
      <alignment horizontal="center" vertical="top" wrapText="1"/>
    </xf>
    <xf numFmtId="1" fontId="40" fillId="33" borderId="37" xfId="4" applyNumberFormat="1" applyFont="1" applyFill="1" applyAlignment="1">
      <alignment horizontal="center" vertical="center" wrapText="1"/>
    </xf>
    <xf numFmtId="1" fontId="40" fillId="33" borderId="76" xfId="4" applyNumberFormat="1" applyFont="1" applyFill="1" applyBorder="1" applyAlignment="1">
      <alignment horizontal="center" vertical="center" wrapText="1"/>
    </xf>
    <xf numFmtId="1" fontId="40" fillId="33" borderId="75" xfId="4" applyNumberFormat="1" applyFont="1" applyFill="1" applyBorder="1" applyAlignment="1">
      <alignment horizontal="center" vertical="center" wrapText="1"/>
    </xf>
    <xf numFmtId="0" fontId="41" fillId="0" borderId="39" xfId="10" applyBorder="1" applyAlignment="1">
      <alignment horizontal="center" vertical="center" wrapText="1"/>
    </xf>
    <xf numFmtId="0" fontId="7" fillId="41" borderId="39" xfId="0" applyFont="1" applyFill="1" applyBorder="1" applyAlignment="1">
      <alignment horizontal="center" vertical="center"/>
    </xf>
    <xf numFmtId="0" fontId="42" fillId="0" borderId="39" xfId="0" applyFont="1" applyBorder="1" applyAlignment="1">
      <alignment horizontal="center" vertical="center" wrapText="1"/>
    </xf>
    <xf numFmtId="0" fontId="41" fillId="0" borderId="0" xfId="10"/>
    <xf numFmtId="0" fontId="42" fillId="0" borderId="53" xfId="0" applyFont="1" applyBorder="1" applyAlignment="1">
      <alignment horizontal="center" vertical="center"/>
    </xf>
    <xf numFmtId="0" fontId="22" fillId="49" borderId="39" xfId="0" applyFont="1" applyFill="1" applyBorder="1" applyAlignment="1">
      <alignment vertical="center"/>
    </xf>
    <xf numFmtId="0" fontId="43" fillId="49" borderId="53" xfId="0" applyFont="1" applyFill="1" applyBorder="1" applyAlignment="1">
      <alignment horizontal="center" vertical="center"/>
    </xf>
    <xf numFmtId="0" fontId="11" fillId="28" borderId="72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36" fillId="28" borderId="72" xfId="0" applyFont="1" applyFill="1" applyBorder="1" applyAlignment="1">
      <alignment horizontal="center" vertical="center" wrapText="1"/>
    </xf>
    <xf numFmtId="0" fontId="10" fillId="49" borderId="39" xfId="0" applyFont="1" applyFill="1" applyBorder="1" applyAlignment="1">
      <alignment horizontal="center" vertical="center"/>
    </xf>
    <xf numFmtId="1" fontId="19" fillId="33" borderId="40" xfId="4" applyNumberFormat="1" applyFont="1" applyFill="1" applyBorder="1" applyAlignment="1">
      <alignment horizontal="center" vertical="center"/>
    </xf>
    <xf numFmtId="1" fontId="14" fillId="33" borderId="37" xfId="4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33" borderId="46" xfId="0" applyFont="1" applyFill="1" applyBorder="1" applyAlignment="1">
      <alignment horizontal="center" vertical="center"/>
    </xf>
    <xf numFmtId="0" fontId="6" fillId="33" borderId="47" xfId="0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/>
    </xf>
    <xf numFmtId="0" fontId="14" fillId="0" borderId="37" xfId="4" applyFill="1" applyAlignment="1">
      <alignment horizontal="center" vertical="center"/>
    </xf>
    <xf numFmtId="0" fontId="14" fillId="0" borderId="0" xfId="4" applyFill="1" applyBorder="1" applyAlignment="1">
      <alignment horizontal="center" vertical="center"/>
    </xf>
    <xf numFmtId="1" fontId="20" fillId="33" borderId="40" xfId="4" applyNumberFormat="1" applyFont="1" applyFill="1" applyBorder="1" applyAlignment="1">
      <alignment horizontal="center" vertical="center" wrapText="1"/>
    </xf>
    <xf numFmtId="1" fontId="20" fillId="33" borderId="37" xfId="4" applyNumberFormat="1" applyFont="1" applyFill="1" applyAlignment="1">
      <alignment horizontal="center" vertical="center" wrapText="1"/>
    </xf>
    <xf numFmtId="1" fontId="19" fillId="33" borderId="40" xfId="4" applyNumberFormat="1" applyFont="1" applyFill="1" applyBorder="1" applyAlignment="1">
      <alignment horizontal="center" vertical="center"/>
    </xf>
    <xf numFmtId="1" fontId="19" fillId="33" borderId="37" xfId="4" applyNumberFormat="1" applyFont="1" applyFill="1" applyAlignment="1">
      <alignment horizontal="center" vertical="center"/>
    </xf>
    <xf numFmtId="1" fontId="29" fillId="33" borderId="40" xfId="4" applyNumberFormat="1" applyFont="1" applyFill="1" applyBorder="1" applyAlignment="1">
      <alignment horizontal="center" vertical="center" wrapText="1"/>
    </xf>
    <xf numFmtId="1" fontId="29" fillId="33" borderId="37" xfId="4" applyNumberFormat="1" applyFont="1" applyFill="1" applyAlignment="1">
      <alignment horizontal="center" vertical="center" wrapText="1"/>
    </xf>
    <xf numFmtId="1" fontId="19" fillId="33" borderId="40" xfId="4" applyNumberFormat="1" applyFont="1" applyFill="1" applyBorder="1" applyAlignment="1">
      <alignment horizontal="center" vertical="center" wrapText="1"/>
    </xf>
    <xf numFmtId="1" fontId="19" fillId="33" borderId="37" xfId="4" applyNumberFormat="1" applyFont="1" applyFill="1" applyAlignment="1">
      <alignment horizontal="center" vertical="center" wrapText="1"/>
    </xf>
    <xf numFmtId="1" fontId="19" fillId="33" borderId="47" xfId="4" applyNumberFormat="1" applyFont="1" applyFill="1" applyBorder="1" applyAlignment="1">
      <alignment horizontal="center" vertical="center"/>
    </xf>
    <xf numFmtId="1" fontId="19" fillId="33" borderId="0" xfId="4" applyNumberFormat="1" applyFont="1" applyFill="1" applyBorder="1" applyAlignment="1">
      <alignment horizontal="center" vertical="center" wrapText="1"/>
    </xf>
    <xf numFmtId="1" fontId="19" fillId="33" borderId="73" xfId="4" applyNumberFormat="1" applyFont="1" applyFill="1" applyBorder="1" applyAlignment="1">
      <alignment horizontal="center" vertical="center" wrapText="1"/>
    </xf>
    <xf numFmtId="1" fontId="19" fillId="33" borderId="8" xfId="4" applyNumberFormat="1" applyFont="1" applyFill="1" applyBorder="1" applyAlignment="1">
      <alignment horizontal="center" vertical="center" wrapText="1"/>
    </xf>
    <xf numFmtId="1" fontId="19" fillId="33" borderId="74" xfId="4" applyNumberFormat="1" applyFont="1" applyFill="1" applyBorder="1" applyAlignment="1">
      <alignment horizontal="center" vertical="center" wrapText="1"/>
    </xf>
    <xf numFmtId="0" fontId="17" fillId="0" borderId="49" xfId="3" applyFont="1" applyFill="1" applyBorder="1" applyAlignment="1">
      <alignment horizontal="center" vertical="center"/>
    </xf>
    <xf numFmtId="0" fontId="14" fillId="0" borderId="37" xfId="4" applyFill="1" applyAlignment="1">
      <alignment horizontal="center" vertical="center" wrapText="1"/>
    </xf>
    <xf numFmtId="1" fontId="19" fillId="14" borderId="40" xfId="4" applyNumberFormat="1" applyFont="1" applyFill="1" applyBorder="1" applyAlignment="1">
      <alignment horizontal="center" vertical="center"/>
    </xf>
    <xf numFmtId="1" fontId="19" fillId="14" borderId="37" xfId="4" applyNumberFormat="1" applyFont="1" applyFill="1" applyAlignment="1">
      <alignment horizontal="center" vertical="center"/>
    </xf>
    <xf numFmtId="1" fontId="19" fillId="6" borderId="51" xfId="4" applyNumberFormat="1" applyFont="1" applyFill="1" applyBorder="1" applyAlignment="1">
      <alignment horizontal="center" vertical="center" wrapText="1"/>
    </xf>
    <xf numFmtId="1" fontId="19" fillId="6" borderId="37" xfId="4" applyNumberFormat="1" applyFont="1" applyFill="1" applyAlignment="1">
      <alignment horizontal="center" vertical="center" wrapText="1"/>
    </xf>
    <xf numFmtId="1" fontId="14" fillId="33" borderId="40" xfId="4" applyNumberFormat="1" applyFill="1" applyBorder="1" applyAlignment="1">
      <alignment horizontal="center" vertical="center"/>
    </xf>
    <xf numFmtId="1" fontId="14" fillId="33" borderId="37" xfId="4" applyNumberFormat="1" applyFill="1" applyAlignment="1">
      <alignment horizontal="center" vertical="center"/>
    </xf>
    <xf numFmtId="0" fontId="14" fillId="33" borderId="50" xfId="4" applyFill="1" applyBorder="1" applyAlignment="1">
      <alignment horizontal="center" vertical="center"/>
    </xf>
    <xf numFmtId="1" fontId="19" fillId="6" borderId="40" xfId="4" applyNumberFormat="1" applyFont="1" applyFill="1" applyBorder="1" applyAlignment="1">
      <alignment horizontal="center" vertical="center" wrapText="1"/>
    </xf>
    <xf numFmtId="1" fontId="14" fillId="14" borderId="51" xfId="4" applyNumberFormat="1" applyFill="1" applyBorder="1" applyAlignment="1">
      <alignment horizontal="center" vertical="center"/>
    </xf>
    <xf numFmtId="1" fontId="14" fillId="14" borderId="37" xfId="4" applyNumberFormat="1" applyFill="1" applyAlignment="1">
      <alignment horizontal="center" vertical="center"/>
    </xf>
    <xf numFmtId="1" fontId="14" fillId="6" borderId="51" xfId="4" applyNumberFormat="1" applyFill="1" applyBorder="1" applyAlignment="1">
      <alignment horizontal="center" vertical="center"/>
    </xf>
    <xf numFmtId="1" fontId="14" fillId="6" borderId="37" xfId="4" applyNumberFormat="1" applyFill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4" fontId="6" fillId="0" borderId="31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44" fillId="45" borderId="39" xfId="0" applyFont="1" applyFill="1" applyBorder="1" applyAlignment="1">
      <alignment horizontal="center" vertical="center"/>
    </xf>
    <xf numFmtId="0" fontId="44" fillId="44" borderId="39" xfId="0" applyFont="1" applyFill="1" applyBorder="1" applyAlignment="1">
      <alignment horizontal="center" vertical="center"/>
    </xf>
  </cellXfs>
  <cellStyles count="11">
    <cellStyle name="Accent1" xfId="6" builtinId="29"/>
    <cellStyle name="Accent2" xfId="7" builtinId="33"/>
    <cellStyle name="Accent5" xfId="8" builtinId="45"/>
    <cellStyle name="Accent6" xfId="9" builtinId="49"/>
    <cellStyle name="Comma" xfId="1" builtinId="3"/>
    <cellStyle name="Currency" xfId="2" builtinId="4"/>
    <cellStyle name="Heading 1" xfId="4" builtinId="16"/>
    <cellStyle name="Hyperlink" xfId="10" builtinId="8"/>
    <cellStyle name="Normal" xfId="0" builtinId="0"/>
    <cellStyle name="Title" xfId="3" builtinId="15"/>
    <cellStyle name="Total" xfId="5" builtinId="25"/>
  </cellStyles>
  <dxfs count="0"/>
  <tableStyles count="0" defaultTableStyle="TableStyleMedium2" defaultPivotStyle="PivotStyleLight16"/>
  <colors>
    <mruColors>
      <color rgb="FFCCFFFF"/>
      <color rgb="FF66FFCC"/>
      <color rgb="FFFF7C80"/>
      <color rgb="FFFFFF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Capital Work Plan - City of Lake Stevens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65252034745116"/>
          <c:y val="0.11215582205793453"/>
          <c:w val="0.68086022258948242"/>
          <c:h val="0.824139043224558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'2023.1'!$D$5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'2023.1'!$B$6:$B$33</c:f>
              <c:strCache>
                <c:ptCount val="28"/>
                <c:pt idx="0">
                  <c:v>Main Street &amp; 20th Street RAB</c:v>
                </c:pt>
                <c:pt idx="1">
                  <c:v>Law Enforcement Dock</c:v>
                </c:pt>
                <c:pt idx="2">
                  <c:v>131st Ave NE Sewer Extension</c:v>
                </c:pt>
                <c:pt idx="3">
                  <c:v>Parks Relocation/Sewer Relocation</c:v>
                </c:pt>
                <c:pt idx="4">
                  <c:v>Main Street</c:v>
                </c:pt>
                <c:pt idx="5">
                  <c:v>South Lake Stevens MUP II &amp; III</c:v>
                </c:pt>
                <c:pt idx="6">
                  <c:v>Mill Spur Parking Lot</c:v>
                </c:pt>
                <c:pt idx="7">
                  <c:v>Gateway Sign @ S. lake Stevens Rd</c:v>
                </c:pt>
                <c:pt idx="8">
                  <c:v>Gateway Signs @ SR204</c:v>
                </c:pt>
                <c:pt idx="9">
                  <c:v>Frontier Heights Park Phase II</c:v>
                </c:pt>
                <c:pt idx="10">
                  <c:v>Sunset Park Dock</c:v>
                </c:pt>
                <c:pt idx="11">
                  <c:v>Sunset Park Improvements</c:v>
                </c:pt>
                <c:pt idx="12">
                  <c:v>Eagle Ridge Park Phase II</c:v>
                </c:pt>
                <c:pt idx="13">
                  <c:v>Powerline Trail</c:v>
                </c:pt>
                <c:pt idx="14">
                  <c:v>Festival Street Restroom</c:v>
                </c:pt>
                <c:pt idx="15">
                  <c:v>ADA Transition Plan</c:v>
                </c:pt>
                <c:pt idx="16">
                  <c:v>Annual Striping Program</c:v>
                </c:pt>
                <c:pt idx="17">
                  <c:v>Annual Pavement Preservation Program</c:v>
                </c:pt>
                <c:pt idx="18">
                  <c:v>91st Ave Sidewalk, 4th St to Market</c:v>
                </c:pt>
                <c:pt idx="19">
                  <c:v>91st Ave Sidewalk, 8th St to 4th St</c:v>
                </c:pt>
                <c:pt idx="20">
                  <c:v>91st Ave Sidewalk, 20th St to 12th St</c:v>
                </c:pt>
                <c:pt idx="21">
                  <c:v>117th Ave Sidewalk, 20th St to 26th St</c:v>
                </c:pt>
                <c:pt idx="22">
                  <c:v>36th Street Culvert Replacement</c:v>
                </c:pt>
                <c:pt idx="23">
                  <c:v>Weir Replacement</c:v>
                </c:pt>
                <c:pt idx="24">
                  <c:v>Traffic Calming</c:v>
                </c:pt>
                <c:pt idx="25">
                  <c:v>79th Ave SE/8th St. SE Intersection</c:v>
                </c:pt>
                <c:pt idx="26">
                  <c:v>ADA Ramp Improvements</c:v>
                </c:pt>
                <c:pt idx="27">
                  <c:v>North Cove Water Feature</c:v>
                </c:pt>
              </c:strCache>
            </c:strRef>
          </c:cat>
          <c:val>
            <c:numRef>
              <c:f>'2023.1'!$D$6:$D$33</c:f>
              <c:numCache>
                <c:formatCode>m/d/yyyy</c:formatCode>
                <c:ptCount val="28"/>
                <c:pt idx="0">
                  <c:v>45047</c:v>
                </c:pt>
                <c:pt idx="1">
                  <c:v>45078</c:v>
                </c:pt>
                <c:pt idx="2">
                  <c:v>45047</c:v>
                </c:pt>
                <c:pt idx="3">
                  <c:v>45139</c:v>
                </c:pt>
                <c:pt idx="4">
                  <c:v>44927</c:v>
                </c:pt>
                <c:pt idx="5">
                  <c:v>44927</c:v>
                </c:pt>
                <c:pt idx="6">
                  <c:v>45017</c:v>
                </c:pt>
                <c:pt idx="7">
                  <c:v>44986</c:v>
                </c:pt>
                <c:pt idx="8">
                  <c:v>45142</c:v>
                </c:pt>
                <c:pt idx="9">
                  <c:v>44927</c:v>
                </c:pt>
                <c:pt idx="10">
                  <c:v>44927</c:v>
                </c:pt>
                <c:pt idx="11">
                  <c:v>44927</c:v>
                </c:pt>
                <c:pt idx="12">
                  <c:v>45145</c:v>
                </c:pt>
                <c:pt idx="13">
                  <c:v>45078</c:v>
                </c:pt>
                <c:pt idx="14">
                  <c:v>45153</c:v>
                </c:pt>
                <c:pt idx="15">
                  <c:v>44927</c:v>
                </c:pt>
                <c:pt idx="16">
                  <c:v>45139</c:v>
                </c:pt>
                <c:pt idx="17">
                  <c:v>45200</c:v>
                </c:pt>
                <c:pt idx="18">
                  <c:v>45139</c:v>
                </c:pt>
                <c:pt idx="19">
                  <c:v>45139</c:v>
                </c:pt>
                <c:pt idx="20">
                  <c:v>45139</c:v>
                </c:pt>
                <c:pt idx="21">
                  <c:v>45139</c:v>
                </c:pt>
                <c:pt idx="22">
                  <c:v>44927</c:v>
                </c:pt>
                <c:pt idx="23">
                  <c:v>44928</c:v>
                </c:pt>
                <c:pt idx="24">
                  <c:v>44927</c:v>
                </c:pt>
                <c:pt idx="25">
                  <c:v>45108</c:v>
                </c:pt>
                <c:pt idx="26">
                  <c:v>44927</c:v>
                </c:pt>
                <c:pt idx="27">
                  <c:v>45017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C-4CCB-A3D3-47F830F5EF8A}"/>
            </c:ext>
          </c:extLst>
        </c:ser>
        <c:ser>
          <c:idx val="1"/>
          <c:order val="1"/>
          <c:tx>
            <c:strRef>
              <c:f>'2023.1'!$E$5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EBC-4CCB-A3D3-47F830F5EF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BC-4CCB-A3D3-47F830F5EF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EBC-4CCB-A3D3-47F830F5EF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EBC-4CCB-A3D3-47F830F5EF8A}"/>
              </c:ext>
            </c:extLst>
          </c:dPt>
          <c:dPt>
            <c:idx val="1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C39-490C-AE0E-BAFC30F72C40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C39-490C-AE0E-BAFC30F72C40}"/>
              </c:ext>
            </c:extLst>
          </c:dPt>
          <c:dPt>
            <c:idx val="1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EBC-4CCB-A3D3-47F830F5EF8A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C39-490C-AE0E-BAFC30F72C4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C39-490C-AE0E-BAFC30F72C4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C39-490C-AE0E-BAFC30F72C40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C39-490C-AE0E-BAFC30F72C4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EBC-4CCB-A3D3-47F830F5EF8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BC-4CCB-A3D3-47F830F5EF8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EBC-4CCB-A3D3-47F830F5EF8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EBC-4CCB-A3D3-47F830F5EF8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EBC-4CCB-A3D3-47F830F5EF8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EBC-4CCB-A3D3-47F830F5EF8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EBC-4CCB-A3D3-47F830F5EF8A}"/>
              </c:ext>
            </c:extLst>
          </c:dPt>
          <c:cat>
            <c:strRef>
              <c:f>'2023.1'!$B$6:$B$33</c:f>
              <c:strCache>
                <c:ptCount val="28"/>
                <c:pt idx="0">
                  <c:v>Main Street &amp; 20th Street RAB</c:v>
                </c:pt>
                <c:pt idx="1">
                  <c:v>Law Enforcement Dock</c:v>
                </c:pt>
                <c:pt idx="2">
                  <c:v>131st Ave NE Sewer Extension</c:v>
                </c:pt>
                <c:pt idx="3">
                  <c:v>Parks Relocation/Sewer Relocation</c:v>
                </c:pt>
                <c:pt idx="4">
                  <c:v>Main Street</c:v>
                </c:pt>
                <c:pt idx="5">
                  <c:v>South Lake Stevens MUP II &amp; III</c:v>
                </c:pt>
                <c:pt idx="6">
                  <c:v>Mill Spur Parking Lot</c:v>
                </c:pt>
                <c:pt idx="7">
                  <c:v>Gateway Sign @ S. lake Stevens Rd</c:v>
                </c:pt>
                <c:pt idx="8">
                  <c:v>Gateway Signs @ SR204</c:v>
                </c:pt>
                <c:pt idx="9">
                  <c:v>Frontier Heights Park Phase II</c:v>
                </c:pt>
                <c:pt idx="10">
                  <c:v>Sunset Park Dock</c:v>
                </c:pt>
                <c:pt idx="11">
                  <c:v>Sunset Park Improvements</c:v>
                </c:pt>
                <c:pt idx="12">
                  <c:v>Eagle Ridge Park Phase II</c:v>
                </c:pt>
                <c:pt idx="13">
                  <c:v>Powerline Trail</c:v>
                </c:pt>
                <c:pt idx="14">
                  <c:v>Festival Street Restroom</c:v>
                </c:pt>
                <c:pt idx="15">
                  <c:v>ADA Transition Plan</c:v>
                </c:pt>
                <c:pt idx="16">
                  <c:v>Annual Striping Program</c:v>
                </c:pt>
                <c:pt idx="17">
                  <c:v>Annual Pavement Preservation Program</c:v>
                </c:pt>
                <c:pt idx="18">
                  <c:v>91st Ave Sidewalk, 4th St to Market</c:v>
                </c:pt>
                <c:pt idx="19">
                  <c:v>91st Ave Sidewalk, 8th St to 4th St</c:v>
                </c:pt>
                <c:pt idx="20">
                  <c:v>91st Ave Sidewalk, 20th St to 12th St</c:v>
                </c:pt>
                <c:pt idx="21">
                  <c:v>117th Ave Sidewalk, 20th St to 26th St</c:v>
                </c:pt>
                <c:pt idx="22">
                  <c:v>36th Street Culvert Replacement</c:v>
                </c:pt>
                <c:pt idx="23">
                  <c:v>Weir Replacement</c:v>
                </c:pt>
                <c:pt idx="24">
                  <c:v>Traffic Calming</c:v>
                </c:pt>
                <c:pt idx="25">
                  <c:v>79th Ave SE/8th St. SE Intersection</c:v>
                </c:pt>
                <c:pt idx="26">
                  <c:v>ADA Ramp Improvements</c:v>
                </c:pt>
                <c:pt idx="27">
                  <c:v>North Cove Water Feature</c:v>
                </c:pt>
              </c:strCache>
            </c:strRef>
          </c:cat>
          <c:val>
            <c:numRef>
              <c:f>'2023.1'!$E$6:$E$33</c:f>
              <c:numCache>
                <c:formatCode>0</c:formatCode>
                <c:ptCount val="28"/>
                <c:pt idx="0">
                  <c:v>183</c:v>
                </c:pt>
                <c:pt idx="1">
                  <c:v>213</c:v>
                </c:pt>
                <c:pt idx="2">
                  <c:v>183</c:v>
                </c:pt>
                <c:pt idx="3">
                  <c:v>152</c:v>
                </c:pt>
                <c:pt idx="4">
                  <c:v>607</c:v>
                </c:pt>
                <c:pt idx="5">
                  <c:v>90</c:v>
                </c:pt>
                <c:pt idx="6">
                  <c:v>95</c:v>
                </c:pt>
                <c:pt idx="7">
                  <c:v>155</c:v>
                </c:pt>
                <c:pt idx="8">
                  <c:v>50</c:v>
                </c:pt>
                <c:pt idx="9">
                  <c:v>700</c:v>
                </c:pt>
                <c:pt idx="10">
                  <c:v>272</c:v>
                </c:pt>
                <c:pt idx="11">
                  <c:v>290</c:v>
                </c:pt>
                <c:pt idx="12">
                  <c:v>365</c:v>
                </c:pt>
                <c:pt idx="13">
                  <c:v>365</c:v>
                </c:pt>
                <c:pt idx="14">
                  <c:v>90</c:v>
                </c:pt>
                <c:pt idx="15">
                  <c:v>364</c:v>
                </c:pt>
                <c:pt idx="16">
                  <c:v>60</c:v>
                </c:pt>
                <c:pt idx="17">
                  <c:v>457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700</c:v>
                </c:pt>
                <c:pt idx="23">
                  <c:v>700</c:v>
                </c:pt>
                <c:pt idx="24">
                  <c:v>364</c:v>
                </c:pt>
                <c:pt idx="25">
                  <c:v>138</c:v>
                </c:pt>
                <c:pt idx="26">
                  <c:v>256</c:v>
                </c:pt>
                <c:pt idx="2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EBC-4CCB-A3D3-47F830F5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983440"/>
        <c:axId val="463987704"/>
      </c:barChart>
      <c:catAx>
        <c:axId val="4639834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7704"/>
        <c:crosses val="autoZero"/>
        <c:auto val="1"/>
        <c:lblAlgn val="ctr"/>
        <c:lblOffset val="100"/>
        <c:noMultiLvlLbl val="0"/>
      </c:catAx>
      <c:valAx>
        <c:axId val="463987704"/>
        <c:scaling>
          <c:orientation val="minMax"/>
          <c:max val="45657"/>
          <c:min val="449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2023 - 2024</a:t>
                </a:r>
              </a:p>
            </c:rich>
          </c:tx>
          <c:layout>
            <c:manualLayout>
              <c:xMode val="edge"/>
              <c:yMode val="edge"/>
              <c:x val="0.46069087939801528"/>
              <c:y val="4.44027810851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3440"/>
        <c:crosses val="autoZero"/>
        <c:crossBetween val="between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Capital Work Plan - City of Lake Stevens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65252034745116"/>
          <c:y val="0.11215582205793453"/>
          <c:w val="0.68086022258948242"/>
          <c:h val="0.824139043224558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'2023'!$D$5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'2023'!$B$6:$B$40</c:f>
              <c:strCache>
                <c:ptCount val="35"/>
                <c:pt idx="0">
                  <c:v>Main Street &amp; 20th Street RAB (Pre-Design)</c:v>
                </c:pt>
                <c:pt idx="1">
                  <c:v>Law Enforcement Dock (Pre-design)</c:v>
                </c:pt>
                <c:pt idx="2">
                  <c:v>131st Ave NE Sewer Extension (Design)</c:v>
                </c:pt>
                <c:pt idx="3">
                  <c:v>Parks Relocation/Sewer Relocation</c:v>
                </c:pt>
                <c:pt idx="4">
                  <c:v>Main Street (Design)</c:v>
                </c:pt>
                <c:pt idx="5">
                  <c:v>Main Street (Construction)</c:v>
                </c:pt>
                <c:pt idx="6">
                  <c:v>South Lake Stevens MUP II &amp; III (Pre-Design)</c:v>
                </c:pt>
                <c:pt idx="7">
                  <c:v>Mill Spur Parking Lot (Design)</c:v>
                </c:pt>
                <c:pt idx="8">
                  <c:v>Mill Spur Parking Lot (Construction)</c:v>
                </c:pt>
                <c:pt idx="9">
                  <c:v>Gateway Sign (Construction)</c:v>
                </c:pt>
                <c:pt idx="10">
                  <c:v>Frontier Heights Park Phase II (Design)</c:v>
                </c:pt>
                <c:pt idx="11">
                  <c:v>Frontier Heights Park Phase II (Construction)</c:v>
                </c:pt>
                <c:pt idx="12">
                  <c:v>Sunset Park Dock &amp; Shoreline (Design)</c:v>
                </c:pt>
                <c:pt idx="13">
                  <c:v>Sunset Park Dock &amp; Shoreline (Construction)</c:v>
                </c:pt>
                <c:pt idx="14">
                  <c:v>Sunset Park Improvements (Design)</c:v>
                </c:pt>
                <c:pt idx="15">
                  <c:v>Sunset Park Improvements (Construction)</c:v>
                </c:pt>
                <c:pt idx="16">
                  <c:v>Eagle Ridge Park Phase II (Design)</c:v>
                </c:pt>
                <c:pt idx="17">
                  <c:v>Eagle Ridge Park Phase II (Construction)</c:v>
                </c:pt>
                <c:pt idx="18">
                  <c:v>Powerline Trail (Design)</c:v>
                </c:pt>
                <c:pt idx="19">
                  <c:v>Powerline Trail (Construction)</c:v>
                </c:pt>
                <c:pt idx="20">
                  <c:v>Festival Street Restroom (Construction)</c:v>
                </c:pt>
                <c:pt idx="21">
                  <c:v>ADA Transition Plan</c:v>
                </c:pt>
                <c:pt idx="22">
                  <c:v>Annual Striping Program</c:v>
                </c:pt>
                <c:pt idx="23">
                  <c:v>Annual Pavement Preservation Program</c:v>
                </c:pt>
                <c:pt idx="24">
                  <c:v>91st Ave Sidewalk, 4th St to Market (Design)</c:v>
                </c:pt>
                <c:pt idx="25">
                  <c:v>91st Ave Sidewalk, 8th St to 4th St (Design)</c:v>
                </c:pt>
                <c:pt idx="26">
                  <c:v>91st Ave Sidewalk, 20th St to 12th St (Design)</c:v>
                </c:pt>
                <c:pt idx="27">
                  <c:v>117th Ave Sidewalk, 20th St to 26th St (Design)</c:v>
                </c:pt>
                <c:pt idx="28">
                  <c:v>36th Street Culvert Replacement (Design)</c:v>
                </c:pt>
                <c:pt idx="29">
                  <c:v>Weir Replacement (Design)</c:v>
                </c:pt>
                <c:pt idx="30">
                  <c:v>Traffic Calming</c:v>
                </c:pt>
                <c:pt idx="31">
                  <c:v>79th Ave SE/8th St. SE Intersection (Design)</c:v>
                </c:pt>
                <c:pt idx="32">
                  <c:v>ADA Ramp Improvements (Design)</c:v>
                </c:pt>
                <c:pt idx="33">
                  <c:v>ADA Ramp Improvements (Construction)</c:v>
                </c:pt>
                <c:pt idx="34">
                  <c:v>North Cove Water Feature (Construction)</c:v>
                </c:pt>
              </c:strCache>
            </c:strRef>
          </c:cat>
          <c:val>
            <c:numRef>
              <c:f>'2023'!$D$6:$D$40</c:f>
              <c:numCache>
                <c:formatCode>m/d/yyyy</c:formatCode>
                <c:ptCount val="35"/>
                <c:pt idx="0">
                  <c:v>45047</c:v>
                </c:pt>
                <c:pt idx="1">
                  <c:v>45078</c:v>
                </c:pt>
                <c:pt idx="2">
                  <c:v>45047</c:v>
                </c:pt>
                <c:pt idx="3">
                  <c:v>45139</c:v>
                </c:pt>
                <c:pt idx="4">
                  <c:v>44927</c:v>
                </c:pt>
                <c:pt idx="5">
                  <c:v>45352</c:v>
                </c:pt>
                <c:pt idx="6">
                  <c:v>44927</c:v>
                </c:pt>
                <c:pt idx="7">
                  <c:v>45017</c:v>
                </c:pt>
                <c:pt idx="8">
                  <c:v>45058</c:v>
                </c:pt>
                <c:pt idx="9">
                  <c:v>44986</c:v>
                </c:pt>
                <c:pt idx="10">
                  <c:v>44927</c:v>
                </c:pt>
                <c:pt idx="11">
                  <c:v>45387</c:v>
                </c:pt>
                <c:pt idx="12">
                  <c:v>44927</c:v>
                </c:pt>
                <c:pt idx="13">
                  <c:v>45105</c:v>
                </c:pt>
                <c:pt idx="14">
                  <c:v>44927</c:v>
                </c:pt>
                <c:pt idx="15">
                  <c:v>45113</c:v>
                </c:pt>
                <c:pt idx="16">
                  <c:v>45047</c:v>
                </c:pt>
                <c:pt idx="17">
                  <c:v>45413</c:v>
                </c:pt>
                <c:pt idx="18">
                  <c:v>45078</c:v>
                </c:pt>
                <c:pt idx="19">
                  <c:v>45366</c:v>
                </c:pt>
                <c:pt idx="20">
                  <c:v>45153</c:v>
                </c:pt>
                <c:pt idx="21">
                  <c:v>44927</c:v>
                </c:pt>
                <c:pt idx="22">
                  <c:v>45124</c:v>
                </c:pt>
                <c:pt idx="23">
                  <c:v>45200</c:v>
                </c:pt>
                <c:pt idx="24">
                  <c:v>45139</c:v>
                </c:pt>
                <c:pt idx="25">
                  <c:v>45139</c:v>
                </c:pt>
                <c:pt idx="26">
                  <c:v>45139</c:v>
                </c:pt>
                <c:pt idx="27">
                  <c:v>45139</c:v>
                </c:pt>
                <c:pt idx="28">
                  <c:v>44927</c:v>
                </c:pt>
                <c:pt idx="29">
                  <c:v>44928</c:v>
                </c:pt>
                <c:pt idx="30">
                  <c:v>44927</c:v>
                </c:pt>
                <c:pt idx="31">
                  <c:v>45061</c:v>
                </c:pt>
                <c:pt idx="32">
                  <c:v>44927</c:v>
                </c:pt>
                <c:pt idx="33">
                  <c:v>45083</c:v>
                </c:pt>
                <c:pt idx="34">
                  <c:v>45017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6-4A43-B273-51F64AD90F6C}"/>
            </c:ext>
          </c:extLst>
        </c:ser>
        <c:ser>
          <c:idx val="1"/>
          <c:order val="1"/>
          <c:tx>
            <c:strRef>
              <c:f>'2023'!$E$5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9-4AC6-A21F-4365709265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9-4AC6-A21F-4365709265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9-4AC6-A21F-4365709265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B0-41CF-9E7B-C14B0A002A9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28-4F23-911C-375FC5C8456A}"/>
              </c:ext>
            </c:extLst>
          </c:dPt>
          <c:dPt>
            <c:idx val="16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554-4178-81CA-0EA4D3A1CA07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69-4AC6-A21F-436570926555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69-4AC6-A21F-436570926555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69-4AC6-A21F-43657092655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B0-41CF-9E7B-C14B0A002A90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69-4AC6-A21F-43657092655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369-4AC6-A21F-43657092655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69-4AC6-A21F-43657092655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3B0-41CF-9E7B-C14B0A002A90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69-4AC6-A21F-43657092655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B0-41CF-9E7B-C14B0A002A90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3B0-41CF-9E7B-C14B0A002A90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3B0-41CF-9E7B-C14B0A002A90}"/>
              </c:ext>
            </c:extLst>
          </c:dPt>
          <c:dPt>
            <c:idx val="3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3B0-41CF-9E7B-C14B0A002A9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3B0-41CF-9E7B-C14B0A002A90}"/>
              </c:ext>
            </c:extLst>
          </c:dPt>
          <c:cat>
            <c:strRef>
              <c:f>'2023'!$B$6:$B$40</c:f>
              <c:strCache>
                <c:ptCount val="35"/>
                <c:pt idx="0">
                  <c:v>Main Street &amp; 20th Street RAB (Pre-Design)</c:v>
                </c:pt>
                <c:pt idx="1">
                  <c:v>Law Enforcement Dock (Pre-design)</c:v>
                </c:pt>
                <c:pt idx="2">
                  <c:v>131st Ave NE Sewer Extension (Design)</c:v>
                </c:pt>
                <c:pt idx="3">
                  <c:v>Parks Relocation/Sewer Relocation</c:v>
                </c:pt>
                <c:pt idx="4">
                  <c:v>Main Street (Design)</c:v>
                </c:pt>
                <c:pt idx="5">
                  <c:v>Main Street (Construction)</c:v>
                </c:pt>
                <c:pt idx="6">
                  <c:v>South Lake Stevens MUP II &amp; III (Pre-Design)</c:v>
                </c:pt>
                <c:pt idx="7">
                  <c:v>Mill Spur Parking Lot (Design)</c:v>
                </c:pt>
                <c:pt idx="8">
                  <c:v>Mill Spur Parking Lot (Construction)</c:v>
                </c:pt>
                <c:pt idx="9">
                  <c:v>Gateway Sign (Construction)</c:v>
                </c:pt>
                <c:pt idx="10">
                  <c:v>Frontier Heights Park Phase II (Design)</c:v>
                </c:pt>
                <c:pt idx="11">
                  <c:v>Frontier Heights Park Phase II (Construction)</c:v>
                </c:pt>
                <c:pt idx="12">
                  <c:v>Sunset Park Dock &amp; Shoreline (Design)</c:v>
                </c:pt>
                <c:pt idx="13">
                  <c:v>Sunset Park Dock &amp; Shoreline (Construction)</c:v>
                </c:pt>
                <c:pt idx="14">
                  <c:v>Sunset Park Improvements (Design)</c:v>
                </c:pt>
                <c:pt idx="15">
                  <c:v>Sunset Park Improvements (Construction)</c:v>
                </c:pt>
                <c:pt idx="16">
                  <c:v>Eagle Ridge Park Phase II (Design)</c:v>
                </c:pt>
                <c:pt idx="17">
                  <c:v>Eagle Ridge Park Phase II (Construction)</c:v>
                </c:pt>
                <c:pt idx="18">
                  <c:v>Powerline Trail (Design)</c:v>
                </c:pt>
                <c:pt idx="19">
                  <c:v>Powerline Trail (Construction)</c:v>
                </c:pt>
                <c:pt idx="20">
                  <c:v>Festival Street Restroom (Construction)</c:v>
                </c:pt>
                <c:pt idx="21">
                  <c:v>ADA Transition Plan</c:v>
                </c:pt>
                <c:pt idx="22">
                  <c:v>Annual Striping Program</c:v>
                </c:pt>
                <c:pt idx="23">
                  <c:v>Annual Pavement Preservation Program</c:v>
                </c:pt>
                <c:pt idx="24">
                  <c:v>91st Ave Sidewalk, 4th St to Market (Design)</c:v>
                </c:pt>
                <c:pt idx="25">
                  <c:v>91st Ave Sidewalk, 8th St to 4th St (Design)</c:v>
                </c:pt>
                <c:pt idx="26">
                  <c:v>91st Ave Sidewalk, 20th St to 12th St (Design)</c:v>
                </c:pt>
                <c:pt idx="27">
                  <c:v>117th Ave Sidewalk, 20th St to 26th St (Design)</c:v>
                </c:pt>
                <c:pt idx="28">
                  <c:v>36th Street Culvert Replacement (Design)</c:v>
                </c:pt>
                <c:pt idx="29">
                  <c:v>Weir Replacement (Design)</c:v>
                </c:pt>
                <c:pt idx="30">
                  <c:v>Traffic Calming</c:v>
                </c:pt>
                <c:pt idx="31">
                  <c:v>79th Ave SE/8th St. SE Intersection (Design)</c:v>
                </c:pt>
                <c:pt idx="32">
                  <c:v>ADA Ramp Improvements (Design)</c:v>
                </c:pt>
                <c:pt idx="33">
                  <c:v>ADA Ramp Improvements (Construction)</c:v>
                </c:pt>
                <c:pt idx="34">
                  <c:v>North Cove Water Feature (Construction)</c:v>
                </c:pt>
              </c:strCache>
            </c:strRef>
          </c:cat>
          <c:val>
            <c:numRef>
              <c:f>'2023'!$E$6:$E$40</c:f>
              <c:numCache>
                <c:formatCode>0</c:formatCode>
                <c:ptCount val="35"/>
                <c:pt idx="0">
                  <c:v>183</c:v>
                </c:pt>
                <c:pt idx="1">
                  <c:v>213</c:v>
                </c:pt>
                <c:pt idx="2">
                  <c:v>183</c:v>
                </c:pt>
                <c:pt idx="3">
                  <c:v>152</c:v>
                </c:pt>
                <c:pt idx="4">
                  <c:v>424</c:v>
                </c:pt>
                <c:pt idx="5">
                  <c:v>183</c:v>
                </c:pt>
                <c:pt idx="6">
                  <c:v>90</c:v>
                </c:pt>
                <c:pt idx="7">
                  <c:v>40</c:v>
                </c:pt>
                <c:pt idx="8">
                  <c:v>49</c:v>
                </c:pt>
                <c:pt idx="9">
                  <c:v>153</c:v>
                </c:pt>
                <c:pt idx="10">
                  <c:v>460</c:v>
                </c:pt>
                <c:pt idx="11">
                  <c:v>240</c:v>
                </c:pt>
                <c:pt idx="12">
                  <c:v>177</c:v>
                </c:pt>
                <c:pt idx="13">
                  <c:v>95</c:v>
                </c:pt>
                <c:pt idx="14">
                  <c:v>200</c:v>
                </c:pt>
                <c:pt idx="15">
                  <c:v>90</c:v>
                </c:pt>
                <c:pt idx="16">
                  <c:v>365</c:v>
                </c:pt>
                <c:pt idx="17">
                  <c:v>180</c:v>
                </c:pt>
                <c:pt idx="18">
                  <c:v>245</c:v>
                </c:pt>
                <c:pt idx="19">
                  <c:v>120</c:v>
                </c:pt>
                <c:pt idx="20">
                  <c:v>90</c:v>
                </c:pt>
                <c:pt idx="21">
                  <c:v>364</c:v>
                </c:pt>
                <c:pt idx="22">
                  <c:v>60</c:v>
                </c:pt>
                <c:pt idx="23">
                  <c:v>457</c:v>
                </c:pt>
                <c:pt idx="24">
                  <c:v>244</c:v>
                </c:pt>
                <c:pt idx="25">
                  <c:v>244</c:v>
                </c:pt>
                <c:pt idx="26">
                  <c:v>244</c:v>
                </c:pt>
                <c:pt idx="27">
                  <c:v>244</c:v>
                </c:pt>
                <c:pt idx="28">
                  <c:v>700</c:v>
                </c:pt>
                <c:pt idx="29">
                  <c:v>700</c:v>
                </c:pt>
                <c:pt idx="30">
                  <c:v>364</c:v>
                </c:pt>
                <c:pt idx="31">
                  <c:v>138</c:v>
                </c:pt>
                <c:pt idx="32">
                  <c:v>155</c:v>
                </c:pt>
                <c:pt idx="33">
                  <c:v>101</c:v>
                </c:pt>
                <c:pt idx="3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6-4A43-B273-51F64AD9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983440"/>
        <c:axId val="463987704"/>
      </c:barChart>
      <c:catAx>
        <c:axId val="4639834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7704"/>
        <c:crosses val="autoZero"/>
        <c:auto val="1"/>
        <c:lblAlgn val="ctr"/>
        <c:lblOffset val="100"/>
        <c:noMultiLvlLbl val="0"/>
      </c:catAx>
      <c:valAx>
        <c:axId val="463987704"/>
        <c:scaling>
          <c:orientation val="minMax"/>
          <c:max val="45657"/>
          <c:min val="449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2023 - 2024</a:t>
                </a:r>
              </a:p>
            </c:rich>
          </c:tx>
          <c:layout>
            <c:manualLayout>
              <c:xMode val="edge"/>
              <c:yMode val="edge"/>
              <c:x val="0.46069087939801528"/>
              <c:y val="4.44027810851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83440"/>
        <c:crosses val="autoZero"/>
        <c:crossBetween val="between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29917</xdr:colOff>
      <xdr:row>1</xdr:row>
      <xdr:rowOff>210006</xdr:rowOff>
    </xdr:from>
    <xdr:to>
      <xdr:col>19</xdr:col>
      <xdr:colOff>29917</xdr:colOff>
      <xdr:row>63</xdr:row>
      <xdr:rowOff>57362</xdr:rowOff>
    </xdr:to>
    <xdr:cxnSp macro="">
      <xdr:nvCxnSpPr>
        <xdr:cNvPr id="28" name="Straight Connector 2">
          <a:extLst>
            <a:ext uri="{FF2B5EF4-FFF2-40B4-BE49-F238E27FC236}">
              <a16:creationId xmlns:a16="http://schemas.microsoft.com/office/drawing/2014/main" id="{361B7273-1C5E-C847-48A5-D8F4B2CD10FA}"/>
            </a:ext>
          </a:extLst>
        </xdr:cNvPr>
        <xdr:cNvCxnSpPr/>
      </xdr:nvCxnSpPr>
      <xdr:spPr>
        <a:xfrm>
          <a:off x="15381042" y="538089"/>
          <a:ext cx="0" cy="1382794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59892</xdr:colOff>
      <xdr:row>38</xdr:row>
      <xdr:rowOff>19050</xdr:rowOff>
    </xdr:from>
    <xdr:to>
      <xdr:col>3</xdr:col>
      <xdr:colOff>193242</xdr:colOff>
      <xdr:row>38</xdr:row>
      <xdr:rowOff>152400</xdr:rowOff>
    </xdr:to>
    <xdr:sp macro="" textlink="">
      <xdr:nvSpPr>
        <xdr:cNvPr id="112" name="Oval 2">
          <a:extLst>
            <a:ext uri="{FF2B5EF4-FFF2-40B4-BE49-F238E27FC236}">
              <a16:creationId xmlns:a16="http://schemas.microsoft.com/office/drawing/2014/main" id="{917DC6D5-F45F-4813-81BB-BFE7E66EA7C3}"/>
            </a:ext>
          </a:extLst>
        </xdr:cNvPr>
        <xdr:cNvSpPr/>
      </xdr:nvSpPr>
      <xdr:spPr>
        <a:xfrm>
          <a:off x="4930631" y="5729721"/>
          <a:ext cx="133350" cy="133350"/>
        </a:xfrm>
        <a:prstGeom prst="ellipse">
          <a:avLst/>
        </a:prstGeom>
        <a:solidFill>
          <a:srgbClr val="FF00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53975</xdr:colOff>
      <xdr:row>37</xdr:row>
      <xdr:rowOff>20637</xdr:rowOff>
    </xdr:from>
    <xdr:to>
      <xdr:col>3</xdr:col>
      <xdr:colOff>196850</xdr:colOff>
      <xdr:row>37</xdr:row>
      <xdr:rowOff>160336</xdr:rowOff>
    </xdr:to>
    <xdr:sp macro="" textlink="">
      <xdr:nvSpPr>
        <xdr:cNvPr id="85" name="Rectangle 3">
          <a:extLst>
            <a:ext uri="{FF2B5EF4-FFF2-40B4-BE49-F238E27FC236}">
              <a16:creationId xmlns:a16="http://schemas.microsoft.com/office/drawing/2014/main" id="{DCF7CA4D-9F12-535A-902B-60058EF747D7}"/>
            </a:ext>
          </a:extLst>
        </xdr:cNvPr>
        <xdr:cNvSpPr/>
      </xdr:nvSpPr>
      <xdr:spPr>
        <a:xfrm>
          <a:off x="3854450" y="6316662"/>
          <a:ext cx="142875" cy="13969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5</xdr:row>
      <xdr:rowOff>12699</xdr:rowOff>
    </xdr:from>
    <xdr:to>
      <xdr:col>5</xdr:col>
      <xdr:colOff>206375</xdr:colOff>
      <xdr:row>5</xdr:row>
      <xdr:rowOff>165543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33BFA13F-EC77-49F3-BCF3-407D4D1FB2D1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4</xdr:row>
      <xdr:rowOff>12699</xdr:rowOff>
    </xdr:from>
    <xdr:to>
      <xdr:col>5</xdr:col>
      <xdr:colOff>206375</xdr:colOff>
      <xdr:row>4</xdr:row>
      <xdr:rowOff>165543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B60649D1-B5D0-4D3D-84E1-8C6920DB2F22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14</xdr:row>
      <xdr:rowOff>12699</xdr:rowOff>
    </xdr:from>
    <xdr:to>
      <xdr:col>3</xdr:col>
      <xdr:colOff>206375</xdr:colOff>
      <xdr:row>14</xdr:row>
      <xdr:rowOff>165543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043A4317-8625-402C-A1CE-65ECE48FAE31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17</xdr:row>
      <xdr:rowOff>12699</xdr:rowOff>
    </xdr:from>
    <xdr:to>
      <xdr:col>3</xdr:col>
      <xdr:colOff>206375</xdr:colOff>
      <xdr:row>17</xdr:row>
      <xdr:rowOff>165543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4A8D373E-6DE0-4D4B-9FE5-FC07FBA7A325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18</xdr:row>
      <xdr:rowOff>12699</xdr:rowOff>
    </xdr:from>
    <xdr:to>
      <xdr:col>3</xdr:col>
      <xdr:colOff>206375</xdr:colOff>
      <xdr:row>18</xdr:row>
      <xdr:rowOff>165543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C56209F9-6BD5-4911-ADDC-B1ADE0E878D6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14</xdr:row>
      <xdr:rowOff>12699</xdr:rowOff>
    </xdr:from>
    <xdr:to>
      <xdr:col>4</xdr:col>
      <xdr:colOff>206375</xdr:colOff>
      <xdr:row>14</xdr:row>
      <xdr:rowOff>165543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FDCC4126-A782-408E-A62A-BF646F1C74B7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17</xdr:row>
      <xdr:rowOff>12699</xdr:rowOff>
    </xdr:from>
    <xdr:to>
      <xdr:col>4</xdr:col>
      <xdr:colOff>206375</xdr:colOff>
      <xdr:row>17</xdr:row>
      <xdr:rowOff>165543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82500DC5-F797-4457-8038-364233EB41CD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18</xdr:row>
      <xdr:rowOff>12699</xdr:rowOff>
    </xdr:from>
    <xdr:to>
      <xdr:col>4</xdr:col>
      <xdr:colOff>206375</xdr:colOff>
      <xdr:row>18</xdr:row>
      <xdr:rowOff>165543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1E3E131E-0358-4C7D-8B23-F3A06AC4536B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14</xdr:row>
      <xdr:rowOff>12699</xdr:rowOff>
    </xdr:from>
    <xdr:to>
      <xdr:col>5</xdr:col>
      <xdr:colOff>206375</xdr:colOff>
      <xdr:row>14</xdr:row>
      <xdr:rowOff>165543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2A69F096-6D6A-44EA-80C0-43E3CC3E15CC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17</xdr:row>
      <xdr:rowOff>12699</xdr:rowOff>
    </xdr:from>
    <xdr:to>
      <xdr:col>5</xdr:col>
      <xdr:colOff>206375</xdr:colOff>
      <xdr:row>17</xdr:row>
      <xdr:rowOff>165543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088ABF13-DBE5-4B6E-95CC-C3CA245CC9B5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18</xdr:row>
      <xdr:rowOff>12699</xdr:rowOff>
    </xdr:from>
    <xdr:to>
      <xdr:col>5</xdr:col>
      <xdr:colOff>206375</xdr:colOff>
      <xdr:row>18</xdr:row>
      <xdr:rowOff>165543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E64AA46A-8D61-4EC7-80F5-B1E0EBB53BA2}"/>
            </a:ext>
          </a:extLst>
        </xdr:cNvPr>
        <xdr:cNvSpPr/>
      </xdr:nvSpPr>
      <xdr:spPr>
        <a:xfrm>
          <a:off x="3867151" y="63817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8</xdr:row>
      <xdr:rowOff>12699</xdr:rowOff>
    </xdr:from>
    <xdr:to>
      <xdr:col>3</xdr:col>
      <xdr:colOff>206375</xdr:colOff>
      <xdr:row>8</xdr:row>
      <xdr:rowOff>165543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CFD5C920-058D-4F37-B19B-622EC11AE0A4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7</xdr:row>
      <xdr:rowOff>12699</xdr:rowOff>
    </xdr:from>
    <xdr:to>
      <xdr:col>3</xdr:col>
      <xdr:colOff>206375</xdr:colOff>
      <xdr:row>7</xdr:row>
      <xdr:rowOff>165543</xdr:rowOff>
    </xdr:to>
    <xdr:sp macro="" textlink="">
      <xdr:nvSpPr>
        <xdr:cNvPr id="50" name="Arrow: Right 49">
          <a:extLst>
            <a:ext uri="{FF2B5EF4-FFF2-40B4-BE49-F238E27FC236}">
              <a16:creationId xmlns:a16="http://schemas.microsoft.com/office/drawing/2014/main" id="{935F32F9-C89A-4A21-A51B-4A408229A3B7}"/>
            </a:ext>
          </a:extLst>
        </xdr:cNvPr>
        <xdr:cNvSpPr/>
      </xdr:nvSpPr>
      <xdr:spPr>
        <a:xfrm>
          <a:off x="4938569" y="1233631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13</xdr:row>
      <xdr:rowOff>12699</xdr:rowOff>
    </xdr:from>
    <xdr:to>
      <xdr:col>3</xdr:col>
      <xdr:colOff>206375</xdr:colOff>
      <xdr:row>13</xdr:row>
      <xdr:rowOff>165543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31C19AF1-3CAE-4581-81D1-FF95A8651035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16</xdr:row>
      <xdr:rowOff>12699</xdr:rowOff>
    </xdr:from>
    <xdr:to>
      <xdr:col>3</xdr:col>
      <xdr:colOff>206375</xdr:colOff>
      <xdr:row>16</xdr:row>
      <xdr:rowOff>165543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B18E9527-9F53-4FFC-B678-16606BD3FCC6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3</xdr:row>
      <xdr:rowOff>12699</xdr:rowOff>
    </xdr:from>
    <xdr:to>
      <xdr:col>3</xdr:col>
      <xdr:colOff>206375</xdr:colOff>
      <xdr:row>3</xdr:row>
      <xdr:rowOff>165543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389D7C35-3DB8-49E3-AFC6-2460C05F8BA2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8</xdr:row>
      <xdr:rowOff>12699</xdr:rowOff>
    </xdr:from>
    <xdr:to>
      <xdr:col>4</xdr:col>
      <xdr:colOff>206375</xdr:colOff>
      <xdr:row>8</xdr:row>
      <xdr:rowOff>165543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D18B6ACF-3660-48D2-A1BB-B493DB2CC7C3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2</xdr:row>
      <xdr:rowOff>12699</xdr:rowOff>
    </xdr:from>
    <xdr:to>
      <xdr:col>4</xdr:col>
      <xdr:colOff>206375</xdr:colOff>
      <xdr:row>2</xdr:row>
      <xdr:rowOff>165543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979807BB-349B-4022-B28E-148D5C003B3B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7</xdr:row>
      <xdr:rowOff>12699</xdr:rowOff>
    </xdr:from>
    <xdr:to>
      <xdr:col>4</xdr:col>
      <xdr:colOff>206375</xdr:colOff>
      <xdr:row>7</xdr:row>
      <xdr:rowOff>165543</xdr:rowOff>
    </xdr:to>
    <xdr:sp macro="" textlink="">
      <xdr:nvSpPr>
        <xdr:cNvPr id="68" name="Arrow: Right 67">
          <a:extLst>
            <a:ext uri="{FF2B5EF4-FFF2-40B4-BE49-F238E27FC236}">
              <a16:creationId xmlns:a16="http://schemas.microsoft.com/office/drawing/2014/main" id="{A0897A00-E526-43E1-9D78-0D28C517A065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13</xdr:row>
      <xdr:rowOff>12699</xdr:rowOff>
    </xdr:from>
    <xdr:to>
      <xdr:col>4</xdr:col>
      <xdr:colOff>206375</xdr:colOff>
      <xdr:row>13</xdr:row>
      <xdr:rowOff>165543</xdr:rowOff>
    </xdr:to>
    <xdr:sp macro="" textlink="">
      <xdr:nvSpPr>
        <xdr:cNvPr id="70" name="Arrow: Right 69">
          <a:extLst>
            <a:ext uri="{FF2B5EF4-FFF2-40B4-BE49-F238E27FC236}">
              <a16:creationId xmlns:a16="http://schemas.microsoft.com/office/drawing/2014/main" id="{425B7A4E-0299-4FE1-B21A-4AACE7B00ACB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16</xdr:row>
      <xdr:rowOff>12699</xdr:rowOff>
    </xdr:from>
    <xdr:to>
      <xdr:col>4</xdr:col>
      <xdr:colOff>206375</xdr:colOff>
      <xdr:row>16</xdr:row>
      <xdr:rowOff>165543</xdr:rowOff>
    </xdr:to>
    <xdr:sp macro="" textlink="">
      <xdr:nvSpPr>
        <xdr:cNvPr id="71" name="Arrow: Right 70">
          <a:extLst>
            <a:ext uri="{FF2B5EF4-FFF2-40B4-BE49-F238E27FC236}">
              <a16:creationId xmlns:a16="http://schemas.microsoft.com/office/drawing/2014/main" id="{43098578-901F-4848-BCE6-8602A32E639D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3</xdr:row>
      <xdr:rowOff>12699</xdr:rowOff>
    </xdr:from>
    <xdr:to>
      <xdr:col>4</xdr:col>
      <xdr:colOff>206375</xdr:colOff>
      <xdr:row>3</xdr:row>
      <xdr:rowOff>165543</xdr:rowOff>
    </xdr:to>
    <xdr:sp macro="" textlink="">
      <xdr:nvSpPr>
        <xdr:cNvPr id="72" name="Arrow: Right 71">
          <a:extLst>
            <a:ext uri="{FF2B5EF4-FFF2-40B4-BE49-F238E27FC236}">
              <a16:creationId xmlns:a16="http://schemas.microsoft.com/office/drawing/2014/main" id="{37A7C223-ABC6-471F-B605-D50C3C02C1A2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8</xdr:row>
      <xdr:rowOff>12699</xdr:rowOff>
    </xdr:from>
    <xdr:to>
      <xdr:col>5</xdr:col>
      <xdr:colOff>206375</xdr:colOff>
      <xdr:row>8</xdr:row>
      <xdr:rowOff>165543</xdr:rowOff>
    </xdr:to>
    <xdr:sp macro="" textlink="">
      <xdr:nvSpPr>
        <xdr:cNvPr id="75" name="Arrow: Right 74">
          <a:extLst>
            <a:ext uri="{FF2B5EF4-FFF2-40B4-BE49-F238E27FC236}">
              <a16:creationId xmlns:a16="http://schemas.microsoft.com/office/drawing/2014/main" id="{0EC290E5-E0A9-4E55-8719-EA94D2D18A6D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2</xdr:row>
      <xdr:rowOff>12699</xdr:rowOff>
    </xdr:from>
    <xdr:to>
      <xdr:col>5</xdr:col>
      <xdr:colOff>206375</xdr:colOff>
      <xdr:row>2</xdr:row>
      <xdr:rowOff>165543</xdr:rowOff>
    </xdr:to>
    <xdr:sp macro="" textlink="">
      <xdr:nvSpPr>
        <xdr:cNvPr id="77" name="Arrow: Right 76">
          <a:extLst>
            <a:ext uri="{FF2B5EF4-FFF2-40B4-BE49-F238E27FC236}">
              <a16:creationId xmlns:a16="http://schemas.microsoft.com/office/drawing/2014/main" id="{29A0A87B-13BB-4A0A-B4FD-6A7B21F66491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13</xdr:row>
      <xdr:rowOff>12699</xdr:rowOff>
    </xdr:from>
    <xdr:to>
      <xdr:col>5</xdr:col>
      <xdr:colOff>206375</xdr:colOff>
      <xdr:row>13</xdr:row>
      <xdr:rowOff>165543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6B80B856-E850-45CF-964A-0BEFAF128FBD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16</xdr:row>
      <xdr:rowOff>12699</xdr:rowOff>
    </xdr:from>
    <xdr:to>
      <xdr:col>5</xdr:col>
      <xdr:colOff>206375</xdr:colOff>
      <xdr:row>16</xdr:row>
      <xdr:rowOff>165543</xdr:rowOff>
    </xdr:to>
    <xdr:sp macro="" textlink="">
      <xdr:nvSpPr>
        <xdr:cNvPr id="89" name="Arrow: Right 88">
          <a:extLst>
            <a:ext uri="{FF2B5EF4-FFF2-40B4-BE49-F238E27FC236}">
              <a16:creationId xmlns:a16="http://schemas.microsoft.com/office/drawing/2014/main" id="{5EC2AEBB-8C55-41D9-B55F-EC2B23C19306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3</xdr:row>
      <xdr:rowOff>12699</xdr:rowOff>
    </xdr:from>
    <xdr:to>
      <xdr:col>5</xdr:col>
      <xdr:colOff>206375</xdr:colOff>
      <xdr:row>3</xdr:row>
      <xdr:rowOff>165543</xdr:rowOff>
    </xdr:to>
    <xdr:sp macro="" textlink="">
      <xdr:nvSpPr>
        <xdr:cNvPr id="90" name="Arrow: Right 89">
          <a:extLst>
            <a:ext uri="{FF2B5EF4-FFF2-40B4-BE49-F238E27FC236}">
              <a16:creationId xmlns:a16="http://schemas.microsoft.com/office/drawing/2014/main" id="{3BE52EC0-617A-425B-9E28-A2E8B7EDA272}"/>
            </a:ext>
          </a:extLst>
        </xdr:cNvPr>
        <xdr:cNvSpPr/>
      </xdr:nvSpPr>
      <xdr:spPr>
        <a:xfrm>
          <a:off x="3867151" y="5657849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194750</xdr:colOff>
      <xdr:row>2</xdr:row>
      <xdr:rowOff>0</xdr:rowOff>
    </xdr:from>
    <xdr:to>
      <xdr:col>28</xdr:col>
      <xdr:colOff>213654</xdr:colOff>
      <xdr:row>33</xdr:row>
      <xdr:rowOff>173990</xdr:rowOff>
    </xdr:to>
    <xdr:cxnSp macro="">
      <xdr:nvCxnSpPr>
        <xdr:cNvPr id="19" name="Straight Connector 91">
          <a:extLst>
            <a:ext uri="{FF2B5EF4-FFF2-40B4-BE49-F238E27FC236}">
              <a16:creationId xmlns:a16="http://schemas.microsoft.com/office/drawing/2014/main" id="{D093C20E-DC79-7B97-46C5-4E15ACFBFEA6}"/>
            </a:ext>
            <a:ext uri="{147F2762-F138-4A5C-976F-8EAC2B608ADB}">
              <a16:predDERef xmlns:a16="http://schemas.microsoft.com/office/drawing/2014/main" pred="{3BE52EC0-617A-425B-9E28-A2E8B7EDA272}"/>
            </a:ext>
          </a:extLst>
        </xdr:cNvPr>
        <xdr:cNvCxnSpPr>
          <a:cxnSpLocks/>
        </xdr:cNvCxnSpPr>
      </xdr:nvCxnSpPr>
      <xdr:spPr>
        <a:xfrm>
          <a:off x="10605575" y="857250"/>
          <a:ext cx="18904" cy="4112578"/>
        </a:xfrm>
        <a:prstGeom prst="line">
          <a:avLst/>
        </a:prstGeom>
        <a:ln w="381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34924</xdr:colOff>
      <xdr:row>39</xdr:row>
      <xdr:rowOff>17463</xdr:rowOff>
    </xdr:from>
    <xdr:to>
      <xdr:col>3</xdr:col>
      <xdr:colOff>215900</xdr:colOff>
      <xdr:row>39</xdr:row>
      <xdr:rowOff>158750</xdr:rowOff>
    </xdr:to>
    <xdr:sp macro="" textlink="">
      <xdr:nvSpPr>
        <xdr:cNvPr id="116" name="Star: 10 Points 1">
          <a:extLst>
            <a:ext uri="{FF2B5EF4-FFF2-40B4-BE49-F238E27FC236}">
              <a16:creationId xmlns:a16="http://schemas.microsoft.com/office/drawing/2014/main" id="{1B7CFD5E-E8BA-CC4F-E38B-387FAE88564E}"/>
            </a:ext>
          </a:extLst>
        </xdr:cNvPr>
        <xdr:cNvSpPr/>
      </xdr:nvSpPr>
      <xdr:spPr>
        <a:xfrm>
          <a:off x="4911724" y="6975476"/>
          <a:ext cx="180976" cy="141287"/>
        </a:xfrm>
        <a:prstGeom prst="star10">
          <a:avLst/>
        </a:prstGeom>
        <a:solidFill>
          <a:srgbClr val="00B0F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20</xdr:row>
      <xdr:rowOff>12699</xdr:rowOff>
    </xdr:from>
    <xdr:to>
      <xdr:col>3</xdr:col>
      <xdr:colOff>206375</xdr:colOff>
      <xdr:row>20</xdr:row>
      <xdr:rowOff>165543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1CE8C3B-78F6-486A-A33A-CECEA7A2FE7D}"/>
            </a:ext>
          </a:extLst>
        </xdr:cNvPr>
        <xdr:cNvSpPr/>
      </xdr:nvSpPr>
      <xdr:spPr>
        <a:xfrm>
          <a:off x="3867151" y="429577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20</xdr:row>
      <xdr:rowOff>12699</xdr:rowOff>
    </xdr:from>
    <xdr:to>
      <xdr:col>4</xdr:col>
      <xdr:colOff>206375</xdr:colOff>
      <xdr:row>20</xdr:row>
      <xdr:rowOff>165543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2C26E1E3-4699-4A16-AE41-A8DCA1130A87}"/>
            </a:ext>
          </a:extLst>
        </xdr:cNvPr>
        <xdr:cNvSpPr/>
      </xdr:nvSpPr>
      <xdr:spPr>
        <a:xfrm>
          <a:off x="4124326" y="429577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20</xdr:row>
      <xdr:rowOff>12699</xdr:rowOff>
    </xdr:from>
    <xdr:to>
      <xdr:col>5</xdr:col>
      <xdr:colOff>206375</xdr:colOff>
      <xdr:row>20</xdr:row>
      <xdr:rowOff>165543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C00097B9-21E7-42C1-90B4-5C6934D52296}"/>
            </a:ext>
          </a:extLst>
        </xdr:cNvPr>
        <xdr:cNvSpPr/>
      </xdr:nvSpPr>
      <xdr:spPr>
        <a:xfrm>
          <a:off x="4381501" y="429577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10</xdr:row>
      <xdr:rowOff>12699</xdr:rowOff>
    </xdr:from>
    <xdr:to>
      <xdr:col>5</xdr:col>
      <xdr:colOff>206375</xdr:colOff>
      <xdr:row>10</xdr:row>
      <xdr:rowOff>165543</xdr:rowOff>
    </xdr:to>
    <xdr:sp macro="" textlink="">
      <xdr:nvSpPr>
        <xdr:cNvPr id="93" name="Arrow: Right 92">
          <a:extLst>
            <a:ext uri="{FF2B5EF4-FFF2-40B4-BE49-F238E27FC236}">
              <a16:creationId xmlns:a16="http://schemas.microsoft.com/office/drawing/2014/main" id="{5AF1A6C6-DE48-4536-82CD-E2C3121953EB}"/>
            </a:ext>
          </a:extLst>
        </xdr:cNvPr>
        <xdr:cNvSpPr/>
      </xdr:nvSpPr>
      <xdr:spPr>
        <a:xfrm>
          <a:off x="4381501" y="501967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21</xdr:row>
      <xdr:rowOff>12699</xdr:rowOff>
    </xdr:from>
    <xdr:to>
      <xdr:col>4</xdr:col>
      <xdr:colOff>206375</xdr:colOff>
      <xdr:row>21</xdr:row>
      <xdr:rowOff>165543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EA2106F5-AC67-440A-89B9-137BE25A0095}"/>
            </a:ext>
          </a:extLst>
        </xdr:cNvPr>
        <xdr:cNvSpPr/>
      </xdr:nvSpPr>
      <xdr:spPr>
        <a:xfrm>
          <a:off x="4121151" y="4914899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67831</xdr:colOff>
      <xdr:row>36</xdr:row>
      <xdr:rowOff>7936</xdr:rowOff>
    </xdr:from>
    <xdr:to>
      <xdr:col>3</xdr:col>
      <xdr:colOff>210705</xdr:colOff>
      <xdr:row>36</xdr:row>
      <xdr:rowOff>160780</xdr:rowOff>
    </xdr:to>
    <xdr:sp macro="" textlink="">
      <xdr:nvSpPr>
        <xdr:cNvPr id="43" name="Arrow: Right 27">
          <a:extLst>
            <a:ext uri="{FF2B5EF4-FFF2-40B4-BE49-F238E27FC236}">
              <a16:creationId xmlns:a16="http://schemas.microsoft.com/office/drawing/2014/main" id="{65013B35-8873-4619-94C2-293035CE3B54}"/>
            </a:ext>
            <a:ext uri="{147F2762-F138-4A5C-976F-8EAC2B608ADB}">
              <a16:predDERef xmlns:a16="http://schemas.microsoft.com/office/drawing/2014/main" pred="{11196875-F7CE-4FC8-B3B4-EDCD05946C28}"/>
            </a:ext>
          </a:extLst>
        </xdr:cNvPr>
        <xdr:cNvSpPr/>
      </xdr:nvSpPr>
      <xdr:spPr>
        <a:xfrm>
          <a:off x="4942899" y="5900448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21</xdr:row>
      <xdr:rowOff>12699</xdr:rowOff>
    </xdr:from>
    <xdr:to>
      <xdr:col>3</xdr:col>
      <xdr:colOff>206375</xdr:colOff>
      <xdr:row>21</xdr:row>
      <xdr:rowOff>165543</xdr:rowOff>
    </xdr:to>
    <xdr:sp macro="" textlink="">
      <xdr:nvSpPr>
        <xdr:cNvPr id="96" name="Arrow: Right 15">
          <a:extLst>
            <a:ext uri="{FF2B5EF4-FFF2-40B4-BE49-F238E27FC236}">
              <a16:creationId xmlns:a16="http://schemas.microsoft.com/office/drawing/2014/main" id="{DF751581-126D-4241-AD31-AF0F95FF1DF3}"/>
            </a:ext>
            <a:ext uri="{147F2762-F138-4A5C-976F-8EAC2B608ADB}">
              <a16:predDERef xmlns:a16="http://schemas.microsoft.com/office/drawing/2014/main" pred="{D9DF9667-B71A-4AA5-B4DB-63F09C6B693B}"/>
            </a:ext>
          </a:extLst>
        </xdr:cNvPr>
        <xdr:cNvSpPr/>
      </xdr:nvSpPr>
      <xdr:spPr>
        <a:xfrm>
          <a:off x="4845051" y="52990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21</xdr:row>
      <xdr:rowOff>12699</xdr:rowOff>
    </xdr:from>
    <xdr:to>
      <xdr:col>5</xdr:col>
      <xdr:colOff>206375</xdr:colOff>
      <xdr:row>21</xdr:row>
      <xdr:rowOff>165543</xdr:rowOff>
    </xdr:to>
    <xdr:sp macro="" textlink="">
      <xdr:nvSpPr>
        <xdr:cNvPr id="97" name="Arrow: Right 15">
          <a:extLst>
            <a:ext uri="{FF2B5EF4-FFF2-40B4-BE49-F238E27FC236}">
              <a16:creationId xmlns:a16="http://schemas.microsoft.com/office/drawing/2014/main" id="{A5789AF5-CC9B-43FD-BE87-B4A4BF077C3B}"/>
            </a:ext>
            <a:ext uri="{147F2762-F138-4A5C-976F-8EAC2B608ADB}">
              <a16:predDERef xmlns:a16="http://schemas.microsoft.com/office/drawing/2014/main" pred="{DF751581-126D-4241-AD31-AF0F95FF1DF3}"/>
            </a:ext>
          </a:extLst>
        </xdr:cNvPr>
        <xdr:cNvSpPr/>
      </xdr:nvSpPr>
      <xdr:spPr>
        <a:xfrm>
          <a:off x="4845051" y="52990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19</xdr:row>
      <xdr:rowOff>12699</xdr:rowOff>
    </xdr:from>
    <xdr:to>
      <xdr:col>5</xdr:col>
      <xdr:colOff>206375</xdr:colOff>
      <xdr:row>19</xdr:row>
      <xdr:rowOff>165543</xdr:rowOff>
    </xdr:to>
    <xdr:sp macro="" textlink="">
      <xdr:nvSpPr>
        <xdr:cNvPr id="98" name="Arrow: Right 15">
          <a:extLst>
            <a:ext uri="{FF2B5EF4-FFF2-40B4-BE49-F238E27FC236}">
              <a16:creationId xmlns:a16="http://schemas.microsoft.com/office/drawing/2014/main" id="{4985B56D-73B1-429F-902B-2C5AA8D50879}"/>
            </a:ext>
            <a:ext uri="{147F2762-F138-4A5C-976F-8EAC2B608ADB}">
              <a16:predDERef xmlns:a16="http://schemas.microsoft.com/office/drawing/2014/main" pred="{A5789AF5-CC9B-43FD-BE87-B4A4BF077C3B}"/>
            </a:ext>
          </a:extLst>
        </xdr:cNvPr>
        <xdr:cNvSpPr/>
      </xdr:nvSpPr>
      <xdr:spPr>
        <a:xfrm>
          <a:off x="4845051" y="52990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19</xdr:row>
      <xdr:rowOff>12699</xdr:rowOff>
    </xdr:from>
    <xdr:to>
      <xdr:col>4</xdr:col>
      <xdr:colOff>206375</xdr:colOff>
      <xdr:row>19</xdr:row>
      <xdr:rowOff>165543</xdr:rowOff>
    </xdr:to>
    <xdr:sp macro="" textlink="">
      <xdr:nvSpPr>
        <xdr:cNvPr id="99" name="Arrow: Right 15">
          <a:extLst>
            <a:ext uri="{FF2B5EF4-FFF2-40B4-BE49-F238E27FC236}">
              <a16:creationId xmlns:a16="http://schemas.microsoft.com/office/drawing/2014/main" id="{2AE2E87D-7535-40C4-8B8E-56439DCCAE7E}"/>
            </a:ext>
            <a:ext uri="{147F2762-F138-4A5C-976F-8EAC2B608ADB}">
              <a16:predDERef xmlns:a16="http://schemas.microsoft.com/office/drawing/2014/main" pred="{4985B56D-73B1-429F-902B-2C5AA8D50879}"/>
            </a:ext>
          </a:extLst>
        </xdr:cNvPr>
        <xdr:cNvSpPr/>
      </xdr:nvSpPr>
      <xdr:spPr>
        <a:xfrm>
          <a:off x="4845051" y="52990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19</xdr:row>
      <xdr:rowOff>12699</xdr:rowOff>
    </xdr:from>
    <xdr:to>
      <xdr:col>3</xdr:col>
      <xdr:colOff>206375</xdr:colOff>
      <xdr:row>19</xdr:row>
      <xdr:rowOff>165543</xdr:rowOff>
    </xdr:to>
    <xdr:sp macro="" textlink="">
      <xdr:nvSpPr>
        <xdr:cNvPr id="102" name="Arrow: Right 15">
          <a:extLst>
            <a:ext uri="{FF2B5EF4-FFF2-40B4-BE49-F238E27FC236}">
              <a16:creationId xmlns:a16="http://schemas.microsoft.com/office/drawing/2014/main" id="{380EB42D-46AF-46B7-AD78-F24B4A417521}"/>
            </a:ext>
            <a:ext uri="{147F2762-F138-4A5C-976F-8EAC2B608ADB}">
              <a16:predDERef xmlns:a16="http://schemas.microsoft.com/office/drawing/2014/main" pred="{914F61AB-BD3A-4673-A92C-7ABB1BECC8EB}"/>
            </a:ext>
          </a:extLst>
        </xdr:cNvPr>
        <xdr:cNvSpPr/>
      </xdr:nvSpPr>
      <xdr:spPr>
        <a:xfrm>
          <a:off x="4845051" y="52990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10</xdr:row>
      <xdr:rowOff>12699</xdr:rowOff>
    </xdr:from>
    <xdr:to>
      <xdr:col>3</xdr:col>
      <xdr:colOff>206375</xdr:colOff>
      <xdr:row>10</xdr:row>
      <xdr:rowOff>165543</xdr:rowOff>
    </xdr:to>
    <xdr:sp macro="" textlink="">
      <xdr:nvSpPr>
        <xdr:cNvPr id="15" name="Arrow: Right 105">
          <a:extLst>
            <a:ext uri="{FF2B5EF4-FFF2-40B4-BE49-F238E27FC236}">
              <a16:creationId xmlns:a16="http://schemas.microsoft.com/office/drawing/2014/main" id="{55B9C318-F796-4AB1-8D11-12A6A86D4A98}"/>
            </a:ext>
            <a:ext uri="{147F2762-F138-4A5C-976F-8EAC2B608ADB}">
              <a16:predDERef xmlns:a16="http://schemas.microsoft.com/office/drawing/2014/main" pred="{06ED87CA-CDAE-4BD1-B7B8-6E7316A326A9}"/>
            </a:ext>
          </a:extLst>
        </xdr:cNvPr>
        <xdr:cNvSpPr/>
      </xdr:nvSpPr>
      <xdr:spPr>
        <a:xfrm>
          <a:off x="4606926" y="577532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10</xdr:row>
      <xdr:rowOff>12699</xdr:rowOff>
    </xdr:from>
    <xdr:to>
      <xdr:col>3</xdr:col>
      <xdr:colOff>206375</xdr:colOff>
      <xdr:row>10</xdr:row>
      <xdr:rowOff>165543</xdr:rowOff>
    </xdr:to>
    <xdr:sp macro="" textlink="">
      <xdr:nvSpPr>
        <xdr:cNvPr id="21" name="Arrow: Right 27">
          <a:extLst>
            <a:ext uri="{FF2B5EF4-FFF2-40B4-BE49-F238E27FC236}">
              <a16:creationId xmlns:a16="http://schemas.microsoft.com/office/drawing/2014/main" id="{500B140B-0869-4A33-9109-2EF63447148C}"/>
            </a:ext>
            <a:ext uri="{147F2762-F138-4A5C-976F-8EAC2B608ADB}">
              <a16:predDERef xmlns:a16="http://schemas.microsoft.com/office/drawing/2014/main" pred="{55B9C318-F796-4AB1-8D11-12A6A86D4A98}"/>
            </a:ext>
          </a:extLst>
        </xdr:cNvPr>
        <xdr:cNvSpPr/>
      </xdr:nvSpPr>
      <xdr:spPr>
        <a:xfrm>
          <a:off x="4606926" y="577532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11</xdr:row>
      <xdr:rowOff>12699</xdr:rowOff>
    </xdr:from>
    <xdr:to>
      <xdr:col>5</xdr:col>
      <xdr:colOff>206375</xdr:colOff>
      <xdr:row>11</xdr:row>
      <xdr:rowOff>165543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7DCDD09D-E987-4BCB-AA71-8BAF6E3295A0}"/>
            </a:ext>
          </a:extLst>
        </xdr:cNvPr>
        <xdr:cNvSpPr/>
      </xdr:nvSpPr>
      <xdr:spPr>
        <a:xfrm>
          <a:off x="5295901" y="465772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11</xdr:row>
      <xdr:rowOff>12699</xdr:rowOff>
    </xdr:from>
    <xdr:to>
      <xdr:col>4</xdr:col>
      <xdr:colOff>206375</xdr:colOff>
      <xdr:row>11</xdr:row>
      <xdr:rowOff>165543</xdr:rowOff>
    </xdr:to>
    <xdr:sp macro="" textlink="">
      <xdr:nvSpPr>
        <xdr:cNvPr id="91" name="Arrow: Right 105">
          <a:extLst>
            <a:ext uri="{FF2B5EF4-FFF2-40B4-BE49-F238E27FC236}">
              <a16:creationId xmlns:a16="http://schemas.microsoft.com/office/drawing/2014/main" id="{D1D9E8AC-AE3A-4495-9917-A33666D90FE3}"/>
            </a:ext>
            <a:ext uri="{147F2762-F138-4A5C-976F-8EAC2B608ADB}">
              <a16:predDERef xmlns:a16="http://schemas.microsoft.com/office/drawing/2014/main" pred="{500B140B-0869-4A33-9109-2EF63447148C}"/>
            </a:ext>
          </a:extLst>
        </xdr:cNvPr>
        <xdr:cNvSpPr/>
      </xdr:nvSpPr>
      <xdr:spPr>
        <a:xfrm>
          <a:off x="5048251" y="465772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11</xdr:row>
      <xdr:rowOff>12699</xdr:rowOff>
    </xdr:from>
    <xdr:to>
      <xdr:col>4</xdr:col>
      <xdr:colOff>206375</xdr:colOff>
      <xdr:row>11</xdr:row>
      <xdr:rowOff>165543</xdr:rowOff>
    </xdr:to>
    <xdr:sp macro="" textlink="">
      <xdr:nvSpPr>
        <xdr:cNvPr id="94" name="Arrow: Right 27">
          <a:extLst>
            <a:ext uri="{FF2B5EF4-FFF2-40B4-BE49-F238E27FC236}">
              <a16:creationId xmlns:a16="http://schemas.microsoft.com/office/drawing/2014/main" id="{8F384D15-BEA8-479C-9C2C-732EDB177180}"/>
            </a:ext>
            <a:ext uri="{147F2762-F138-4A5C-976F-8EAC2B608ADB}">
              <a16:predDERef xmlns:a16="http://schemas.microsoft.com/office/drawing/2014/main" pred="{CE95684F-FC1A-4677-B8D3-E1688B317B5B}"/>
            </a:ext>
          </a:extLst>
        </xdr:cNvPr>
        <xdr:cNvSpPr/>
      </xdr:nvSpPr>
      <xdr:spPr>
        <a:xfrm>
          <a:off x="5048251" y="4657724"/>
          <a:ext cx="139699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53975</xdr:colOff>
      <xdr:row>25</xdr:row>
      <xdr:rowOff>20637</xdr:rowOff>
    </xdr:from>
    <xdr:to>
      <xdr:col>3</xdr:col>
      <xdr:colOff>196850</xdr:colOff>
      <xdr:row>25</xdr:row>
      <xdr:rowOff>160336</xdr:rowOff>
    </xdr:to>
    <xdr:sp macro="" textlink="">
      <xdr:nvSpPr>
        <xdr:cNvPr id="100" name="Rectangle 3">
          <a:extLst>
            <a:ext uri="{FF2B5EF4-FFF2-40B4-BE49-F238E27FC236}">
              <a16:creationId xmlns:a16="http://schemas.microsoft.com/office/drawing/2014/main" id="{00EEDF90-E840-416D-9D2B-8F442413A274}"/>
            </a:ext>
            <a:ext uri="{147F2762-F138-4A5C-976F-8EAC2B608ADB}">
              <a16:predDERef xmlns:a16="http://schemas.microsoft.com/office/drawing/2014/main" pred="{76E3B177-DC50-45F1-BB66-070B0B702B9F}"/>
            </a:ext>
          </a:extLst>
        </xdr:cNvPr>
        <xdr:cNvSpPr/>
      </xdr:nvSpPr>
      <xdr:spPr>
        <a:xfrm>
          <a:off x="4606925" y="6002337"/>
          <a:ext cx="142875" cy="13969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9</xdr:row>
      <xdr:rowOff>12699</xdr:rowOff>
    </xdr:from>
    <xdr:to>
      <xdr:col>3</xdr:col>
      <xdr:colOff>206375</xdr:colOff>
      <xdr:row>9</xdr:row>
      <xdr:rowOff>165543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772EA64C-8481-4D53-9D41-76DD84CA37B0}"/>
            </a:ext>
          </a:extLst>
        </xdr:cNvPr>
        <xdr:cNvSpPr/>
      </xdr:nvSpPr>
      <xdr:spPr>
        <a:xfrm>
          <a:off x="4940301" y="1227137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9</xdr:row>
      <xdr:rowOff>12699</xdr:rowOff>
    </xdr:from>
    <xdr:to>
      <xdr:col>4</xdr:col>
      <xdr:colOff>206375</xdr:colOff>
      <xdr:row>9</xdr:row>
      <xdr:rowOff>165543</xdr:rowOff>
    </xdr:to>
    <xdr:sp macro="" textlink="">
      <xdr:nvSpPr>
        <xdr:cNvPr id="117" name="Arrow: Right 116">
          <a:extLst>
            <a:ext uri="{FF2B5EF4-FFF2-40B4-BE49-F238E27FC236}">
              <a16:creationId xmlns:a16="http://schemas.microsoft.com/office/drawing/2014/main" id="{F905ADB0-3EFD-4B5C-B9E6-BB9FA2AE97D6}"/>
            </a:ext>
          </a:extLst>
        </xdr:cNvPr>
        <xdr:cNvSpPr/>
      </xdr:nvSpPr>
      <xdr:spPr>
        <a:xfrm>
          <a:off x="5192714" y="1227137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9</xdr:row>
      <xdr:rowOff>12699</xdr:rowOff>
    </xdr:from>
    <xdr:to>
      <xdr:col>5</xdr:col>
      <xdr:colOff>206375</xdr:colOff>
      <xdr:row>9</xdr:row>
      <xdr:rowOff>165543</xdr:rowOff>
    </xdr:to>
    <xdr:sp macro="" textlink="">
      <xdr:nvSpPr>
        <xdr:cNvPr id="118" name="Arrow: Right 117">
          <a:extLst>
            <a:ext uri="{FF2B5EF4-FFF2-40B4-BE49-F238E27FC236}">
              <a16:creationId xmlns:a16="http://schemas.microsoft.com/office/drawing/2014/main" id="{9883C962-2004-41EB-8E51-7139CCBDFEF8}"/>
            </a:ext>
          </a:extLst>
        </xdr:cNvPr>
        <xdr:cNvSpPr/>
      </xdr:nvSpPr>
      <xdr:spPr>
        <a:xfrm>
          <a:off x="5445126" y="1227137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15</xdr:row>
      <xdr:rowOff>12699</xdr:rowOff>
    </xdr:from>
    <xdr:to>
      <xdr:col>3</xdr:col>
      <xdr:colOff>206375</xdr:colOff>
      <xdr:row>15</xdr:row>
      <xdr:rowOff>165543</xdr:rowOff>
    </xdr:to>
    <xdr:sp macro="" textlink="">
      <xdr:nvSpPr>
        <xdr:cNvPr id="121" name="Arrow: Right 120">
          <a:extLst>
            <a:ext uri="{FF2B5EF4-FFF2-40B4-BE49-F238E27FC236}">
              <a16:creationId xmlns:a16="http://schemas.microsoft.com/office/drawing/2014/main" id="{4B09C95A-BE5C-4B4A-A850-22431A2A8724}"/>
            </a:ext>
          </a:extLst>
        </xdr:cNvPr>
        <xdr:cNvSpPr/>
      </xdr:nvSpPr>
      <xdr:spPr>
        <a:xfrm>
          <a:off x="4940301" y="32416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15</xdr:row>
      <xdr:rowOff>12699</xdr:rowOff>
    </xdr:from>
    <xdr:to>
      <xdr:col>4</xdr:col>
      <xdr:colOff>206375</xdr:colOff>
      <xdr:row>15</xdr:row>
      <xdr:rowOff>165543</xdr:rowOff>
    </xdr:to>
    <xdr:sp macro="" textlink="">
      <xdr:nvSpPr>
        <xdr:cNvPr id="122" name="Arrow: Right 121">
          <a:extLst>
            <a:ext uri="{FF2B5EF4-FFF2-40B4-BE49-F238E27FC236}">
              <a16:creationId xmlns:a16="http://schemas.microsoft.com/office/drawing/2014/main" id="{D7A7F6A0-03AB-46F6-9180-A6DDD7397BB2}"/>
            </a:ext>
          </a:extLst>
        </xdr:cNvPr>
        <xdr:cNvSpPr/>
      </xdr:nvSpPr>
      <xdr:spPr>
        <a:xfrm>
          <a:off x="5197476" y="32416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15</xdr:row>
      <xdr:rowOff>12699</xdr:rowOff>
    </xdr:from>
    <xdr:to>
      <xdr:col>5</xdr:col>
      <xdr:colOff>206375</xdr:colOff>
      <xdr:row>15</xdr:row>
      <xdr:rowOff>165543</xdr:rowOff>
    </xdr:to>
    <xdr:sp macro="" textlink="">
      <xdr:nvSpPr>
        <xdr:cNvPr id="123" name="Arrow: Right 122">
          <a:extLst>
            <a:ext uri="{FF2B5EF4-FFF2-40B4-BE49-F238E27FC236}">
              <a16:creationId xmlns:a16="http://schemas.microsoft.com/office/drawing/2014/main" id="{ECB2CC1F-FBB6-48EF-9F44-CB8C8234EA2D}"/>
            </a:ext>
          </a:extLst>
        </xdr:cNvPr>
        <xdr:cNvSpPr/>
      </xdr:nvSpPr>
      <xdr:spPr>
        <a:xfrm>
          <a:off x="5454651" y="324167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7</xdr:row>
      <xdr:rowOff>12699</xdr:rowOff>
    </xdr:from>
    <xdr:to>
      <xdr:col>5</xdr:col>
      <xdr:colOff>206375</xdr:colOff>
      <xdr:row>7</xdr:row>
      <xdr:rowOff>165543</xdr:rowOff>
    </xdr:to>
    <xdr:sp macro="" textlink="">
      <xdr:nvSpPr>
        <xdr:cNvPr id="128" name="Arrow: Right 127">
          <a:extLst>
            <a:ext uri="{FF2B5EF4-FFF2-40B4-BE49-F238E27FC236}">
              <a16:creationId xmlns:a16="http://schemas.microsoft.com/office/drawing/2014/main" id="{E21B87C0-93A7-4485-BD99-A69E7AF00CD7}"/>
            </a:ext>
          </a:extLst>
        </xdr:cNvPr>
        <xdr:cNvSpPr/>
      </xdr:nvSpPr>
      <xdr:spPr>
        <a:xfrm>
          <a:off x="5454651" y="1050924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11</xdr:row>
      <xdr:rowOff>28575</xdr:rowOff>
    </xdr:from>
    <xdr:to>
      <xdr:col>3</xdr:col>
      <xdr:colOff>209549</xdr:colOff>
      <xdr:row>11</xdr:row>
      <xdr:rowOff>181419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8A7102F4-B09A-4557-B9D7-F092E6254E70}"/>
            </a:ext>
            <a:ext uri="{147F2762-F138-4A5C-976F-8EAC2B608ADB}">
              <a16:predDERef xmlns:a16="http://schemas.microsoft.com/office/drawing/2014/main" pred="{E21B87C0-93A7-4485-BD99-A69E7AF00CD7}"/>
            </a:ext>
          </a:extLst>
        </xdr:cNvPr>
        <xdr:cNvSpPr/>
      </xdr:nvSpPr>
      <xdr:spPr>
        <a:xfrm>
          <a:off x="4619625" y="1781175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53975</xdr:colOff>
      <xdr:row>25</xdr:row>
      <xdr:rowOff>20637</xdr:rowOff>
    </xdr:from>
    <xdr:to>
      <xdr:col>4</xdr:col>
      <xdr:colOff>196850</xdr:colOff>
      <xdr:row>25</xdr:row>
      <xdr:rowOff>160336</xdr:rowOff>
    </xdr:to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6EB6CEE7-61EB-4992-9740-10D15993E16F}"/>
            </a:ext>
            <a:ext uri="{147F2762-F138-4A5C-976F-8EAC2B608ADB}">
              <a16:predDERef xmlns:a16="http://schemas.microsoft.com/office/drawing/2014/main" pred="{2AF18495-70F7-49BF-B2D9-C747E74B8012}"/>
            </a:ext>
          </a:extLst>
        </xdr:cNvPr>
        <xdr:cNvSpPr/>
      </xdr:nvSpPr>
      <xdr:spPr>
        <a:xfrm>
          <a:off x="5083175" y="2516187"/>
          <a:ext cx="142875" cy="13969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25</xdr:row>
      <xdr:rowOff>12699</xdr:rowOff>
    </xdr:from>
    <xdr:to>
      <xdr:col>5</xdr:col>
      <xdr:colOff>206375</xdr:colOff>
      <xdr:row>25</xdr:row>
      <xdr:rowOff>165543</xdr:rowOff>
    </xdr:to>
    <xdr:sp macro="" textlink="">
      <xdr:nvSpPr>
        <xdr:cNvPr id="2" name="Arrow: Right 92">
          <a:extLst>
            <a:ext uri="{FF2B5EF4-FFF2-40B4-BE49-F238E27FC236}">
              <a16:creationId xmlns:a16="http://schemas.microsoft.com/office/drawing/2014/main" id="{2434A98E-98E0-4226-AF8A-2345AC75C4E2}"/>
            </a:ext>
            <a:ext uri="{147F2762-F138-4A5C-976F-8EAC2B608ADB}">
              <a16:predDERef xmlns:a16="http://schemas.microsoft.com/office/drawing/2014/main" pred="{DA09EE5B-51BD-47C9-BD44-19483553FAA2}"/>
            </a:ext>
          </a:extLst>
        </xdr:cNvPr>
        <xdr:cNvSpPr/>
      </xdr:nvSpPr>
      <xdr:spPr>
        <a:xfrm>
          <a:off x="5092701" y="2317749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63501</xdr:colOff>
      <xdr:row>2</xdr:row>
      <xdr:rowOff>12699</xdr:rowOff>
    </xdr:from>
    <xdr:to>
      <xdr:col>3</xdr:col>
      <xdr:colOff>206375</xdr:colOff>
      <xdr:row>2</xdr:row>
      <xdr:rowOff>165543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CC7F171-15D3-43EB-90C7-6F1B2EFBA416}"/>
            </a:ext>
          </a:extLst>
        </xdr:cNvPr>
        <xdr:cNvSpPr/>
      </xdr:nvSpPr>
      <xdr:spPr>
        <a:xfrm>
          <a:off x="5449456" y="869949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67831</xdr:colOff>
      <xdr:row>6</xdr:row>
      <xdr:rowOff>7936</xdr:rowOff>
    </xdr:from>
    <xdr:to>
      <xdr:col>3</xdr:col>
      <xdr:colOff>210705</xdr:colOff>
      <xdr:row>6</xdr:row>
      <xdr:rowOff>160780</xdr:rowOff>
    </xdr:to>
    <xdr:sp macro="" textlink="">
      <xdr:nvSpPr>
        <xdr:cNvPr id="27" name="Arrow: Right 27">
          <a:extLst>
            <a:ext uri="{FF2B5EF4-FFF2-40B4-BE49-F238E27FC236}">
              <a16:creationId xmlns:a16="http://schemas.microsoft.com/office/drawing/2014/main" id="{2E6EC374-366F-42C4-8257-EF87560922C6}"/>
            </a:ext>
            <a:ext uri="{147F2762-F138-4A5C-976F-8EAC2B608ADB}">
              <a16:predDERef xmlns:a16="http://schemas.microsoft.com/office/drawing/2014/main" pred="{11196875-F7CE-4FC8-B3B4-EDCD05946C28}"/>
            </a:ext>
          </a:extLst>
        </xdr:cNvPr>
        <xdr:cNvSpPr/>
      </xdr:nvSpPr>
      <xdr:spPr>
        <a:xfrm>
          <a:off x="4942899" y="5350595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67831</xdr:colOff>
      <xdr:row>4</xdr:row>
      <xdr:rowOff>7936</xdr:rowOff>
    </xdr:from>
    <xdr:to>
      <xdr:col>4</xdr:col>
      <xdr:colOff>210705</xdr:colOff>
      <xdr:row>4</xdr:row>
      <xdr:rowOff>160780</xdr:rowOff>
    </xdr:to>
    <xdr:sp macro="" textlink="">
      <xdr:nvSpPr>
        <xdr:cNvPr id="24" name="Arrow: Right 27">
          <a:extLst>
            <a:ext uri="{FF2B5EF4-FFF2-40B4-BE49-F238E27FC236}">
              <a16:creationId xmlns:a16="http://schemas.microsoft.com/office/drawing/2014/main" id="{6726C813-7745-435F-A135-E59033F3CDE3}"/>
            </a:ext>
            <a:ext uri="{147F2762-F138-4A5C-976F-8EAC2B608ADB}">
              <a16:predDERef xmlns:a16="http://schemas.microsoft.com/office/drawing/2014/main" pred="{B7E2D0AE-C8BA-43D5-8A9D-FF145DC29C5B}"/>
            </a:ext>
          </a:extLst>
        </xdr:cNvPr>
        <xdr:cNvSpPr/>
      </xdr:nvSpPr>
      <xdr:spPr>
        <a:xfrm>
          <a:off x="4620781" y="5313361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67831</xdr:colOff>
      <xdr:row>5</xdr:row>
      <xdr:rowOff>7936</xdr:rowOff>
    </xdr:from>
    <xdr:to>
      <xdr:col>4</xdr:col>
      <xdr:colOff>210705</xdr:colOff>
      <xdr:row>5</xdr:row>
      <xdr:rowOff>160780</xdr:rowOff>
    </xdr:to>
    <xdr:sp macro="" textlink="">
      <xdr:nvSpPr>
        <xdr:cNvPr id="31" name="Arrow: Right 27">
          <a:extLst>
            <a:ext uri="{FF2B5EF4-FFF2-40B4-BE49-F238E27FC236}">
              <a16:creationId xmlns:a16="http://schemas.microsoft.com/office/drawing/2014/main" id="{787DE61A-AA8A-438B-A55C-B3CFE62E7B74}"/>
            </a:ext>
            <a:ext uri="{147F2762-F138-4A5C-976F-8EAC2B608ADB}">
              <a16:predDERef xmlns:a16="http://schemas.microsoft.com/office/drawing/2014/main" pred="{6726C813-7745-435F-A135-E59033F3CDE3}"/>
            </a:ext>
          </a:extLst>
        </xdr:cNvPr>
        <xdr:cNvSpPr/>
      </xdr:nvSpPr>
      <xdr:spPr>
        <a:xfrm>
          <a:off x="4620781" y="5313361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67831</xdr:colOff>
      <xdr:row>10</xdr:row>
      <xdr:rowOff>7936</xdr:rowOff>
    </xdr:from>
    <xdr:to>
      <xdr:col>4</xdr:col>
      <xdr:colOff>210705</xdr:colOff>
      <xdr:row>10</xdr:row>
      <xdr:rowOff>160780</xdr:rowOff>
    </xdr:to>
    <xdr:sp macro="" textlink="">
      <xdr:nvSpPr>
        <xdr:cNvPr id="33" name="Arrow: Right 27">
          <a:extLst>
            <a:ext uri="{FF2B5EF4-FFF2-40B4-BE49-F238E27FC236}">
              <a16:creationId xmlns:a16="http://schemas.microsoft.com/office/drawing/2014/main" id="{652558B5-6431-4D7F-8CC5-A184FC1BAB96}"/>
            </a:ext>
            <a:ext uri="{147F2762-F138-4A5C-976F-8EAC2B608ADB}">
              <a16:predDERef xmlns:a16="http://schemas.microsoft.com/office/drawing/2014/main" pred="{787DE61A-AA8A-438B-A55C-B3CFE62E7B74}"/>
            </a:ext>
          </a:extLst>
        </xdr:cNvPr>
        <xdr:cNvSpPr/>
      </xdr:nvSpPr>
      <xdr:spPr>
        <a:xfrm>
          <a:off x="4858906" y="2132011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67831</xdr:colOff>
      <xdr:row>4</xdr:row>
      <xdr:rowOff>7936</xdr:rowOff>
    </xdr:from>
    <xdr:to>
      <xdr:col>3</xdr:col>
      <xdr:colOff>210705</xdr:colOff>
      <xdr:row>4</xdr:row>
      <xdr:rowOff>160780</xdr:rowOff>
    </xdr:to>
    <xdr:sp macro="" textlink="">
      <xdr:nvSpPr>
        <xdr:cNvPr id="6" name="Arrow: Right 27">
          <a:extLst>
            <a:ext uri="{FF2B5EF4-FFF2-40B4-BE49-F238E27FC236}">
              <a16:creationId xmlns:a16="http://schemas.microsoft.com/office/drawing/2014/main" id="{8C01956D-EB06-4069-ABB9-381AAFA5714A}"/>
            </a:ext>
            <a:ext uri="{147F2762-F138-4A5C-976F-8EAC2B608ADB}">
              <a16:predDERef xmlns:a16="http://schemas.microsoft.com/office/drawing/2014/main" pred="{165C32A6-F504-4A5B-9757-A1A605EB2C3E}"/>
            </a:ext>
          </a:extLst>
        </xdr:cNvPr>
        <xdr:cNvSpPr/>
      </xdr:nvSpPr>
      <xdr:spPr>
        <a:xfrm>
          <a:off x="4858906" y="1951036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67831</xdr:colOff>
      <xdr:row>5</xdr:row>
      <xdr:rowOff>7936</xdr:rowOff>
    </xdr:from>
    <xdr:to>
      <xdr:col>3</xdr:col>
      <xdr:colOff>210705</xdr:colOff>
      <xdr:row>5</xdr:row>
      <xdr:rowOff>160780</xdr:rowOff>
    </xdr:to>
    <xdr:sp macro="" textlink="">
      <xdr:nvSpPr>
        <xdr:cNvPr id="8" name="Arrow: Right 27">
          <a:extLst>
            <a:ext uri="{FF2B5EF4-FFF2-40B4-BE49-F238E27FC236}">
              <a16:creationId xmlns:a16="http://schemas.microsoft.com/office/drawing/2014/main" id="{4F626F75-A511-4D9C-8970-D7B2483829D2}"/>
            </a:ext>
            <a:ext uri="{147F2762-F138-4A5C-976F-8EAC2B608ADB}">
              <a16:predDERef xmlns:a16="http://schemas.microsoft.com/office/drawing/2014/main" pred="{8C01956D-EB06-4069-ABB9-381AAFA5714A}"/>
            </a:ext>
          </a:extLst>
        </xdr:cNvPr>
        <xdr:cNvSpPr/>
      </xdr:nvSpPr>
      <xdr:spPr>
        <a:xfrm>
          <a:off x="4858906" y="2132011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53975</xdr:colOff>
      <xdr:row>28</xdr:row>
      <xdr:rowOff>20637</xdr:rowOff>
    </xdr:from>
    <xdr:to>
      <xdr:col>3</xdr:col>
      <xdr:colOff>196850</xdr:colOff>
      <xdr:row>28</xdr:row>
      <xdr:rowOff>160336</xdr:rowOff>
    </xdr:to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D120D3B1-225D-4EE8-A7B5-536D178A9C98}"/>
            </a:ext>
          </a:extLst>
        </xdr:cNvPr>
        <xdr:cNvSpPr/>
      </xdr:nvSpPr>
      <xdr:spPr>
        <a:xfrm>
          <a:off x="4932432" y="5367061"/>
          <a:ext cx="142875" cy="13969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53975</xdr:colOff>
      <xdr:row>28</xdr:row>
      <xdr:rowOff>20637</xdr:rowOff>
    </xdr:from>
    <xdr:to>
      <xdr:col>5</xdr:col>
      <xdr:colOff>196850</xdr:colOff>
      <xdr:row>28</xdr:row>
      <xdr:rowOff>160336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10365D59-8ED4-47B4-8A65-D501B05F729C}"/>
            </a:ext>
          </a:extLst>
        </xdr:cNvPr>
        <xdr:cNvSpPr/>
      </xdr:nvSpPr>
      <xdr:spPr>
        <a:xfrm>
          <a:off x="4932432" y="5367061"/>
          <a:ext cx="142875" cy="13969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67831</xdr:colOff>
      <xdr:row>28</xdr:row>
      <xdr:rowOff>7936</xdr:rowOff>
    </xdr:from>
    <xdr:to>
      <xdr:col>4</xdr:col>
      <xdr:colOff>210705</xdr:colOff>
      <xdr:row>28</xdr:row>
      <xdr:rowOff>160780</xdr:rowOff>
    </xdr:to>
    <xdr:sp macro="" textlink="">
      <xdr:nvSpPr>
        <xdr:cNvPr id="25" name="Arrow: Right 27">
          <a:extLst>
            <a:ext uri="{FF2B5EF4-FFF2-40B4-BE49-F238E27FC236}">
              <a16:creationId xmlns:a16="http://schemas.microsoft.com/office/drawing/2014/main" id="{99403A8F-837D-4DFB-BCF1-833EACF16D77}"/>
            </a:ext>
            <a:ext uri="{147F2762-F138-4A5C-976F-8EAC2B608ADB}">
              <a16:predDERef xmlns:a16="http://schemas.microsoft.com/office/drawing/2014/main" pred="{11196875-F7CE-4FC8-B3B4-EDCD05946C28}"/>
            </a:ext>
          </a:extLst>
        </xdr:cNvPr>
        <xdr:cNvSpPr/>
      </xdr:nvSpPr>
      <xdr:spPr>
        <a:xfrm>
          <a:off x="4946288" y="5172143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57208</xdr:colOff>
      <xdr:row>6</xdr:row>
      <xdr:rowOff>23177</xdr:rowOff>
    </xdr:from>
    <xdr:to>
      <xdr:col>4</xdr:col>
      <xdr:colOff>201353</xdr:colOff>
      <xdr:row>6</xdr:row>
      <xdr:rowOff>159066</xdr:rowOff>
    </xdr:to>
    <xdr:sp macro="" textlink="">
      <xdr:nvSpPr>
        <xdr:cNvPr id="30" name="Rectangle 3">
          <a:extLst>
            <a:ext uri="{FF2B5EF4-FFF2-40B4-BE49-F238E27FC236}">
              <a16:creationId xmlns:a16="http://schemas.microsoft.com/office/drawing/2014/main" id="{4ABCD971-37D3-461F-953E-626ADA03887B}"/>
            </a:ext>
          </a:extLst>
        </xdr:cNvPr>
        <xdr:cNvSpPr/>
      </xdr:nvSpPr>
      <xdr:spPr>
        <a:xfrm>
          <a:off x="4981344" y="1651086"/>
          <a:ext cx="144145" cy="13588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63501</xdr:colOff>
      <xdr:row>12</xdr:row>
      <xdr:rowOff>12699</xdr:rowOff>
    </xdr:from>
    <xdr:to>
      <xdr:col>5</xdr:col>
      <xdr:colOff>206375</xdr:colOff>
      <xdr:row>12</xdr:row>
      <xdr:rowOff>165543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C391C92C-759F-4DD6-8EB9-F961261E55B2}"/>
            </a:ext>
          </a:extLst>
        </xdr:cNvPr>
        <xdr:cNvSpPr/>
      </xdr:nvSpPr>
      <xdr:spPr>
        <a:xfrm>
          <a:off x="5445126" y="2324676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12</xdr:row>
      <xdr:rowOff>12699</xdr:rowOff>
    </xdr:from>
    <xdr:to>
      <xdr:col>4</xdr:col>
      <xdr:colOff>206375</xdr:colOff>
      <xdr:row>12</xdr:row>
      <xdr:rowOff>165543</xdr:rowOff>
    </xdr:to>
    <xdr:sp macro="" textlink="">
      <xdr:nvSpPr>
        <xdr:cNvPr id="38" name="Arrow: Right 105">
          <a:extLst>
            <a:ext uri="{FF2B5EF4-FFF2-40B4-BE49-F238E27FC236}">
              <a16:creationId xmlns:a16="http://schemas.microsoft.com/office/drawing/2014/main" id="{3A8CA8C7-0B11-4D1C-A393-0F16A3E3A118}"/>
            </a:ext>
            <a:ext uri="{147F2762-F138-4A5C-976F-8EAC2B608ADB}">
              <a16:predDERef xmlns:a16="http://schemas.microsoft.com/office/drawing/2014/main" pred="{500B140B-0869-4A33-9109-2EF63447148C}"/>
            </a:ext>
          </a:extLst>
        </xdr:cNvPr>
        <xdr:cNvSpPr/>
      </xdr:nvSpPr>
      <xdr:spPr>
        <a:xfrm>
          <a:off x="5189683" y="2324676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63501</xdr:colOff>
      <xdr:row>12</xdr:row>
      <xdr:rowOff>12699</xdr:rowOff>
    </xdr:from>
    <xdr:to>
      <xdr:col>4</xdr:col>
      <xdr:colOff>206375</xdr:colOff>
      <xdr:row>12</xdr:row>
      <xdr:rowOff>165543</xdr:rowOff>
    </xdr:to>
    <xdr:sp macro="" textlink="">
      <xdr:nvSpPr>
        <xdr:cNvPr id="40" name="Arrow: Right 27">
          <a:extLst>
            <a:ext uri="{FF2B5EF4-FFF2-40B4-BE49-F238E27FC236}">
              <a16:creationId xmlns:a16="http://schemas.microsoft.com/office/drawing/2014/main" id="{FA64352B-10E3-4381-B823-112B4DE40570}"/>
            </a:ext>
            <a:ext uri="{147F2762-F138-4A5C-976F-8EAC2B608ADB}">
              <a16:predDERef xmlns:a16="http://schemas.microsoft.com/office/drawing/2014/main" pred="{CE95684F-FC1A-4677-B8D3-E1688B317B5B}"/>
            </a:ext>
          </a:extLst>
        </xdr:cNvPr>
        <xdr:cNvSpPr/>
      </xdr:nvSpPr>
      <xdr:spPr>
        <a:xfrm>
          <a:off x="5189683" y="2324676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12</xdr:row>
      <xdr:rowOff>28575</xdr:rowOff>
    </xdr:from>
    <xdr:to>
      <xdr:col>3</xdr:col>
      <xdr:colOff>209549</xdr:colOff>
      <xdr:row>12</xdr:row>
      <xdr:rowOff>181419</xdr:rowOff>
    </xdr:to>
    <xdr:sp macro="" textlink="">
      <xdr:nvSpPr>
        <xdr:cNvPr id="41" name="Right Arrow 1">
          <a:extLst>
            <a:ext uri="{FF2B5EF4-FFF2-40B4-BE49-F238E27FC236}">
              <a16:creationId xmlns:a16="http://schemas.microsoft.com/office/drawing/2014/main" id="{24A61BC2-B1E6-4B37-ADCC-D790F1A36FCA}"/>
            </a:ext>
            <a:ext uri="{147F2762-F138-4A5C-976F-8EAC2B608ADB}">
              <a16:predDERef xmlns:a16="http://schemas.microsoft.com/office/drawing/2014/main" pred="{E21B87C0-93A7-4485-BD99-A69E7AF00CD7}"/>
            </a:ext>
          </a:extLst>
        </xdr:cNvPr>
        <xdr:cNvSpPr/>
      </xdr:nvSpPr>
      <xdr:spPr>
        <a:xfrm>
          <a:off x="4937414" y="2340552"/>
          <a:ext cx="142874" cy="152844"/>
        </a:xfrm>
        <a:prstGeom prst="rightArrow">
          <a:avLst/>
        </a:prstGeom>
        <a:solidFill>
          <a:srgbClr val="00B05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57208</xdr:colOff>
      <xdr:row>6</xdr:row>
      <xdr:rowOff>23177</xdr:rowOff>
    </xdr:from>
    <xdr:to>
      <xdr:col>4</xdr:col>
      <xdr:colOff>201353</xdr:colOff>
      <xdr:row>6</xdr:row>
      <xdr:rowOff>159066</xdr:rowOff>
    </xdr:to>
    <xdr:sp macro="" textlink="">
      <xdr:nvSpPr>
        <xdr:cNvPr id="42" name="Rectangle 3">
          <a:extLst>
            <a:ext uri="{FF2B5EF4-FFF2-40B4-BE49-F238E27FC236}">
              <a16:creationId xmlns:a16="http://schemas.microsoft.com/office/drawing/2014/main" id="{7FA160AA-CC98-483A-8E55-F4D63FA9A4E6}"/>
            </a:ext>
          </a:extLst>
        </xdr:cNvPr>
        <xdr:cNvSpPr/>
      </xdr:nvSpPr>
      <xdr:spPr>
        <a:xfrm>
          <a:off x="4981344" y="1651086"/>
          <a:ext cx="144145" cy="13588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57208</xdr:colOff>
      <xdr:row>6</xdr:row>
      <xdr:rowOff>23177</xdr:rowOff>
    </xdr:from>
    <xdr:to>
      <xdr:col>5</xdr:col>
      <xdr:colOff>201353</xdr:colOff>
      <xdr:row>6</xdr:row>
      <xdr:rowOff>159066</xdr:rowOff>
    </xdr:to>
    <xdr:sp macro="" textlink="">
      <xdr:nvSpPr>
        <xdr:cNvPr id="44" name="Rectangle 3">
          <a:extLst>
            <a:ext uri="{FF2B5EF4-FFF2-40B4-BE49-F238E27FC236}">
              <a16:creationId xmlns:a16="http://schemas.microsoft.com/office/drawing/2014/main" id="{51559DFC-2142-4F72-AEBC-7F8F36AE7D0F}"/>
            </a:ext>
          </a:extLst>
        </xdr:cNvPr>
        <xdr:cNvSpPr/>
      </xdr:nvSpPr>
      <xdr:spPr>
        <a:xfrm>
          <a:off x="4983884" y="1653626"/>
          <a:ext cx="140335" cy="13207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57208</xdr:colOff>
      <xdr:row>6</xdr:row>
      <xdr:rowOff>23177</xdr:rowOff>
    </xdr:from>
    <xdr:to>
      <xdr:col>5</xdr:col>
      <xdr:colOff>201353</xdr:colOff>
      <xdr:row>6</xdr:row>
      <xdr:rowOff>159066</xdr:rowOff>
    </xdr:to>
    <xdr:sp macro="" textlink="">
      <xdr:nvSpPr>
        <xdr:cNvPr id="45" name="Rectangle 3">
          <a:extLst>
            <a:ext uri="{FF2B5EF4-FFF2-40B4-BE49-F238E27FC236}">
              <a16:creationId xmlns:a16="http://schemas.microsoft.com/office/drawing/2014/main" id="{E2BE2AD6-8407-45EE-A892-5733A4B25B5B}"/>
            </a:ext>
          </a:extLst>
        </xdr:cNvPr>
        <xdr:cNvSpPr/>
      </xdr:nvSpPr>
      <xdr:spPr>
        <a:xfrm>
          <a:off x="4983884" y="1653626"/>
          <a:ext cx="140335" cy="132079"/>
        </a:xfrm>
        <a:prstGeom prst="rec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34924</xdr:colOff>
      <xdr:row>16</xdr:row>
      <xdr:rowOff>17463</xdr:rowOff>
    </xdr:from>
    <xdr:to>
      <xdr:col>4</xdr:col>
      <xdr:colOff>215900</xdr:colOff>
      <xdr:row>16</xdr:row>
      <xdr:rowOff>158750</xdr:rowOff>
    </xdr:to>
    <xdr:sp macro="" textlink="">
      <xdr:nvSpPr>
        <xdr:cNvPr id="3" name="Star: 10 Points 1">
          <a:extLst>
            <a:ext uri="{FF2B5EF4-FFF2-40B4-BE49-F238E27FC236}">
              <a16:creationId xmlns:a16="http://schemas.microsoft.com/office/drawing/2014/main" id="{31455BED-CF6B-4461-B923-90FAE04608F5}"/>
            </a:ext>
          </a:extLst>
        </xdr:cNvPr>
        <xdr:cNvSpPr/>
      </xdr:nvSpPr>
      <xdr:spPr>
        <a:xfrm>
          <a:off x="4906962" y="5718176"/>
          <a:ext cx="180976" cy="141287"/>
        </a:xfrm>
        <a:prstGeom prst="star10">
          <a:avLst/>
        </a:prstGeom>
        <a:solidFill>
          <a:srgbClr val="00B0F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34924</xdr:colOff>
      <xdr:row>17</xdr:row>
      <xdr:rowOff>17463</xdr:rowOff>
    </xdr:from>
    <xdr:to>
      <xdr:col>4</xdr:col>
      <xdr:colOff>215900</xdr:colOff>
      <xdr:row>17</xdr:row>
      <xdr:rowOff>158750</xdr:rowOff>
    </xdr:to>
    <xdr:sp macro="" textlink="">
      <xdr:nvSpPr>
        <xdr:cNvPr id="36" name="Star: 10 Points 1">
          <a:extLst>
            <a:ext uri="{FF2B5EF4-FFF2-40B4-BE49-F238E27FC236}">
              <a16:creationId xmlns:a16="http://schemas.microsoft.com/office/drawing/2014/main" id="{673A7BED-0C17-4C11-92CB-67EC652A05E6}"/>
            </a:ext>
          </a:extLst>
        </xdr:cNvPr>
        <xdr:cNvSpPr/>
      </xdr:nvSpPr>
      <xdr:spPr>
        <a:xfrm>
          <a:off x="4906962" y="5718176"/>
          <a:ext cx="180976" cy="141287"/>
        </a:xfrm>
        <a:prstGeom prst="star10">
          <a:avLst/>
        </a:prstGeom>
        <a:solidFill>
          <a:srgbClr val="00B0F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224118</xdr:colOff>
      <xdr:row>1</xdr:row>
      <xdr:rowOff>48812</xdr:rowOff>
    </xdr:from>
    <xdr:to>
      <xdr:col>22</xdr:col>
      <xdr:colOff>562977</xdr:colOff>
      <xdr:row>34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34FD7-490D-4ED9-AC32-7D0E6DA2F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0.42498</cdr:x>
      <cdr:y>0.10557</cdr:y>
    </cdr:from>
    <cdr:to>
      <cdr:x>0.42532</cdr:x>
      <cdr:y>0.93684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9408F2F-ECC8-8B85-A66E-0F8B60C08AE3}"/>
            </a:ext>
          </a:extLst>
        </cdr:cNvPr>
        <cdr:cNvCxnSpPr/>
      </cdr:nvCxnSpPr>
      <cdr:spPr>
        <a:xfrm xmlns:a="http://schemas.openxmlformats.org/drawingml/2006/main" flipH="1">
          <a:off x="4716110" y="662535"/>
          <a:ext cx="3773" cy="521687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0.4528</cdr:x>
      <cdr:y>0.42734</cdr:y>
    </cdr:from>
    <cdr:to>
      <cdr:x>0.5472</cdr:x>
      <cdr:y>0.57266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871360-5525-6C21-B855-E5CC5899EF15}"/>
            </a:ext>
          </a:extLst>
        </cdr:cNvPr>
        <cdr:cNvSpPr txBox="1"/>
      </cdr:nvSpPr>
      <cdr:spPr>
        <a:xfrm xmlns:a="http://schemas.openxmlformats.org/drawingml/2006/main">
          <a:off x="4385721" y="268913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0.47563</cdr:x>
      <cdr:y>0.571</cdr:y>
    </cdr:from>
    <cdr:to>
      <cdr:x>0.57004</cdr:x>
      <cdr:y>0.60234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D95CA63-84FB-485E-A2D3-7AA9D7FBC39C}"/>
            </a:ext>
          </a:extLst>
        </cdr:cNvPr>
        <cdr:cNvSpPr txBox="1"/>
      </cdr:nvSpPr>
      <cdr:spPr>
        <a:xfrm xmlns:a="http://schemas.openxmlformats.org/drawingml/2006/main">
          <a:off x="4606896" y="3593098"/>
          <a:ext cx="914400" cy="197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0.36832</cdr:x>
      <cdr:y>0.9313</cdr:y>
    </cdr:from>
    <cdr:to>
      <cdr:x>0.50993</cdr:x>
      <cdr:y>0.99063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D497448-88DE-6236-9C62-8EA1909C8D64}"/>
            </a:ext>
          </a:extLst>
        </cdr:cNvPr>
        <cdr:cNvSpPr txBox="1"/>
      </cdr:nvSpPr>
      <cdr:spPr>
        <a:xfrm xmlns:a="http://schemas.openxmlformats.org/drawingml/2006/main">
          <a:off x="3853946" y="5753963"/>
          <a:ext cx="1481713" cy="366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TODAY:</a:t>
          </a:r>
          <a:r>
            <a:rPr lang="en-US" sz="1100" b="1" baseline="0"/>
            <a:t> </a:t>
          </a:r>
          <a:r>
            <a:rPr lang="en-US" sz="1100" b="1"/>
            <a:t>8/21/2023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224118</xdr:colOff>
      <xdr:row>1</xdr:row>
      <xdr:rowOff>48812</xdr:rowOff>
    </xdr:from>
    <xdr:to>
      <xdr:col>22</xdr:col>
      <xdr:colOff>562977</xdr:colOff>
      <xdr:row>41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1B7380-49C7-4278-9AC3-7CD93529D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0.40217</cdr:x>
      <cdr:y>0.10785</cdr:y>
    </cdr:from>
    <cdr:to>
      <cdr:x>0.40251</cdr:x>
      <cdr:y>0.93912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9408F2F-ECC8-8B85-A66E-0F8B60C08AE3}"/>
            </a:ext>
          </a:extLst>
        </cdr:cNvPr>
        <cdr:cNvCxnSpPr/>
      </cdr:nvCxnSpPr>
      <cdr:spPr>
        <a:xfrm xmlns:a="http://schemas.openxmlformats.org/drawingml/2006/main" flipH="1">
          <a:off x="4450038" y="789615"/>
          <a:ext cx="3762" cy="608607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0.4528</cdr:x>
      <cdr:y>0.42734</cdr:y>
    </cdr:from>
    <cdr:to>
      <cdr:x>0.5472</cdr:x>
      <cdr:y>0.57266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871360-5525-6C21-B855-E5CC5899EF15}"/>
            </a:ext>
          </a:extLst>
        </cdr:cNvPr>
        <cdr:cNvSpPr txBox="1"/>
      </cdr:nvSpPr>
      <cdr:spPr>
        <a:xfrm xmlns:a="http://schemas.openxmlformats.org/drawingml/2006/main">
          <a:off x="4385721" y="268913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0.47563</cdr:x>
      <cdr:y>0.571</cdr:y>
    </cdr:from>
    <cdr:to>
      <cdr:x>0.57004</cdr:x>
      <cdr:y>0.60234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D95CA63-84FB-485E-A2D3-7AA9D7FBC39C}"/>
            </a:ext>
          </a:extLst>
        </cdr:cNvPr>
        <cdr:cNvSpPr txBox="1"/>
      </cdr:nvSpPr>
      <cdr:spPr>
        <a:xfrm xmlns:a="http://schemas.openxmlformats.org/drawingml/2006/main">
          <a:off x="4606896" y="3593098"/>
          <a:ext cx="914400" cy="197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0.36832</cdr:x>
      <cdr:y>0.9313</cdr:y>
    </cdr:from>
    <cdr:to>
      <cdr:x>0.44734</cdr:x>
      <cdr:y>0.99063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D497448-88DE-6236-9C62-8EA1909C8D64}"/>
            </a:ext>
          </a:extLst>
        </cdr:cNvPr>
        <cdr:cNvSpPr txBox="1"/>
      </cdr:nvSpPr>
      <cdr:spPr>
        <a:xfrm xmlns:a="http://schemas.openxmlformats.org/drawingml/2006/main">
          <a:off x="4099438" y="6796375"/>
          <a:ext cx="879502" cy="432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TODAY:</a:t>
          </a:r>
        </a:p>
        <a:p xmlns:a="http://schemas.openxmlformats.org/drawingml/2006/main">
          <a:r>
            <a:rPr lang="en-US" sz="1100" b="1"/>
            <a:t>7/24/23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Barbara Stevens" id="{81BD6081-045B-425C-A75A-BE2A50C6ECC5}" userId="S::bstevens@lakestevenswa.gov::c1b4d74f-22ca-4844-9269-7e74ed862d74" providerId="AD"/>
  <person displayName="Sarah Garceau" id="{C89CAD47-32DC-4633-AA90-A8CF33758AC2}" userId="S::sgarceau@lakestevenswa.gov::2edc4e9f-4612-460a-843b-255db8417ba3" providerId="AD"/>
  <person displayName="Kim Klinkers" id="{4F128CAC-7993-4E0C-8B1F-6B7200F5C0BC}" userId="S::kklinkers@lakestevenswa.gov::491bf83e-2fc1-44c8-80ca-1750ca2035f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3" dT="2023-09-06T15:28:31.07" personId="{4F128CAC-7993-4E0C-8B1F-6B7200F5C0BC}" id="{E304E1F8-5AC0-4E4C-85B0-AC1D6192AEBE}">
    <text>Sidewalk</text>
  </threadedComment>
  <threadedComment ref="AO3" dT="2023-09-06T15:29:00.41" personId="{4F128CAC-7993-4E0C-8B1F-6B7200F5C0BC}" id="{29AF0A12-2BF2-48E9-BCD7-5FB6E9D0E0B9}">
    <text>Stormwater Capital</text>
  </threadedComment>
  <threadedComment ref="AP3" dT="2023-09-06T15:29:00.41" personId="{4F128CAC-7993-4E0C-8B1F-6B7200F5C0BC}" id="{EF1D6670-F5E3-4681-BDA7-41168EC4F4A3}">
    <text>Other Capital</text>
  </threadedComment>
  <threadedComment ref="R15" dT="2024-10-02T21:32:43.29" personId="{81BD6081-045B-425C-A75A-BE2A50C6ECC5}" id="{3B839ACF-FB17-4634-BDF0-981E82DA9B5C}" done="1">
    <text>Kim was this feasibility, design &amp; engineering only?</text>
  </threadedComment>
  <threadedComment ref="R15" dT="2024-10-02T22:13:27.53" personId="{4F128CAC-7993-4E0C-8B1F-6B7200F5C0BC}" id="{B180AEE5-0372-41B6-96B7-A3AEA1D8F376}" parentId="{3B839ACF-FB17-4634-BDF0-981E82DA9B5C}">
    <text xml:space="preserve">It should be design and construction. I guessed at the construction cost for now. It will need to be refined once we are in the design phase. </text>
  </threadedComment>
  <threadedComment ref="R15" dT="2024-10-02T22:23:45.10" personId="{81BD6081-045B-425C-A75A-BE2A50C6ECC5}" id="{7526BC6B-2CFC-4DC3-9989-CAA35C34074A}" parentId="{3B839ACF-FB17-4634-BDF0-981E82DA9B5C}">
    <text>Okay</text>
  </threadedComment>
  <threadedComment ref="P33" dT="2024-10-02T18:36:55.22" personId="{C89CAD47-32DC-4633-AA90-A8CF33758AC2}" id="{F8BBE452-7A90-4597-A8EC-0C61C6E3541A}" done="1">
    <text>Roll Over Unspent from last year and add a new $15k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:w:/r/sites/RMS-CapitalProjects/Capital/131st%20Ave%20NE%20Sewer/1.0_Initiation/23006_Project%20Charter_230502.docx?d=w758466b653364b3fbdf240d0df2d06af&amp;csf=1&amp;web=1&amp;e=RfuIvT" TargetMode="External"/><Relationship Id="rId2" Type="http://schemas.openxmlformats.org/officeDocument/2006/relationships/hyperlink" Target="../../../../:w:/r/sites/RMS-CapitalProjects/Capital/Frontier%20Heights%20Park%20Phase%20II/1.0_Initiation/22016_Project%20Charter_231107.docx?d=wf5bfdee828d94bfc897fc3e735d5d5a0&amp;csf=1&amp;web=1&amp;e=5yA9CJ" TargetMode="External"/><Relationship Id="rId1" Type="http://schemas.openxmlformats.org/officeDocument/2006/relationships/hyperlink" Target="../../../../:w:/r/teams/CityofLakeStevens/Shared%20Documents/General/08-Public%20Works%20-%20Public/Mill%20Spur/20250703_Charter_MillSpurTrafficCalming.docx?d=w2c58a3d455fb42a5966cd1ea0e6c3e51&amp;csf=1&amp;web=1&amp;e=c9U3l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:w:/r/sites/RMS-CapitalProjects/Capital/131st%20Ave%20NE%20Sewer/1.0_Initiation/23006_Project%20Charter_230502.docx?d=w758466b653364b3fbdf240d0df2d06af&amp;csf=1&amp;web=1&amp;e=RfuIv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1608-B01E-4CCB-AE2C-2739DCB7906C}">
  <sheetPr>
    <tabColor rgb="FF7030A0"/>
    <pageSetUpPr fitToPage="1"/>
  </sheetPr>
  <dimension ref="A1:AE77"/>
  <sheetViews>
    <sheetView tabSelected="1" zoomScale="70" zoomScaleNormal="70" zoomScaleSheetLayoutView="85" workbookViewId="0">
      <pane xSplit="4" ySplit="4" topLeftCell="E19" activePane="bottomRight" state="frozen"/>
      <selection pane="topRight" activeCell="D1" sqref="D1"/>
      <selection pane="bottomLeft" activeCell="A5" sqref="A5"/>
      <selection pane="bottomRight" activeCell="P41" sqref="P41"/>
    </sheetView>
  </sheetViews>
  <sheetFormatPr defaultColWidth="9" defaultRowHeight="14.35" x14ac:dyDescent="0.5"/>
  <cols>
    <col min="1" max="1" width="5.703125" style="213" customWidth="1"/>
    <col min="2" max="2" width="9.87890625" style="165" hidden="1" customWidth="1"/>
    <col min="3" max="3" width="0.703125" style="165" hidden="1" customWidth="1"/>
    <col min="4" max="4" width="59" style="182" bestFit="1" customWidth="1"/>
    <col min="5" max="5" width="53.703125" style="182" customWidth="1"/>
    <col min="6" max="6" width="9.87890625" style="182" customWidth="1"/>
    <col min="7" max="8" width="10" style="182" customWidth="1"/>
    <col min="9" max="9" width="7.5859375" style="182" hidden="1" customWidth="1"/>
    <col min="10" max="22" width="7.5859375" style="182" customWidth="1"/>
    <col min="23" max="23" width="8.1171875" style="182" hidden="1" customWidth="1"/>
    <col min="24" max="26" width="7.5859375" style="182" hidden="1" customWidth="1"/>
    <col min="27" max="27" width="7.5859375" style="182" customWidth="1"/>
    <col min="28" max="28" width="22.703125" style="168" customWidth="1"/>
    <col min="29" max="30" width="9" style="174"/>
    <col min="31" max="31" width="11.41015625" style="174" customWidth="1"/>
    <col min="32" max="16384" width="9" style="174"/>
  </cols>
  <sheetData>
    <row r="1" spans="1:31" s="158" customFormat="1" ht="25.7" x14ac:dyDescent="0.5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  <c r="AA1" s="399"/>
      <c r="AB1" s="399"/>
    </row>
    <row r="2" spans="1:31" s="158" customFormat="1" ht="21" thickBot="1" x14ac:dyDescent="0.55000000000000004">
      <c r="A2" s="400" t="s">
        <v>1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1"/>
      <c r="X2" s="401"/>
      <c r="Y2" s="401"/>
      <c r="Z2" s="401"/>
      <c r="AA2" s="400"/>
      <c r="AB2" s="400"/>
    </row>
    <row r="3" spans="1:31" s="161" customFormat="1" ht="20.25" customHeight="1" thickTop="1" thickBot="1" x14ac:dyDescent="0.55000000000000004">
      <c r="A3" s="402" t="s">
        <v>2</v>
      </c>
      <c r="B3" s="402" t="s">
        <v>3</v>
      </c>
      <c r="C3" s="402" t="s">
        <v>4</v>
      </c>
      <c r="D3" s="404" t="s">
        <v>5</v>
      </c>
      <c r="E3" s="404" t="s">
        <v>6</v>
      </c>
      <c r="F3" s="408" t="s">
        <v>7</v>
      </c>
      <c r="G3" s="408" t="s">
        <v>8</v>
      </c>
      <c r="H3" s="408" t="s">
        <v>9</v>
      </c>
      <c r="I3" s="393">
        <v>2024</v>
      </c>
      <c r="J3" s="410">
        <v>2025</v>
      </c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393">
        <v>2026</v>
      </c>
      <c r="W3" s="412" t="s">
        <v>10</v>
      </c>
      <c r="X3" s="413"/>
      <c r="Y3" s="413"/>
      <c r="Z3" s="414"/>
      <c r="AA3" s="406" t="s">
        <v>11</v>
      </c>
      <c r="AB3" s="408" t="s">
        <v>12</v>
      </c>
    </row>
    <row r="4" spans="1:31" s="164" customFormat="1" ht="29.35" thickTop="1" thickBot="1" x14ac:dyDescent="0.55000000000000004">
      <c r="A4" s="403"/>
      <c r="B4" s="403"/>
      <c r="C4" s="403"/>
      <c r="D4" s="405"/>
      <c r="E4" s="405"/>
      <c r="F4" s="411"/>
      <c r="G4" s="411"/>
      <c r="H4" s="411"/>
      <c r="I4" s="249" t="s">
        <v>13</v>
      </c>
      <c r="J4" s="213" t="s">
        <v>14</v>
      </c>
      <c r="K4" s="213" t="s">
        <v>15</v>
      </c>
      <c r="L4" s="213" t="s">
        <v>16</v>
      </c>
      <c r="M4" s="213" t="s">
        <v>17</v>
      </c>
      <c r="N4" s="213" t="s">
        <v>18</v>
      </c>
      <c r="O4" s="213" t="s">
        <v>19</v>
      </c>
      <c r="P4" s="213" t="s">
        <v>20</v>
      </c>
      <c r="Q4" s="213" t="s">
        <v>21</v>
      </c>
      <c r="R4" s="213" t="s">
        <v>22</v>
      </c>
      <c r="S4" s="213" t="s">
        <v>23</v>
      </c>
      <c r="T4" s="213" t="s">
        <v>24</v>
      </c>
      <c r="U4" s="213" t="s">
        <v>13</v>
      </c>
      <c r="V4" s="364" t="s">
        <v>14</v>
      </c>
      <c r="W4" s="381" t="s">
        <v>25</v>
      </c>
      <c r="X4" s="379" t="s">
        <v>26</v>
      </c>
      <c r="Y4" s="379" t="s">
        <v>27</v>
      </c>
      <c r="Z4" s="380" t="s">
        <v>28</v>
      </c>
      <c r="AA4" s="407"/>
      <c r="AB4" s="409"/>
    </row>
    <row r="5" spans="1:31" ht="20.100000000000001" customHeight="1" thickTop="1" x14ac:dyDescent="0.5">
      <c r="A5" s="397" t="s">
        <v>29</v>
      </c>
      <c r="B5" s="398"/>
      <c r="C5" s="398"/>
      <c r="D5" s="398"/>
      <c r="E5" s="253"/>
      <c r="F5" s="251"/>
      <c r="G5" s="250"/>
      <c r="H5" s="252"/>
      <c r="I5" s="254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365"/>
      <c r="W5" s="246"/>
      <c r="X5" s="246"/>
      <c r="Y5" s="246"/>
      <c r="Z5" s="246"/>
      <c r="AA5" s="373"/>
      <c r="AB5" s="247"/>
    </row>
    <row r="6" spans="1:31" s="266" customFormat="1" ht="20.100000000000001" hidden="1" customHeight="1" x14ac:dyDescent="0.5">
      <c r="A6" s="256" t="s">
        <v>30</v>
      </c>
      <c r="B6" s="257" t="s">
        <v>31</v>
      </c>
      <c r="C6" s="317">
        <v>23010</v>
      </c>
      <c r="D6" s="258" t="s">
        <v>32</v>
      </c>
      <c r="E6" s="325" t="s">
        <v>33</v>
      </c>
      <c r="F6" s="260"/>
      <c r="G6" s="261"/>
      <c r="H6" s="262"/>
      <c r="I6" s="269" t="s">
        <v>34</v>
      </c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366"/>
      <c r="W6" s="320" t="s">
        <v>35</v>
      </c>
      <c r="X6" s="320"/>
      <c r="Y6" s="320"/>
      <c r="Z6" s="320"/>
      <c r="AA6" s="374" t="s">
        <v>35</v>
      </c>
      <c r="AB6" s="265">
        <v>1690000</v>
      </c>
    </row>
    <row r="7" spans="1:31" s="266" customFormat="1" ht="20.100000000000001" hidden="1" customHeight="1" x14ac:dyDescent="0.5">
      <c r="A7" s="267" t="s">
        <v>36</v>
      </c>
      <c r="B7" s="257" t="s">
        <v>37</v>
      </c>
      <c r="C7" s="257">
        <v>20002</v>
      </c>
      <c r="D7" s="258" t="s">
        <v>38</v>
      </c>
      <c r="E7" s="325" t="s">
        <v>39</v>
      </c>
      <c r="F7" s="260"/>
      <c r="G7" s="261"/>
      <c r="H7" s="262"/>
      <c r="I7" s="268" t="s">
        <v>40</v>
      </c>
      <c r="J7" s="269" t="s">
        <v>34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366"/>
      <c r="W7" s="320" t="s">
        <v>35</v>
      </c>
      <c r="X7" s="320"/>
      <c r="Y7" s="320"/>
      <c r="Z7" s="320"/>
      <c r="AA7" s="374" t="s">
        <v>35</v>
      </c>
      <c r="AB7" s="265">
        <v>1050000</v>
      </c>
    </row>
    <row r="8" spans="1:31" s="266" customFormat="1" ht="20.100000000000001" customHeight="1" x14ac:dyDescent="0.5">
      <c r="A8" s="267" t="s">
        <v>36</v>
      </c>
      <c r="B8" s="257" t="s">
        <v>41</v>
      </c>
      <c r="C8" s="257">
        <v>240010</v>
      </c>
      <c r="D8" s="258" t="s">
        <v>42</v>
      </c>
      <c r="E8" s="325" t="s">
        <v>43</v>
      </c>
      <c r="F8" s="260"/>
      <c r="G8" s="261"/>
      <c r="H8" s="262"/>
      <c r="I8" s="270" t="s">
        <v>44</v>
      </c>
      <c r="J8" s="270" t="s">
        <v>44</v>
      </c>
      <c r="K8" s="270" t="s">
        <v>44</v>
      </c>
      <c r="L8" s="271" t="s">
        <v>45</v>
      </c>
      <c r="M8" s="270" t="s">
        <v>44</v>
      </c>
      <c r="N8" s="270" t="s">
        <v>44</v>
      </c>
      <c r="O8" s="270" t="s">
        <v>44</v>
      </c>
      <c r="P8" s="270" t="s">
        <v>44</v>
      </c>
      <c r="Q8" s="270" t="s">
        <v>44</v>
      </c>
      <c r="R8" s="272" t="s">
        <v>46</v>
      </c>
      <c r="S8" s="273" t="s">
        <v>40</v>
      </c>
      <c r="T8" s="269" t="s">
        <v>34</v>
      </c>
      <c r="U8" s="263"/>
      <c r="V8" s="366"/>
      <c r="W8" s="320"/>
      <c r="X8" s="385" t="s">
        <v>47</v>
      </c>
      <c r="Y8" s="320"/>
      <c r="AA8" s="375" t="s">
        <v>48</v>
      </c>
      <c r="AB8" s="274">
        <v>800000</v>
      </c>
    </row>
    <row r="9" spans="1:31" s="266" customFormat="1" ht="20.100000000000001" customHeight="1" x14ac:dyDescent="0.5">
      <c r="A9" s="267" t="s">
        <v>36</v>
      </c>
      <c r="B9" s="257" t="s">
        <v>49</v>
      </c>
      <c r="C9" s="257">
        <v>23016</v>
      </c>
      <c r="D9" s="258" t="s">
        <v>50</v>
      </c>
      <c r="E9" s="325" t="s">
        <v>51</v>
      </c>
      <c r="F9" s="261"/>
      <c r="G9" s="262"/>
      <c r="H9" s="262"/>
      <c r="I9" s="270" t="s">
        <v>44</v>
      </c>
      <c r="J9" s="270" t="s">
        <v>44</v>
      </c>
      <c r="K9" s="270" t="s">
        <v>44</v>
      </c>
      <c r="L9" s="270" t="s">
        <v>44</v>
      </c>
      <c r="M9" s="270" t="s">
        <v>44</v>
      </c>
      <c r="N9" s="270" t="s">
        <v>44</v>
      </c>
      <c r="O9" s="270" t="s">
        <v>44</v>
      </c>
      <c r="P9" s="272" t="s">
        <v>46</v>
      </c>
      <c r="Q9" s="272" t="s">
        <v>46</v>
      </c>
      <c r="R9" s="272" t="s">
        <v>46</v>
      </c>
      <c r="S9" s="272" t="s">
        <v>46</v>
      </c>
      <c r="T9" s="273" t="s">
        <v>40</v>
      </c>
      <c r="U9" s="273" t="s">
        <v>40</v>
      </c>
      <c r="V9" s="269" t="s">
        <v>34</v>
      </c>
      <c r="W9" s="320"/>
      <c r="X9" s="385" t="s">
        <v>52</v>
      </c>
      <c r="Y9" s="320"/>
      <c r="Z9" s="320"/>
      <c r="AA9" s="374" t="s">
        <v>35</v>
      </c>
      <c r="AB9" s="274">
        <v>2400000</v>
      </c>
    </row>
    <row r="10" spans="1:31" s="266" customFormat="1" ht="20.100000000000001" customHeight="1" x14ac:dyDescent="0.5">
      <c r="A10" s="256" t="s">
        <v>30</v>
      </c>
      <c r="B10" s="257" t="s">
        <v>53</v>
      </c>
      <c r="C10" s="257">
        <v>18012</v>
      </c>
      <c r="D10" s="275" t="s">
        <v>54</v>
      </c>
      <c r="E10" s="326" t="s">
        <v>55</v>
      </c>
      <c r="F10" s="260"/>
      <c r="G10" s="329" t="s">
        <v>56</v>
      </c>
      <c r="H10" s="277"/>
      <c r="I10" s="278" t="s">
        <v>57</v>
      </c>
      <c r="J10" s="273" t="s">
        <v>58</v>
      </c>
      <c r="K10" s="273" t="s">
        <v>58</v>
      </c>
      <c r="L10" s="273" t="s">
        <v>40</v>
      </c>
      <c r="M10" s="273" t="s">
        <v>40</v>
      </c>
      <c r="N10" s="273" t="s">
        <v>40</v>
      </c>
      <c r="O10" s="273" t="s">
        <v>40</v>
      </c>
      <c r="P10" s="273" t="s">
        <v>40</v>
      </c>
      <c r="Q10" s="273" t="s">
        <v>40</v>
      </c>
      <c r="R10" s="383" t="s">
        <v>58</v>
      </c>
      <c r="S10" s="383" t="s">
        <v>58</v>
      </c>
      <c r="T10" s="273" t="s">
        <v>40</v>
      </c>
      <c r="U10" s="269" t="s">
        <v>34</v>
      </c>
      <c r="V10" s="366"/>
      <c r="W10" s="320"/>
      <c r="X10" s="320"/>
      <c r="Y10" s="320"/>
      <c r="Z10" s="384" t="s">
        <v>59</v>
      </c>
      <c r="AA10" s="374" t="s">
        <v>35</v>
      </c>
      <c r="AB10" s="274">
        <v>4040000</v>
      </c>
    </row>
    <row r="11" spans="1:31" s="266" customFormat="1" ht="20.100000000000001" customHeight="1" x14ac:dyDescent="0.5">
      <c r="A11" s="256" t="s">
        <v>30</v>
      </c>
      <c r="B11" s="257" t="s">
        <v>60</v>
      </c>
      <c r="C11" s="257">
        <v>23006</v>
      </c>
      <c r="D11" s="258" t="s">
        <v>61</v>
      </c>
      <c r="E11" s="325" t="s">
        <v>62</v>
      </c>
      <c r="F11" s="260"/>
      <c r="G11" s="329" t="s">
        <v>56</v>
      </c>
      <c r="H11" s="262"/>
      <c r="I11" s="270" t="s">
        <v>44</v>
      </c>
      <c r="J11" s="271" t="s">
        <v>45</v>
      </c>
      <c r="K11" s="270" t="s">
        <v>44</v>
      </c>
      <c r="L11" s="270" t="s">
        <v>44</v>
      </c>
      <c r="M11" s="270" t="s">
        <v>44</v>
      </c>
      <c r="N11" s="270" t="s">
        <v>44</v>
      </c>
      <c r="O11" s="271" t="s">
        <v>45</v>
      </c>
      <c r="P11" s="271" t="s">
        <v>45</v>
      </c>
      <c r="Q11" s="271" t="s">
        <v>45</v>
      </c>
      <c r="R11" s="272" t="s">
        <v>46</v>
      </c>
      <c r="S11" s="273" t="s">
        <v>40</v>
      </c>
      <c r="T11" s="273" t="s">
        <v>40</v>
      </c>
      <c r="U11" s="273" t="s">
        <v>40</v>
      </c>
      <c r="V11" s="273" t="s">
        <v>40</v>
      </c>
      <c r="W11" s="320"/>
      <c r="X11" s="385" t="s">
        <v>47</v>
      </c>
      <c r="Y11" s="320"/>
      <c r="Z11" s="320"/>
      <c r="AA11" s="374" t="s">
        <v>35</v>
      </c>
      <c r="AB11" s="274">
        <v>2800000</v>
      </c>
    </row>
    <row r="12" spans="1:31" s="266" customFormat="1" ht="20.100000000000001" hidden="1" customHeight="1" thickBot="1" x14ac:dyDescent="0.55000000000000004">
      <c r="A12" s="279" t="s">
        <v>63</v>
      </c>
      <c r="B12" s="257" t="s">
        <v>64</v>
      </c>
      <c r="C12" s="257"/>
      <c r="D12" s="258" t="s">
        <v>65</v>
      </c>
      <c r="E12" s="280"/>
      <c r="F12" s="260"/>
      <c r="G12" s="261"/>
      <c r="H12" s="262"/>
      <c r="I12" s="270" t="s">
        <v>44</v>
      </c>
      <c r="J12" s="270" t="s">
        <v>44</v>
      </c>
      <c r="K12" s="270" t="s">
        <v>44</v>
      </c>
      <c r="L12" s="270" t="s">
        <v>44</v>
      </c>
      <c r="M12" s="270" t="s">
        <v>44</v>
      </c>
      <c r="N12" s="270" t="s">
        <v>44</v>
      </c>
      <c r="O12" s="270" t="s">
        <v>44</v>
      </c>
      <c r="P12" s="272" t="s">
        <v>46</v>
      </c>
      <c r="Q12" s="263"/>
      <c r="R12" s="263"/>
      <c r="S12" s="263"/>
      <c r="T12" s="263"/>
      <c r="U12" s="263"/>
      <c r="V12" s="366"/>
      <c r="W12" s="321"/>
      <c r="X12" s="321"/>
      <c r="Y12" s="321"/>
      <c r="Z12" s="321"/>
      <c r="AA12" s="375" t="s">
        <v>48</v>
      </c>
      <c r="AB12" s="274">
        <v>3300000</v>
      </c>
      <c r="AE12" s="281"/>
    </row>
    <row r="13" spans="1:31" s="266" customFormat="1" ht="20.100000000000001" customHeight="1" x14ac:dyDescent="0.5">
      <c r="A13" s="279" t="s">
        <v>63</v>
      </c>
      <c r="B13" s="257" t="s">
        <v>66</v>
      </c>
      <c r="C13" s="257"/>
      <c r="D13" s="258"/>
      <c r="E13" s="293"/>
      <c r="F13" s="294"/>
      <c r="G13" s="295"/>
      <c r="H13" s="296"/>
      <c r="I13" s="306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367"/>
      <c r="W13" s="297"/>
      <c r="X13" s="297"/>
      <c r="Y13" s="297"/>
      <c r="Z13" s="297"/>
      <c r="AA13" s="386" t="s">
        <v>67</v>
      </c>
      <c r="AB13" s="274">
        <v>30000</v>
      </c>
    </row>
    <row r="14" spans="1:31" s="266" customFormat="1" ht="20.100000000000001" customHeight="1" thickBot="1" x14ac:dyDescent="0.55000000000000004">
      <c r="A14" s="279" t="s">
        <v>63</v>
      </c>
      <c r="B14" s="257" t="s">
        <v>66</v>
      </c>
      <c r="C14" s="257"/>
      <c r="D14" s="258"/>
      <c r="E14" s="293"/>
      <c r="F14" s="294"/>
      <c r="G14" s="295"/>
      <c r="H14" s="296"/>
      <c r="I14" s="306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367"/>
      <c r="W14" s="297"/>
      <c r="X14" s="297"/>
      <c r="Y14" s="297"/>
      <c r="Z14" s="297"/>
      <c r="AA14" s="386" t="s">
        <v>67</v>
      </c>
      <c r="AB14" s="274">
        <v>30000</v>
      </c>
    </row>
    <row r="15" spans="1:31" s="266" customFormat="1" ht="20.100000000000001" customHeight="1" thickTop="1" x14ac:dyDescent="0.5">
      <c r="A15" s="397"/>
      <c r="B15" s="398"/>
      <c r="C15" s="398"/>
      <c r="D15" s="398"/>
      <c r="E15" s="282"/>
      <c r="F15" s="283"/>
      <c r="G15" s="284"/>
      <c r="H15" s="285"/>
      <c r="I15" s="286"/>
      <c r="J15" s="287"/>
      <c r="K15" s="287"/>
      <c r="L15" s="287"/>
      <c r="M15" s="287"/>
      <c r="N15" s="287"/>
      <c r="O15" s="287"/>
      <c r="P15" s="287"/>
      <c r="Q15" s="287"/>
      <c r="R15" s="287"/>
      <c r="W15" s="287"/>
      <c r="X15" s="287"/>
      <c r="Y15" s="287"/>
      <c r="Z15" s="287"/>
      <c r="AA15" s="286"/>
      <c r="AB15" s="288"/>
    </row>
    <row r="16" spans="1:31" s="266" customFormat="1" ht="20.100000000000001" customHeight="1" x14ac:dyDescent="0.5">
      <c r="A16" s="256" t="s">
        <v>30</v>
      </c>
      <c r="B16" s="257" t="s">
        <v>68</v>
      </c>
      <c r="C16" s="257"/>
      <c r="D16" s="258" t="s">
        <v>69</v>
      </c>
      <c r="E16" s="259" t="s">
        <v>70</v>
      </c>
      <c r="F16" s="261"/>
      <c r="G16" s="261"/>
      <c r="H16" s="262"/>
      <c r="I16" s="352"/>
      <c r="J16" s="352"/>
      <c r="K16" s="328" t="s">
        <v>71</v>
      </c>
      <c r="L16" s="270" t="s">
        <v>44</v>
      </c>
      <c r="M16" s="270" t="s">
        <v>44</v>
      </c>
      <c r="N16" s="270" t="s">
        <v>44</v>
      </c>
      <c r="O16" s="272" t="s">
        <v>57</v>
      </c>
      <c r="P16" s="273" t="s">
        <v>40</v>
      </c>
      <c r="Q16" s="273" t="s">
        <v>40</v>
      </c>
      <c r="R16" s="269" t="s">
        <v>34</v>
      </c>
      <c r="T16" s="297"/>
      <c r="U16" s="297"/>
      <c r="V16" s="367"/>
      <c r="W16" s="297"/>
      <c r="X16" s="297"/>
      <c r="Y16" s="297"/>
      <c r="Z16" s="297"/>
      <c r="AA16" s="301"/>
      <c r="AB16" s="274">
        <v>900000</v>
      </c>
    </row>
    <row r="17" spans="1:28" s="266" customFormat="1" ht="20.100000000000001" customHeight="1" x14ac:dyDescent="0.5">
      <c r="A17" s="291" t="s">
        <v>72</v>
      </c>
      <c r="B17" s="257"/>
      <c r="C17" s="257"/>
      <c r="D17" s="292" t="s">
        <v>73</v>
      </c>
      <c r="E17" s="293" t="s">
        <v>74</v>
      </c>
      <c r="F17" s="324" t="s">
        <v>75</v>
      </c>
      <c r="G17" s="324" t="s">
        <v>75</v>
      </c>
      <c r="H17" s="324" t="s">
        <v>75</v>
      </c>
      <c r="I17" s="294"/>
      <c r="J17" s="295"/>
      <c r="K17" s="328" t="s">
        <v>71</v>
      </c>
      <c r="L17" s="270" t="s">
        <v>44</v>
      </c>
      <c r="M17" s="270" t="s">
        <v>44</v>
      </c>
      <c r="N17" s="270" t="s">
        <v>44</v>
      </c>
      <c r="O17" s="270" t="s">
        <v>44</v>
      </c>
      <c r="P17" s="270" t="s">
        <v>44</v>
      </c>
      <c r="Q17" s="269" t="s">
        <v>34</v>
      </c>
      <c r="R17" s="297"/>
      <c r="S17" s="297"/>
      <c r="T17" s="297"/>
      <c r="U17" s="297"/>
      <c r="V17" s="297"/>
      <c r="W17" s="333"/>
      <c r="X17" s="333"/>
      <c r="Y17" s="333"/>
      <c r="Z17" s="333"/>
      <c r="AA17" s="306"/>
      <c r="AB17" s="265">
        <v>500000</v>
      </c>
    </row>
    <row r="18" spans="1:28" s="266" customFormat="1" ht="20.100000000000001" customHeight="1" x14ac:dyDescent="0.5">
      <c r="A18" s="256" t="s">
        <v>30</v>
      </c>
      <c r="B18" s="257" t="s">
        <v>76</v>
      </c>
      <c r="C18" s="257"/>
      <c r="D18" s="258" t="s">
        <v>77</v>
      </c>
      <c r="E18" s="293" t="s">
        <v>78</v>
      </c>
      <c r="F18" s="261"/>
      <c r="G18" s="261"/>
      <c r="H18" s="261"/>
      <c r="I18" s="270" t="s">
        <v>44</v>
      </c>
      <c r="J18" s="270" t="s">
        <v>44</v>
      </c>
      <c r="K18" s="270" t="s">
        <v>44</v>
      </c>
      <c r="L18" s="270" t="s">
        <v>44</v>
      </c>
      <c r="M18" s="270" t="s">
        <v>44</v>
      </c>
      <c r="N18" s="270" t="s">
        <v>44</v>
      </c>
      <c r="O18" s="270" t="s">
        <v>44</v>
      </c>
      <c r="P18" s="270" t="s">
        <v>44</v>
      </c>
      <c r="Q18" s="270" t="s">
        <v>44</v>
      </c>
      <c r="R18" s="270" t="s">
        <v>44</v>
      </c>
      <c r="S18" s="270" t="s">
        <v>44</v>
      </c>
      <c r="T18" s="270" t="s">
        <v>44</v>
      </c>
      <c r="U18" s="270" t="s">
        <v>44</v>
      </c>
      <c r="V18" s="297"/>
      <c r="W18" s="333"/>
      <c r="X18" s="333"/>
      <c r="Y18" s="333"/>
      <c r="Z18" s="333"/>
      <c r="AA18" s="301"/>
      <c r="AB18" s="265">
        <v>1808000</v>
      </c>
    </row>
    <row r="19" spans="1:28" s="266" customFormat="1" ht="20.100000000000001" customHeight="1" x14ac:dyDescent="0.5">
      <c r="A19" s="256" t="s">
        <v>30</v>
      </c>
      <c r="B19" s="257" t="s">
        <v>79</v>
      </c>
      <c r="C19" s="257"/>
      <c r="D19" s="258" t="s">
        <v>80</v>
      </c>
      <c r="E19" s="259" t="s">
        <v>81</v>
      </c>
      <c r="F19" s="289"/>
      <c r="G19" s="264"/>
      <c r="H19" s="290"/>
      <c r="I19" s="328" t="s">
        <v>71</v>
      </c>
      <c r="J19" s="328" t="s">
        <v>71</v>
      </c>
      <c r="K19" s="328" t="s">
        <v>71</v>
      </c>
      <c r="L19" s="328" t="s">
        <v>71</v>
      </c>
      <c r="M19" s="328" t="s">
        <v>71</v>
      </c>
      <c r="N19" s="328" t="s">
        <v>71</v>
      </c>
      <c r="O19" s="328" t="s">
        <v>71</v>
      </c>
      <c r="P19" s="328" t="s">
        <v>71</v>
      </c>
      <c r="Q19" s="270" t="s">
        <v>44</v>
      </c>
      <c r="R19" s="270" t="s">
        <v>44</v>
      </c>
      <c r="S19" s="270" t="s">
        <v>44</v>
      </c>
      <c r="T19" s="270" t="s">
        <v>44</v>
      </c>
      <c r="U19" s="270" t="s">
        <v>44</v>
      </c>
      <c r="V19" s="297"/>
      <c r="W19" s="263"/>
      <c r="X19" s="263"/>
      <c r="Y19" s="263"/>
      <c r="Z19" s="263"/>
      <c r="AA19" s="301"/>
      <c r="AB19" s="265">
        <v>3700000</v>
      </c>
    </row>
    <row r="20" spans="1:28" s="266" customFormat="1" ht="20.100000000000001" customHeight="1" x14ac:dyDescent="0.5">
      <c r="A20" s="256" t="s">
        <v>30</v>
      </c>
      <c r="B20" s="257"/>
      <c r="C20" s="257"/>
      <c r="D20" s="258" t="s">
        <v>82</v>
      </c>
      <c r="E20" s="259" t="s">
        <v>83</v>
      </c>
      <c r="F20" s="289"/>
      <c r="G20" s="264"/>
      <c r="H20" s="290"/>
      <c r="I20" s="328"/>
      <c r="J20" s="182"/>
      <c r="K20" s="182"/>
      <c r="L20" s="182"/>
      <c r="M20" s="182"/>
      <c r="N20" s="328" t="s">
        <v>71</v>
      </c>
      <c r="O20" s="328" t="s">
        <v>71</v>
      </c>
      <c r="P20" s="270" t="s">
        <v>44</v>
      </c>
      <c r="Q20" s="270" t="s">
        <v>44</v>
      </c>
      <c r="R20" s="270" t="s">
        <v>44</v>
      </c>
      <c r="S20" s="270" t="s">
        <v>44</v>
      </c>
      <c r="T20" s="270" t="s">
        <v>44</v>
      </c>
      <c r="U20" s="270" t="s">
        <v>44</v>
      </c>
      <c r="V20" s="297"/>
      <c r="W20" s="333"/>
      <c r="X20" s="333"/>
      <c r="Y20" s="333"/>
      <c r="Z20" s="333"/>
      <c r="AA20" s="301"/>
      <c r="AB20" s="265">
        <v>3100000</v>
      </c>
    </row>
    <row r="21" spans="1:28" s="266" customFormat="1" ht="20.100000000000001" hidden="1" customHeight="1" x14ac:dyDescent="0.5">
      <c r="A21" s="256" t="s">
        <v>30</v>
      </c>
      <c r="B21" s="257" t="s">
        <v>79</v>
      </c>
      <c r="C21" s="257"/>
      <c r="D21" s="258" t="s">
        <v>84</v>
      </c>
      <c r="E21" s="259" t="s">
        <v>85</v>
      </c>
      <c r="F21" s="289"/>
      <c r="G21" s="264"/>
      <c r="H21" s="290"/>
      <c r="I21" s="182"/>
      <c r="J21" s="182"/>
      <c r="K21" s="270" t="s">
        <v>44</v>
      </c>
      <c r="L21" s="270" t="s">
        <v>44</v>
      </c>
      <c r="M21" s="270" t="s">
        <v>44</v>
      </c>
      <c r="N21" s="270" t="s">
        <v>44</v>
      </c>
      <c r="O21" s="272" t="s">
        <v>57</v>
      </c>
      <c r="P21" s="273" t="s">
        <v>40</v>
      </c>
      <c r="Q21" s="273" t="s">
        <v>40</v>
      </c>
      <c r="R21" s="269" t="s">
        <v>34</v>
      </c>
      <c r="S21" s="306"/>
      <c r="T21" s="306"/>
      <c r="U21" s="306"/>
      <c r="V21" s="368"/>
      <c r="W21" s="263"/>
      <c r="X21" s="263"/>
      <c r="Y21" s="263"/>
      <c r="Z21" s="263"/>
      <c r="AA21" s="301"/>
      <c r="AB21" s="265"/>
    </row>
    <row r="22" spans="1:28" s="266" customFormat="1" ht="20.100000000000001" customHeight="1" x14ac:dyDescent="0.5">
      <c r="A22" s="291" t="s">
        <v>72</v>
      </c>
      <c r="B22" s="257" t="s">
        <v>86</v>
      </c>
      <c r="C22" s="257"/>
      <c r="D22" s="292" t="s">
        <v>87</v>
      </c>
      <c r="E22" s="293" t="s">
        <v>88</v>
      </c>
      <c r="F22" s="294"/>
      <c r="G22" s="295"/>
      <c r="H22" s="296"/>
      <c r="I22" s="328" t="s">
        <v>71</v>
      </c>
      <c r="J22" s="328" t="s">
        <v>71</v>
      </c>
      <c r="K22" s="328" t="s">
        <v>71</v>
      </c>
      <c r="L22" s="328" t="s">
        <v>71</v>
      </c>
      <c r="M22" s="328" t="s">
        <v>71</v>
      </c>
      <c r="N22" s="270" t="s">
        <v>44</v>
      </c>
      <c r="O22" s="270" t="s">
        <v>44</v>
      </c>
      <c r="P22" s="270" t="s">
        <v>44</v>
      </c>
      <c r="Q22" s="270" t="s">
        <v>44</v>
      </c>
      <c r="R22" s="270" t="s">
        <v>44</v>
      </c>
      <c r="S22" s="270" t="s">
        <v>44</v>
      </c>
      <c r="T22" s="270" t="s">
        <v>44</v>
      </c>
      <c r="U22" s="270" t="s">
        <v>44</v>
      </c>
      <c r="V22" s="297"/>
      <c r="W22" s="333"/>
      <c r="X22" s="333"/>
      <c r="Y22" s="333"/>
      <c r="Z22" s="333"/>
      <c r="AA22" s="306"/>
      <c r="AB22" s="265">
        <v>6661000</v>
      </c>
    </row>
    <row r="23" spans="1:28" s="266" customFormat="1" ht="20.100000000000001" customHeight="1" thickBot="1" x14ac:dyDescent="0.55000000000000004">
      <c r="A23" s="256" t="s">
        <v>30</v>
      </c>
      <c r="B23" s="257" t="s">
        <v>89</v>
      </c>
      <c r="C23" s="257"/>
      <c r="D23" s="275" t="s">
        <v>90</v>
      </c>
      <c r="E23" s="354" t="s">
        <v>91</v>
      </c>
      <c r="F23" s="261"/>
      <c r="G23" s="261"/>
      <c r="H23" s="262"/>
      <c r="I23" s="270" t="s">
        <v>44</v>
      </c>
      <c r="J23" s="270" t="s">
        <v>44</v>
      </c>
      <c r="K23" s="270" t="s">
        <v>44</v>
      </c>
      <c r="L23" s="270" t="s">
        <v>44</v>
      </c>
      <c r="M23" s="270" t="s">
        <v>44</v>
      </c>
      <c r="N23" s="270" t="s">
        <v>44</v>
      </c>
      <c r="O23" s="270" t="s">
        <v>44</v>
      </c>
      <c r="P23" s="270" t="s">
        <v>44</v>
      </c>
      <c r="Q23" s="270" t="s">
        <v>44</v>
      </c>
      <c r="R23" s="270" t="s">
        <v>44</v>
      </c>
      <c r="S23" s="270" t="s">
        <v>44</v>
      </c>
      <c r="T23" s="270" t="s">
        <v>44</v>
      </c>
      <c r="U23" s="270" t="s">
        <v>44</v>
      </c>
      <c r="V23" s="297"/>
      <c r="W23" s="263"/>
      <c r="X23" s="263"/>
      <c r="Y23" s="263"/>
      <c r="Z23" s="263"/>
      <c r="AA23" s="374" t="s">
        <v>35</v>
      </c>
      <c r="AB23" s="274">
        <v>2700000</v>
      </c>
    </row>
    <row r="24" spans="1:28" s="266" customFormat="1" ht="20.100000000000001" customHeight="1" thickTop="1" x14ac:dyDescent="0.5">
      <c r="A24" s="397" t="s">
        <v>92</v>
      </c>
      <c r="B24" s="398"/>
      <c r="C24" s="398"/>
      <c r="D24" s="398"/>
      <c r="E24" s="299"/>
      <c r="F24" s="283"/>
      <c r="G24" s="284"/>
      <c r="H24" s="285"/>
      <c r="I24" s="286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369"/>
      <c r="W24" s="287"/>
      <c r="X24" s="287"/>
      <c r="Y24" s="287"/>
      <c r="Z24" s="287"/>
      <c r="AA24" s="286"/>
      <c r="AB24" s="300"/>
    </row>
    <row r="25" spans="1:28" s="266" customFormat="1" ht="20.100000000000001" hidden="1" customHeight="1" x14ac:dyDescent="0.5">
      <c r="A25" s="256" t="s">
        <v>30</v>
      </c>
      <c r="B25" s="257"/>
      <c r="C25" s="257"/>
      <c r="D25" s="258" t="s">
        <v>93</v>
      </c>
      <c r="E25" s="259" t="s">
        <v>94</v>
      </c>
      <c r="F25" s="260"/>
      <c r="G25" s="261"/>
      <c r="H25" s="262"/>
      <c r="I25" s="332" t="s">
        <v>71</v>
      </c>
      <c r="J25" s="270" t="s">
        <v>44</v>
      </c>
      <c r="K25" s="270" t="s">
        <v>44</v>
      </c>
      <c r="L25" s="270" t="s">
        <v>44</v>
      </c>
      <c r="M25" s="270" t="s">
        <v>44</v>
      </c>
      <c r="N25" s="270" t="s">
        <v>44</v>
      </c>
      <c r="O25" s="272" t="s">
        <v>57</v>
      </c>
      <c r="P25" s="273" t="s">
        <v>40</v>
      </c>
      <c r="Q25" s="273" t="s">
        <v>40</v>
      </c>
      <c r="R25" s="269" t="s">
        <v>34</v>
      </c>
      <c r="S25" s="263"/>
      <c r="T25" s="263"/>
      <c r="U25" s="263"/>
      <c r="V25" s="366"/>
      <c r="W25" s="322"/>
      <c r="X25" s="322"/>
      <c r="Y25" s="322"/>
      <c r="Z25" s="322"/>
      <c r="AA25" s="376" t="s">
        <v>28</v>
      </c>
      <c r="AB25" s="274">
        <v>100000</v>
      </c>
    </row>
    <row r="26" spans="1:28" s="266" customFormat="1" ht="20.100000000000001" hidden="1" customHeight="1" x14ac:dyDescent="0.5">
      <c r="A26" s="256" t="s">
        <v>30</v>
      </c>
      <c r="B26" s="257" t="s">
        <v>95</v>
      </c>
      <c r="C26" s="257"/>
      <c r="D26" s="258" t="s">
        <v>96</v>
      </c>
      <c r="E26" s="325" t="s">
        <v>97</v>
      </c>
      <c r="F26" s="260"/>
      <c r="G26" s="261"/>
      <c r="H26" s="262"/>
      <c r="I26" s="332" t="s">
        <v>71</v>
      </c>
      <c r="J26" s="332" t="s">
        <v>71</v>
      </c>
      <c r="K26" s="332" t="s">
        <v>71</v>
      </c>
      <c r="L26" s="270" t="s">
        <v>44</v>
      </c>
      <c r="M26" s="270" t="s">
        <v>44</v>
      </c>
      <c r="N26" s="270" t="s">
        <v>44</v>
      </c>
      <c r="O26" s="270" t="s">
        <v>44</v>
      </c>
      <c r="P26" s="270" t="s">
        <v>44</v>
      </c>
      <c r="Q26" s="263"/>
      <c r="R26" s="263"/>
      <c r="S26" s="263"/>
      <c r="T26" s="263"/>
      <c r="U26" s="263"/>
      <c r="V26" s="366"/>
      <c r="W26" s="333"/>
      <c r="X26" s="333"/>
      <c r="Y26" s="333"/>
      <c r="Z26" s="333"/>
      <c r="AA26" s="376" t="s">
        <v>28</v>
      </c>
      <c r="AB26" s="274">
        <v>650000</v>
      </c>
    </row>
    <row r="27" spans="1:28" s="266" customFormat="1" ht="20.100000000000001" customHeight="1" x14ac:dyDescent="0.5">
      <c r="A27" s="256" t="s">
        <v>30</v>
      </c>
      <c r="B27" s="257"/>
      <c r="C27" s="257"/>
      <c r="D27" s="258" t="s">
        <v>98</v>
      </c>
      <c r="E27" s="305" t="s">
        <v>99</v>
      </c>
      <c r="F27" s="260"/>
      <c r="G27" s="261"/>
      <c r="H27" s="262"/>
      <c r="I27" s="332" t="s">
        <v>71</v>
      </c>
      <c r="J27" s="270" t="s">
        <v>44</v>
      </c>
      <c r="K27" s="270" t="s">
        <v>44</v>
      </c>
      <c r="L27" s="270" t="s">
        <v>44</v>
      </c>
      <c r="M27" s="270" t="s">
        <v>44</v>
      </c>
      <c r="N27" s="270" t="s">
        <v>44</v>
      </c>
      <c r="O27" s="270" t="s">
        <v>44</v>
      </c>
      <c r="P27" s="270" t="s">
        <v>44</v>
      </c>
      <c r="Q27" s="270" t="s">
        <v>44</v>
      </c>
      <c r="R27" s="270" t="s">
        <v>44</v>
      </c>
      <c r="S27" s="270" t="s">
        <v>44</v>
      </c>
      <c r="T27" s="270" t="s">
        <v>44</v>
      </c>
      <c r="U27" s="270" t="s">
        <v>44</v>
      </c>
      <c r="V27" s="366"/>
      <c r="W27" s="320"/>
      <c r="X27" s="320"/>
      <c r="Y27" s="320"/>
      <c r="Z27" s="320"/>
      <c r="AA27" s="376" t="s">
        <v>28</v>
      </c>
      <c r="AB27" s="274">
        <v>100000</v>
      </c>
    </row>
    <row r="28" spans="1:28" s="266" customFormat="1" ht="20.100000000000001" customHeight="1" thickBot="1" x14ac:dyDescent="0.55000000000000004">
      <c r="A28" s="256" t="s">
        <v>30</v>
      </c>
      <c r="B28" s="303"/>
      <c r="C28" s="303"/>
      <c r="D28" s="304" t="s">
        <v>100</v>
      </c>
      <c r="E28" s="355" t="s">
        <v>101</v>
      </c>
      <c r="F28" s="350"/>
      <c r="G28" s="350"/>
      <c r="H28" s="351"/>
      <c r="I28" s="297"/>
      <c r="J28" s="297"/>
      <c r="K28" s="297"/>
      <c r="L28" s="263"/>
      <c r="M28" s="263"/>
      <c r="N28" s="263"/>
      <c r="O28" s="270" t="s">
        <v>44</v>
      </c>
      <c r="P28" s="270" t="s">
        <v>44</v>
      </c>
      <c r="Q28" s="270" t="s">
        <v>44</v>
      </c>
      <c r="R28" s="263"/>
      <c r="S28" s="263"/>
      <c r="T28" s="263"/>
      <c r="U28" s="263"/>
      <c r="V28" s="366"/>
      <c r="W28" s="322"/>
      <c r="X28" s="382" t="s">
        <v>102</v>
      </c>
      <c r="Y28" s="322"/>
      <c r="Z28" s="322"/>
      <c r="AA28" s="376"/>
      <c r="AB28" s="302"/>
    </row>
    <row r="29" spans="1:28" s="266" customFormat="1" ht="20.100000000000001" customHeight="1" thickTop="1" x14ac:dyDescent="0.5">
      <c r="A29" s="397" t="s">
        <v>103</v>
      </c>
      <c r="B29" s="398"/>
      <c r="C29" s="398"/>
      <c r="D29" s="398"/>
      <c r="E29" s="299"/>
      <c r="F29" s="283"/>
      <c r="G29" s="284"/>
      <c r="H29" s="285"/>
      <c r="I29" s="286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369"/>
      <c r="W29" s="287"/>
      <c r="X29" s="287"/>
      <c r="Y29" s="287"/>
      <c r="Z29" s="287"/>
      <c r="AA29" s="286"/>
      <c r="AB29" s="300"/>
    </row>
    <row r="30" spans="1:28" s="266" customFormat="1" ht="20.100000000000001" customHeight="1" x14ac:dyDescent="0.5">
      <c r="A30" s="291" t="s">
        <v>72</v>
      </c>
      <c r="B30" s="257" t="s">
        <v>104</v>
      </c>
      <c r="C30" s="257"/>
      <c r="D30" s="292" t="s">
        <v>105</v>
      </c>
      <c r="E30" s="293" t="s">
        <v>106</v>
      </c>
      <c r="F30" s="294"/>
      <c r="G30" s="295"/>
      <c r="H30" s="296"/>
      <c r="I30" s="327" t="s">
        <v>107</v>
      </c>
      <c r="J30" s="353" t="s">
        <v>108</v>
      </c>
      <c r="K30" s="353" t="s">
        <v>108</v>
      </c>
      <c r="L30" s="353" t="s">
        <v>108</v>
      </c>
      <c r="M30" s="353" t="s">
        <v>108</v>
      </c>
      <c r="N30" s="353" t="s">
        <v>108</v>
      </c>
      <c r="O30" s="270" t="s">
        <v>44</v>
      </c>
      <c r="P30" s="270" t="s">
        <v>44</v>
      </c>
      <c r="Q30" s="270" t="s">
        <v>44</v>
      </c>
      <c r="R30" s="270" t="s">
        <v>44</v>
      </c>
      <c r="S30" s="270" t="s">
        <v>44</v>
      </c>
      <c r="T30" s="270" t="s">
        <v>44</v>
      </c>
      <c r="U30" s="270" t="s">
        <v>44</v>
      </c>
      <c r="V30" s="370"/>
      <c r="W30" s="297"/>
      <c r="X30" s="297"/>
      <c r="Y30" s="297"/>
      <c r="Z30" s="297"/>
      <c r="AA30" s="306"/>
      <c r="AB30" s="265">
        <v>10600000</v>
      </c>
    </row>
    <row r="31" spans="1:28" s="266" customFormat="1" ht="20.100000000000001" customHeight="1" thickBot="1" x14ac:dyDescent="0.55000000000000004">
      <c r="A31" s="291" t="s">
        <v>72</v>
      </c>
      <c r="B31" s="257" t="s">
        <v>109</v>
      </c>
      <c r="C31" s="257"/>
      <c r="D31" s="292" t="s">
        <v>110</v>
      </c>
      <c r="E31" s="305" t="s">
        <v>111</v>
      </c>
      <c r="F31" s="294"/>
      <c r="G31" s="295"/>
      <c r="H31" s="296"/>
      <c r="I31" s="327" t="s">
        <v>107</v>
      </c>
      <c r="J31" s="353" t="s">
        <v>108</v>
      </c>
      <c r="K31" s="353" t="s">
        <v>108</v>
      </c>
      <c r="L31" s="353" t="s">
        <v>108</v>
      </c>
      <c r="M31" s="353" t="s">
        <v>108</v>
      </c>
      <c r="N31" s="353" t="s">
        <v>108</v>
      </c>
      <c r="O31" s="270" t="s">
        <v>44</v>
      </c>
      <c r="P31" s="270" t="s">
        <v>44</v>
      </c>
      <c r="Q31" s="270" t="s">
        <v>44</v>
      </c>
      <c r="R31" s="270" t="s">
        <v>44</v>
      </c>
      <c r="S31" s="270" t="s">
        <v>44</v>
      </c>
      <c r="T31" s="270" t="s">
        <v>44</v>
      </c>
      <c r="U31" s="270" t="s">
        <v>44</v>
      </c>
      <c r="V31" s="370"/>
      <c r="W31" s="297"/>
      <c r="X31" s="297"/>
      <c r="Y31" s="297"/>
      <c r="Z31" s="297"/>
      <c r="AA31" s="306"/>
      <c r="AB31" s="265">
        <v>3400000</v>
      </c>
    </row>
    <row r="32" spans="1:28" s="266" customFormat="1" ht="20.100000000000001" customHeight="1" thickTop="1" x14ac:dyDescent="0.5">
      <c r="A32" s="397" t="s">
        <v>112</v>
      </c>
      <c r="B32" s="398"/>
      <c r="C32" s="398"/>
      <c r="D32" s="398"/>
      <c r="E32" s="299"/>
      <c r="F32" s="283"/>
      <c r="G32" s="284"/>
      <c r="H32" s="285"/>
      <c r="I32" s="286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369"/>
      <c r="W32" s="287"/>
      <c r="X32" s="287"/>
      <c r="Y32" s="287"/>
      <c r="Z32" s="287"/>
      <c r="AA32" s="286"/>
      <c r="AB32" s="300"/>
    </row>
    <row r="33" spans="1:28" s="266" customFormat="1" ht="20.100000000000001" customHeight="1" x14ac:dyDescent="0.5">
      <c r="A33" s="279" t="s">
        <v>63</v>
      </c>
      <c r="B33" s="257" t="s">
        <v>66</v>
      </c>
      <c r="C33" s="257"/>
      <c r="D33" s="292" t="s">
        <v>113</v>
      </c>
      <c r="E33" s="293" t="s">
        <v>114</v>
      </c>
      <c r="F33" s="294"/>
      <c r="G33" s="295"/>
      <c r="H33" s="296"/>
      <c r="I33" s="306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367"/>
      <c r="W33" s="297"/>
      <c r="X33" s="297"/>
      <c r="Y33" s="297"/>
      <c r="Z33" s="297"/>
      <c r="AA33" s="306"/>
      <c r="AB33" s="274">
        <v>30000</v>
      </c>
    </row>
    <row r="34" spans="1:28" s="266" customFormat="1" ht="20.100000000000001" customHeight="1" thickBot="1" x14ac:dyDescent="0.55000000000000004">
      <c r="A34" s="256" t="s">
        <v>30</v>
      </c>
      <c r="B34" s="257" t="s">
        <v>95</v>
      </c>
      <c r="C34" s="257"/>
      <c r="D34" s="258" t="s">
        <v>115</v>
      </c>
      <c r="E34" s="325" t="s">
        <v>116</v>
      </c>
      <c r="F34" s="289"/>
      <c r="G34" s="264"/>
      <c r="H34" s="290"/>
      <c r="I34" s="349"/>
      <c r="J34" s="349"/>
      <c r="K34" s="349"/>
      <c r="L34" s="306"/>
      <c r="M34" s="306"/>
      <c r="N34" s="306"/>
      <c r="O34" s="306"/>
      <c r="P34" s="306"/>
      <c r="Q34" s="263"/>
      <c r="R34" s="263"/>
      <c r="S34" s="263"/>
      <c r="T34" s="263"/>
      <c r="U34" s="263"/>
      <c r="V34" s="366"/>
      <c r="W34" s="320"/>
      <c r="X34" s="320"/>
      <c r="Y34" s="320"/>
      <c r="Z34" s="320"/>
      <c r="AA34" s="376"/>
      <c r="AB34" s="274"/>
    </row>
    <row r="35" spans="1:28" s="266" customFormat="1" ht="20.100000000000001" customHeight="1" thickTop="1" x14ac:dyDescent="0.5">
      <c r="A35" s="397" t="s">
        <v>117</v>
      </c>
      <c r="B35" s="398"/>
      <c r="C35" s="398"/>
      <c r="D35" s="398"/>
      <c r="E35" s="299"/>
      <c r="F35" s="283"/>
      <c r="G35" s="284"/>
      <c r="H35" s="285"/>
      <c r="I35" s="286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369"/>
      <c r="W35" s="287"/>
      <c r="X35" s="287"/>
      <c r="Y35" s="287"/>
      <c r="Z35" s="287"/>
      <c r="AA35" s="286"/>
      <c r="AB35" s="300"/>
    </row>
    <row r="36" spans="1:28" s="266" customFormat="1" ht="20.100000000000001" customHeight="1" x14ac:dyDescent="0.5">
      <c r="A36" s="267"/>
      <c r="B36" s="257"/>
      <c r="C36" s="257"/>
      <c r="D36" s="258"/>
      <c r="E36" s="390"/>
      <c r="F36" s="391"/>
      <c r="G36" s="329"/>
      <c r="H36" s="290"/>
      <c r="I36" s="330"/>
      <c r="J36" s="389"/>
      <c r="K36" s="330"/>
      <c r="L36" s="330"/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20"/>
      <c r="X36" s="320"/>
      <c r="Y36" s="265"/>
    </row>
    <row r="37" spans="1:28" s="266" customFormat="1" ht="20.100000000000001" customHeight="1" x14ac:dyDescent="0.35">
      <c r="A37" s="267" t="s">
        <v>36</v>
      </c>
      <c r="B37" s="257" t="s">
        <v>118</v>
      </c>
      <c r="C37" s="257"/>
      <c r="D37" s="258" t="s">
        <v>119</v>
      </c>
      <c r="E37" s="336" t="s">
        <v>120</v>
      </c>
      <c r="F37" s="260"/>
      <c r="G37" s="261"/>
      <c r="H37" s="262"/>
      <c r="I37" s="345" t="s">
        <v>71</v>
      </c>
      <c r="J37" s="346" t="s">
        <v>71</v>
      </c>
      <c r="K37" s="338" t="s">
        <v>34</v>
      </c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71"/>
      <c r="W37" s="263"/>
      <c r="X37" s="263"/>
      <c r="Y37" s="263"/>
      <c r="Z37" s="263"/>
      <c r="AA37" s="301"/>
      <c r="AB37" s="265">
        <v>935000</v>
      </c>
    </row>
    <row r="38" spans="1:28" s="266" customFormat="1" ht="19.5" customHeight="1" x14ac:dyDescent="0.5">
      <c r="A38" s="267" t="s">
        <v>36</v>
      </c>
      <c r="B38" s="257"/>
      <c r="C38" s="257"/>
      <c r="D38" s="258" t="s">
        <v>121</v>
      </c>
      <c r="E38" s="337" t="s">
        <v>75</v>
      </c>
      <c r="F38" s="324" t="s">
        <v>75</v>
      </c>
      <c r="G38" s="324" t="s">
        <v>75</v>
      </c>
      <c r="H38" s="324" t="s">
        <v>75</v>
      </c>
      <c r="I38" s="339"/>
      <c r="J38" s="339"/>
      <c r="K38" s="346" t="s">
        <v>71</v>
      </c>
      <c r="L38" s="346" t="s">
        <v>71</v>
      </c>
      <c r="M38" s="344" t="s">
        <v>57</v>
      </c>
      <c r="N38" s="363"/>
      <c r="O38" s="339"/>
      <c r="P38" s="339"/>
      <c r="Q38" s="339"/>
      <c r="R38" s="339"/>
      <c r="S38" s="339"/>
      <c r="T38" s="339"/>
      <c r="U38" s="339"/>
      <c r="V38" s="371"/>
      <c r="W38" s="263"/>
      <c r="X38" s="263"/>
      <c r="Y38" s="263"/>
      <c r="Z38" s="263"/>
      <c r="AA38" s="301"/>
      <c r="AB38" s="265"/>
    </row>
    <row r="39" spans="1:28" s="266" customFormat="1" ht="20.100000000000001" customHeight="1" x14ac:dyDescent="0.5">
      <c r="A39" s="267" t="s">
        <v>36</v>
      </c>
      <c r="B39" s="257" t="s">
        <v>122</v>
      </c>
      <c r="C39" s="257"/>
      <c r="D39" s="258" t="s">
        <v>123</v>
      </c>
      <c r="E39" s="337" t="s">
        <v>124</v>
      </c>
      <c r="F39" s="260"/>
      <c r="G39" s="261"/>
      <c r="H39" s="262"/>
      <c r="I39" s="347" t="s">
        <v>125</v>
      </c>
      <c r="J39" s="339"/>
      <c r="K39" s="339"/>
      <c r="L39" s="340" t="s">
        <v>71</v>
      </c>
      <c r="M39" s="340" t="s">
        <v>71</v>
      </c>
      <c r="N39" s="340" t="s">
        <v>71</v>
      </c>
      <c r="O39" s="342" t="s">
        <v>40</v>
      </c>
      <c r="P39" s="342" t="s">
        <v>40</v>
      </c>
      <c r="Q39" s="342" t="s">
        <v>40</v>
      </c>
      <c r="R39" s="339"/>
      <c r="S39" s="339"/>
      <c r="T39" s="339"/>
      <c r="U39" s="339"/>
      <c r="V39" s="371"/>
      <c r="W39" s="263"/>
      <c r="X39" s="263"/>
      <c r="Y39" s="263"/>
      <c r="Z39" s="263"/>
      <c r="AA39" s="301"/>
      <c r="AB39" s="265">
        <v>25000</v>
      </c>
    </row>
    <row r="40" spans="1:28" s="266" customFormat="1" ht="20.100000000000001" customHeight="1" x14ac:dyDescent="0.5">
      <c r="A40" s="267" t="s">
        <v>36</v>
      </c>
      <c r="B40" s="257" t="s">
        <v>126</v>
      </c>
      <c r="C40" s="257"/>
      <c r="D40" s="258" t="s">
        <v>127</v>
      </c>
      <c r="E40" s="337" t="s">
        <v>128</v>
      </c>
      <c r="F40" s="276"/>
      <c r="G40" s="261"/>
      <c r="H40" s="262"/>
      <c r="I40" s="340" t="s">
        <v>71</v>
      </c>
      <c r="J40" s="387"/>
      <c r="K40" s="387"/>
      <c r="L40" s="339"/>
      <c r="M40" s="339"/>
      <c r="N40" s="339"/>
      <c r="O40" s="339"/>
      <c r="P40" s="339"/>
      <c r="Q40" s="363"/>
      <c r="R40" s="388"/>
      <c r="S40" s="243"/>
      <c r="T40" s="243"/>
      <c r="U40" s="341" t="s">
        <v>44</v>
      </c>
      <c r="V40" s="341" t="s">
        <v>44</v>
      </c>
      <c r="W40" s="263"/>
      <c r="X40" s="263"/>
      <c r="Y40" s="263"/>
      <c r="Z40" s="263"/>
      <c r="AA40" s="301"/>
      <c r="AB40" s="265">
        <v>4125000</v>
      </c>
    </row>
    <row r="41" spans="1:28" s="266" customFormat="1" ht="20.100000000000001" customHeight="1" x14ac:dyDescent="0.5">
      <c r="A41" s="267" t="s">
        <v>36</v>
      </c>
      <c r="B41" s="257" t="s">
        <v>129</v>
      </c>
      <c r="C41" s="257"/>
      <c r="D41" s="258" t="s">
        <v>130</v>
      </c>
      <c r="E41" s="337" t="s">
        <v>120</v>
      </c>
      <c r="F41" s="276"/>
      <c r="G41" s="261"/>
      <c r="H41" s="262"/>
      <c r="I41" s="347" t="s">
        <v>125</v>
      </c>
      <c r="J41" s="345" t="s">
        <v>131</v>
      </c>
      <c r="K41" s="346" t="s">
        <v>131</v>
      </c>
      <c r="L41" s="346" t="s">
        <v>131</v>
      </c>
      <c r="M41" s="347" t="s">
        <v>125</v>
      </c>
      <c r="N41" s="347" t="s">
        <v>125</v>
      </c>
      <c r="O41" s="347" t="s">
        <v>125</v>
      </c>
      <c r="P41" s="392"/>
      <c r="Q41" s="392"/>
      <c r="R41" s="342" t="s">
        <v>40</v>
      </c>
      <c r="S41" s="342" t="s">
        <v>40</v>
      </c>
      <c r="T41" s="338" t="s">
        <v>34</v>
      </c>
      <c r="U41" s="339"/>
      <c r="V41" s="371"/>
      <c r="W41" s="263"/>
      <c r="X41" s="263"/>
      <c r="Y41" s="263"/>
      <c r="Z41" s="263"/>
      <c r="AA41" s="301" t="s">
        <v>35</v>
      </c>
      <c r="AB41" s="265">
        <v>170000</v>
      </c>
    </row>
    <row r="42" spans="1:28" s="266" customFormat="1" ht="20.100000000000001" customHeight="1" x14ac:dyDescent="0.5">
      <c r="A42" s="267" t="s">
        <v>36</v>
      </c>
      <c r="B42" s="257" t="s">
        <v>132</v>
      </c>
      <c r="C42" s="257"/>
      <c r="D42" s="258" t="s">
        <v>133</v>
      </c>
      <c r="E42" s="337" t="s">
        <v>120</v>
      </c>
      <c r="F42" s="276"/>
      <c r="G42" s="276"/>
      <c r="H42" s="276"/>
      <c r="I42" s="343"/>
      <c r="J42" s="340" t="s">
        <v>71</v>
      </c>
      <c r="K42" s="340" t="s">
        <v>71</v>
      </c>
      <c r="L42" s="340" t="s">
        <v>71</v>
      </c>
      <c r="M42" s="344" t="s">
        <v>57</v>
      </c>
      <c r="N42" s="347" t="s">
        <v>125</v>
      </c>
      <c r="O42" s="347" t="s">
        <v>125</v>
      </c>
      <c r="P42" s="342" t="s">
        <v>40</v>
      </c>
      <c r="Q42" s="342" t="s">
        <v>40</v>
      </c>
      <c r="R42" s="342" t="s">
        <v>40</v>
      </c>
      <c r="S42" s="338" t="s">
        <v>34</v>
      </c>
      <c r="T42" s="339"/>
      <c r="U42" s="339"/>
      <c r="V42" s="371"/>
      <c r="W42" s="263"/>
      <c r="X42" s="263"/>
      <c r="Y42" s="263"/>
      <c r="Z42" s="263"/>
      <c r="AA42" s="301"/>
      <c r="AB42" s="265">
        <v>150000</v>
      </c>
    </row>
    <row r="43" spans="1:28" s="266" customFormat="1" ht="20.100000000000001" customHeight="1" x14ac:dyDescent="0.5">
      <c r="A43" s="267" t="s">
        <v>36</v>
      </c>
      <c r="B43" s="257" t="s">
        <v>134</v>
      </c>
      <c r="C43" s="257"/>
      <c r="D43" s="258" t="s">
        <v>135</v>
      </c>
      <c r="E43" s="337" t="s">
        <v>136</v>
      </c>
      <c r="F43" s="276"/>
      <c r="G43" s="329"/>
      <c r="H43" s="329"/>
      <c r="I43" s="345" t="s">
        <v>125</v>
      </c>
      <c r="J43" s="340" t="s">
        <v>71</v>
      </c>
      <c r="K43" s="340" t="s">
        <v>71</v>
      </c>
      <c r="L43" s="340" t="s">
        <v>71</v>
      </c>
      <c r="M43" s="346" t="s">
        <v>137</v>
      </c>
      <c r="N43" s="347" t="s">
        <v>125</v>
      </c>
      <c r="O43" s="347" t="s">
        <v>125</v>
      </c>
      <c r="P43" s="348" t="s">
        <v>44</v>
      </c>
      <c r="Q43" s="348" t="s">
        <v>44</v>
      </c>
      <c r="R43" s="348" t="s">
        <v>44</v>
      </c>
      <c r="S43" s="348" t="s">
        <v>44</v>
      </c>
      <c r="T43" s="348" t="s">
        <v>44</v>
      </c>
      <c r="U43" s="348" t="s">
        <v>44</v>
      </c>
      <c r="V43" s="371"/>
      <c r="W43" s="263"/>
      <c r="X43" s="263"/>
      <c r="Y43" s="263"/>
      <c r="Z43" s="263"/>
      <c r="AA43" s="301"/>
      <c r="AB43" s="265">
        <v>1650000</v>
      </c>
    </row>
    <row r="44" spans="1:28" s="266" customFormat="1" ht="20.100000000000001" customHeight="1" x14ac:dyDescent="0.5">
      <c r="A44" s="267" t="s">
        <v>36</v>
      </c>
      <c r="B44" s="257" t="s">
        <v>138</v>
      </c>
      <c r="C44" s="257"/>
      <c r="D44" s="258" t="s">
        <v>139</v>
      </c>
      <c r="E44" s="337" t="s">
        <v>140</v>
      </c>
      <c r="F44" s="276"/>
      <c r="G44" s="324" t="s">
        <v>75</v>
      </c>
      <c r="H44" s="324" t="s">
        <v>75</v>
      </c>
      <c r="I44" s="347" t="s">
        <v>125</v>
      </c>
      <c r="J44" s="339"/>
      <c r="K44" s="339"/>
      <c r="L44" s="340" t="s">
        <v>71</v>
      </c>
      <c r="M44" s="340" t="s">
        <v>71</v>
      </c>
      <c r="N44" s="340" t="s">
        <v>71</v>
      </c>
      <c r="O44" s="339"/>
      <c r="P44" s="348" t="s">
        <v>44</v>
      </c>
      <c r="Q44" s="339"/>
      <c r="R44" s="339"/>
      <c r="S44" s="330" t="s">
        <v>152</v>
      </c>
      <c r="T44" s="339"/>
      <c r="U44" s="339"/>
      <c r="V44" s="371"/>
      <c r="W44" s="263"/>
      <c r="X44" s="263"/>
      <c r="Y44" s="263"/>
      <c r="Z44" s="263"/>
      <c r="AA44" s="301"/>
      <c r="AB44" s="265">
        <v>100000</v>
      </c>
    </row>
    <row r="45" spans="1:28" s="266" customFormat="1" ht="20.100000000000001" customHeight="1" x14ac:dyDescent="0.5">
      <c r="A45" s="267" t="s">
        <v>36</v>
      </c>
      <c r="B45" s="257" t="s">
        <v>141</v>
      </c>
      <c r="C45" s="257"/>
      <c r="D45" s="258" t="s">
        <v>142</v>
      </c>
      <c r="E45" s="337" t="s">
        <v>143</v>
      </c>
      <c r="F45" s="329"/>
      <c r="G45" s="264"/>
      <c r="H45" s="290"/>
      <c r="I45" s="343"/>
      <c r="L45" s="339"/>
      <c r="M45" s="339"/>
      <c r="N45" s="339"/>
      <c r="O45" s="339"/>
      <c r="P45" s="339"/>
      <c r="Q45" s="340" t="s">
        <v>71</v>
      </c>
      <c r="R45" s="340" t="s">
        <v>71</v>
      </c>
      <c r="S45" s="340" t="s">
        <v>71</v>
      </c>
      <c r="T45" s="340" t="s">
        <v>71</v>
      </c>
      <c r="U45" s="340" t="s">
        <v>71</v>
      </c>
      <c r="V45" s="348" t="s">
        <v>44</v>
      </c>
      <c r="W45" s="263"/>
      <c r="X45" s="263"/>
      <c r="Y45" s="263"/>
      <c r="Z45" s="263"/>
      <c r="AA45" s="301"/>
      <c r="AB45" s="265">
        <v>100000</v>
      </c>
    </row>
    <row r="46" spans="1:28" s="266" customFormat="1" ht="20.100000000000001" customHeight="1" x14ac:dyDescent="0.5">
      <c r="A46" s="267" t="s">
        <v>36</v>
      </c>
      <c r="B46" s="257" t="s">
        <v>144</v>
      </c>
      <c r="C46" s="257"/>
      <c r="D46" s="258" t="s">
        <v>145</v>
      </c>
      <c r="E46" s="331" t="s">
        <v>146</v>
      </c>
      <c r="F46" s="261"/>
      <c r="G46" s="261"/>
      <c r="H46" s="261"/>
      <c r="I46" s="343"/>
      <c r="J46" s="340" t="s">
        <v>71</v>
      </c>
      <c r="K46" s="339" t="s">
        <v>147</v>
      </c>
      <c r="L46" s="339"/>
      <c r="M46" s="339"/>
      <c r="N46" s="339"/>
      <c r="O46" s="339"/>
      <c r="P46" s="339" t="s">
        <v>148</v>
      </c>
      <c r="Q46" s="339"/>
      <c r="R46" s="340" t="s">
        <v>71</v>
      </c>
      <c r="S46" s="340" t="s">
        <v>71</v>
      </c>
      <c r="T46" s="340" t="s">
        <v>71</v>
      </c>
      <c r="U46" s="340" t="s">
        <v>71</v>
      </c>
      <c r="V46" s="340" t="s">
        <v>71</v>
      </c>
      <c r="W46" s="263"/>
      <c r="X46" s="263" t="s">
        <v>35</v>
      </c>
      <c r="Y46" s="263"/>
      <c r="Z46" s="263"/>
      <c r="AA46" s="301"/>
      <c r="AB46" s="265">
        <v>2700000</v>
      </c>
    </row>
    <row r="47" spans="1:28" s="266" customFormat="1" ht="20.100000000000001" customHeight="1" x14ac:dyDescent="0.5">
      <c r="A47" s="267" t="s">
        <v>36</v>
      </c>
      <c r="B47" s="257" t="s">
        <v>149</v>
      </c>
      <c r="C47" s="257"/>
      <c r="D47" s="258" t="s">
        <v>150</v>
      </c>
      <c r="E47" s="331" t="s">
        <v>151</v>
      </c>
      <c r="F47" s="329" t="s">
        <v>56</v>
      </c>
      <c r="G47" s="329" t="s">
        <v>56</v>
      </c>
      <c r="H47" s="290"/>
      <c r="I47" s="330" t="s">
        <v>152</v>
      </c>
      <c r="J47" s="330" t="s">
        <v>152</v>
      </c>
      <c r="K47" s="330" t="s">
        <v>152</v>
      </c>
      <c r="L47" s="330" t="s">
        <v>152</v>
      </c>
      <c r="M47" s="330" t="s">
        <v>152</v>
      </c>
      <c r="N47" s="330" t="s">
        <v>152</v>
      </c>
      <c r="O47" s="330" t="s">
        <v>152</v>
      </c>
      <c r="P47" s="330" t="s">
        <v>152</v>
      </c>
      <c r="Q47" s="330" t="s">
        <v>152</v>
      </c>
      <c r="R47" s="330" t="s">
        <v>152</v>
      </c>
      <c r="S47" s="362" t="s">
        <v>153</v>
      </c>
      <c r="T47" s="340" t="s">
        <v>71</v>
      </c>
      <c r="U47" s="340" t="s">
        <v>71</v>
      </c>
      <c r="V47" s="340" t="s">
        <v>71</v>
      </c>
      <c r="W47" s="320" t="s">
        <v>35</v>
      </c>
      <c r="X47" s="320"/>
      <c r="Y47" s="320"/>
      <c r="Z47" s="320"/>
      <c r="AA47" s="374" t="s">
        <v>35</v>
      </c>
      <c r="AB47" s="265">
        <v>3459000</v>
      </c>
    </row>
    <row r="48" spans="1:28" s="266" customFormat="1" ht="20.100000000000001" customHeight="1" thickTop="1" x14ac:dyDescent="0.5">
      <c r="A48" s="397" t="s">
        <v>154</v>
      </c>
      <c r="B48" s="398"/>
      <c r="C48" s="398"/>
      <c r="D48" s="398"/>
      <c r="E48" s="299"/>
      <c r="F48" s="283"/>
      <c r="G48" s="284"/>
      <c r="H48" s="285"/>
      <c r="I48" s="286"/>
      <c r="J48" s="287"/>
      <c r="K48" s="287"/>
      <c r="L48" s="287"/>
      <c r="M48" s="287"/>
      <c r="N48" s="297"/>
      <c r="O48" s="287"/>
      <c r="P48" s="287"/>
      <c r="Q48" s="287"/>
      <c r="R48" s="287"/>
      <c r="S48" s="287"/>
      <c r="T48" s="287"/>
      <c r="U48" s="287"/>
      <c r="V48" s="369"/>
      <c r="W48" s="287"/>
      <c r="X48" s="287"/>
      <c r="Y48" s="287"/>
      <c r="Z48" s="287"/>
      <c r="AA48" s="286"/>
      <c r="AB48" s="300"/>
    </row>
    <row r="49" spans="1:28" s="266" customFormat="1" ht="20.100000000000001" customHeight="1" x14ac:dyDescent="0.4">
      <c r="A49" s="279" t="s">
        <v>63</v>
      </c>
      <c r="B49" s="257"/>
      <c r="C49" s="257"/>
      <c r="D49" s="292" t="s">
        <v>155</v>
      </c>
      <c r="E49" s="307" t="s">
        <v>156</v>
      </c>
      <c r="F49" s="308"/>
      <c r="G49" s="309"/>
      <c r="H49" s="310"/>
      <c r="I49" s="306"/>
      <c r="J49" s="297"/>
      <c r="K49" s="297"/>
      <c r="L49" s="297"/>
      <c r="M49" s="348" t="s">
        <v>44</v>
      </c>
      <c r="N49" s="348" t="s">
        <v>44</v>
      </c>
      <c r="O49" s="297"/>
      <c r="P49" s="297"/>
      <c r="Q49" s="348" t="s">
        <v>44</v>
      </c>
      <c r="R49" s="348" t="s">
        <v>44</v>
      </c>
      <c r="S49" s="348" t="s">
        <v>44</v>
      </c>
      <c r="T49" s="342" t="s">
        <v>40</v>
      </c>
      <c r="U49" s="448" t="s">
        <v>40</v>
      </c>
      <c r="V49" s="447" t="s">
        <v>34</v>
      </c>
      <c r="W49" s="318"/>
      <c r="X49" s="318"/>
      <c r="Y49" s="318"/>
      <c r="Z49" s="318"/>
      <c r="AA49" s="377"/>
      <c r="AB49" s="265">
        <v>257000</v>
      </c>
    </row>
    <row r="50" spans="1:28" s="266" customFormat="1" ht="20.100000000000001" customHeight="1" x14ac:dyDescent="0.5">
      <c r="A50" s="279" t="s">
        <v>63</v>
      </c>
      <c r="B50" s="257" t="s">
        <v>157</v>
      </c>
      <c r="C50" s="257"/>
      <c r="D50" s="258" t="s">
        <v>158</v>
      </c>
      <c r="E50" s="259" t="s">
        <v>159</v>
      </c>
      <c r="F50" s="289"/>
      <c r="G50" s="264"/>
      <c r="H50" s="290"/>
      <c r="I50" s="301"/>
      <c r="J50" s="263"/>
      <c r="K50" s="263"/>
      <c r="L50" s="263"/>
      <c r="M50" s="340" t="s">
        <v>71</v>
      </c>
      <c r="N50" s="340" t="s">
        <v>71</v>
      </c>
      <c r="O50" s="263"/>
      <c r="P50" s="383" t="s">
        <v>58</v>
      </c>
      <c r="Q50" s="383" t="s">
        <v>58</v>
      </c>
      <c r="R50" s="383" t="s">
        <v>58</v>
      </c>
      <c r="S50" s="383" t="s">
        <v>58</v>
      </c>
      <c r="T50" s="383" t="s">
        <v>58</v>
      </c>
      <c r="U50" s="383" t="s">
        <v>58</v>
      </c>
      <c r="V50" s="366"/>
      <c r="W50" s="263"/>
      <c r="X50" s="263"/>
      <c r="Y50" s="263"/>
      <c r="Z50" s="263"/>
      <c r="AA50" s="301"/>
      <c r="AB50" s="265">
        <v>185000</v>
      </c>
    </row>
    <row r="51" spans="1:28" s="266" customFormat="1" ht="20.100000000000001" customHeight="1" x14ac:dyDescent="0.5">
      <c r="A51" s="279" t="s">
        <v>63</v>
      </c>
      <c r="B51" s="257"/>
      <c r="C51" s="257"/>
      <c r="D51" s="292" t="s">
        <v>160</v>
      </c>
      <c r="E51" s="293" t="s">
        <v>470</v>
      </c>
      <c r="F51" s="294"/>
      <c r="G51" s="295"/>
      <c r="H51" s="296"/>
      <c r="I51" s="306"/>
      <c r="J51" s="297"/>
      <c r="K51" s="297"/>
      <c r="L51" s="340" t="s">
        <v>71</v>
      </c>
      <c r="M51" s="340" t="s">
        <v>71</v>
      </c>
      <c r="N51" s="340" t="s">
        <v>71</v>
      </c>
      <c r="O51" s="297"/>
      <c r="P51" s="297"/>
      <c r="Q51" s="342" t="s">
        <v>40</v>
      </c>
      <c r="R51" s="338" t="s">
        <v>34</v>
      </c>
      <c r="S51" s="297"/>
      <c r="T51" s="297"/>
      <c r="U51" s="297"/>
      <c r="V51" s="367"/>
      <c r="W51" s="297"/>
      <c r="X51" s="297"/>
      <c r="Y51" s="297"/>
      <c r="Z51" s="297"/>
      <c r="AA51" s="306"/>
      <c r="AB51" s="274">
        <v>90000</v>
      </c>
    </row>
    <row r="52" spans="1:28" s="266" customFormat="1" ht="20.100000000000001" customHeight="1" x14ac:dyDescent="0.4">
      <c r="A52" s="279" t="s">
        <v>63</v>
      </c>
      <c r="B52" s="257"/>
      <c r="C52" s="257"/>
      <c r="D52" s="292" t="s">
        <v>161</v>
      </c>
      <c r="E52" s="307"/>
      <c r="F52" s="308"/>
      <c r="G52" s="309"/>
      <c r="H52" s="310"/>
      <c r="I52" s="306"/>
      <c r="J52" s="297"/>
      <c r="K52" s="297"/>
      <c r="L52" s="340" t="s">
        <v>71</v>
      </c>
      <c r="M52" s="340" t="s">
        <v>71</v>
      </c>
      <c r="N52" s="340" t="s">
        <v>71</v>
      </c>
      <c r="O52" s="297"/>
      <c r="P52" s="338" t="s">
        <v>34</v>
      </c>
      <c r="Q52" s="297"/>
      <c r="R52" s="297"/>
      <c r="S52" s="297"/>
      <c r="T52" s="297"/>
      <c r="U52" s="297"/>
      <c r="V52" s="367"/>
      <c r="W52" s="318"/>
      <c r="X52" s="318"/>
      <c r="Y52" s="318"/>
      <c r="Z52" s="318"/>
      <c r="AA52" s="377"/>
      <c r="AB52" s="274">
        <v>120000</v>
      </c>
    </row>
    <row r="53" spans="1:28" s="266" customFormat="1" ht="20.100000000000001" customHeight="1" x14ac:dyDescent="0.4">
      <c r="A53" s="279" t="s">
        <v>63</v>
      </c>
      <c r="B53" s="257"/>
      <c r="C53" s="257"/>
      <c r="D53" s="292" t="s">
        <v>162</v>
      </c>
      <c r="E53" s="307"/>
      <c r="F53" s="308"/>
      <c r="G53" s="309"/>
      <c r="H53" s="310"/>
      <c r="I53" s="306"/>
      <c r="J53" s="297"/>
      <c r="K53" s="297"/>
      <c r="L53" s="340" t="s">
        <v>71</v>
      </c>
      <c r="M53" s="340" t="s">
        <v>71</v>
      </c>
      <c r="N53" s="340" t="s">
        <v>71</v>
      </c>
      <c r="O53" s="297"/>
      <c r="P53" s="338" t="s">
        <v>34</v>
      </c>
      <c r="Q53" s="297"/>
      <c r="R53" s="297"/>
      <c r="S53" s="297"/>
      <c r="T53" s="297"/>
      <c r="U53" s="297"/>
      <c r="V53" s="367"/>
      <c r="W53" s="318"/>
      <c r="X53" s="318"/>
      <c r="Y53" s="318"/>
      <c r="Z53" s="318"/>
      <c r="AA53" s="377"/>
      <c r="AB53" s="274">
        <v>120000</v>
      </c>
    </row>
    <row r="54" spans="1:28" s="266" customFormat="1" ht="20.100000000000001" customHeight="1" thickBot="1" x14ac:dyDescent="0.55000000000000004">
      <c r="A54" s="279" t="s">
        <v>63</v>
      </c>
      <c r="B54" s="257"/>
      <c r="C54" s="257"/>
      <c r="D54" s="258" t="s">
        <v>163</v>
      </c>
      <c r="E54" s="298" t="s">
        <v>164</v>
      </c>
      <c r="F54" s="289"/>
      <c r="G54" s="264"/>
      <c r="H54" s="290"/>
      <c r="I54" s="301"/>
      <c r="J54" s="263"/>
      <c r="K54" s="263"/>
      <c r="L54" s="263"/>
      <c r="M54" s="338" t="s">
        <v>34</v>
      </c>
      <c r="N54" s="263"/>
      <c r="O54" s="263"/>
      <c r="P54" s="257"/>
      <c r="Q54" s="263"/>
      <c r="R54" s="263"/>
      <c r="S54" s="263"/>
      <c r="T54" s="263"/>
      <c r="U54" s="263"/>
      <c r="V54" s="366"/>
      <c r="W54" s="263"/>
      <c r="X54" s="263"/>
      <c r="Y54" s="263"/>
      <c r="Z54" s="263"/>
      <c r="AA54" s="301"/>
      <c r="AB54" s="274">
        <v>44500</v>
      </c>
    </row>
    <row r="55" spans="1:28" s="266" customFormat="1" ht="20.100000000000001" customHeight="1" thickTop="1" x14ac:dyDescent="0.5">
      <c r="A55" s="397" t="s">
        <v>165</v>
      </c>
      <c r="B55" s="398"/>
      <c r="C55" s="398"/>
      <c r="D55" s="398"/>
      <c r="E55" s="299"/>
      <c r="F55" s="283"/>
      <c r="G55" s="284"/>
      <c r="H55" s="285"/>
      <c r="I55" s="286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369"/>
      <c r="W55" s="287"/>
      <c r="X55" s="287"/>
      <c r="Y55" s="287"/>
      <c r="Z55" s="287"/>
      <c r="AA55" s="286"/>
      <c r="AB55" s="300"/>
    </row>
    <row r="56" spans="1:28" s="266" customFormat="1" ht="20.100000000000001" customHeight="1" x14ac:dyDescent="0.5">
      <c r="A56" s="279" t="s">
        <v>63</v>
      </c>
      <c r="B56" s="257"/>
      <c r="C56" s="257"/>
      <c r="D56" s="258" t="s">
        <v>166</v>
      </c>
      <c r="E56" s="259" t="s">
        <v>167</v>
      </c>
      <c r="F56" s="289"/>
      <c r="G56" s="264"/>
      <c r="H56" s="290"/>
      <c r="I56" s="301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366"/>
      <c r="W56" s="263"/>
      <c r="X56" s="263"/>
      <c r="Y56" s="263"/>
      <c r="Z56" s="263"/>
      <c r="AA56" s="301"/>
      <c r="AB56" s="265">
        <v>11303000</v>
      </c>
    </row>
    <row r="57" spans="1:28" s="266" customFormat="1" ht="20.100000000000001" customHeight="1" thickBot="1" x14ac:dyDescent="0.55000000000000004">
      <c r="A57" s="279" t="s">
        <v>63</v>
      </c>
      <c r="B57" s="257" t="s">
        <v>168</v>
      </c>
      <c r="C57" s="257"/>
      <c r="D57" s="258" t="s">
        <v>169</v>
      </c>
      <c r="E57" s="298" t="s">
        <v>170</v>
      </c>
      <c r="F57" s="289"/>
      <c r="G57" s="264"/>
      <c r="H57" s="290"/>
      <c r="I57" s="301"/>
      <c r="J57" s="263"/>
      <c r="K57" s="263"/>
      <c r="L57" s="263"/>
      <c r="M57" s="263" t="s">
        <v>171</v>
      </c>
      <c r="N57" s="270" t="s">
        <v>44</v>
      </c>
      <c r="O57" s="270" t="s">
        <v>44</v>
      </c>
      <c r="P57" s="270" t="s">
        <v>44</v>
      </c>
      <c r="Q57" s="270" t="s">
        <v>44</v>
      </c>
      <c r="R57" s="344" t="s">
        <v>57</v>
      </c>
      <c r="S57" s="342" t="s">
        <v>40</v>
      </c>
      <c r="T57" s="342" t="s">
        <v>40</v>
      </c>
      <c r="U57" s="263"/>
      <c r="V57" s="366"/>
      <c r="W57" s="263"/>
      <c r="X57" s="263"/>
      <c r="Y57" s="263"/>
      <c r="Z57" s="263"/>
      <c r="AA57" s="301"/>
      <c r="AB57" s="265">
        <v>3200000</v>
      </c>
    </row>
    <row r="58" spans="1:28" s="266" customFormat="1" ht="15" customHeight="1" thickTop="1" x14ac:dyDescent="0.5">
      <c r="A58" s="397" t="s">
        <v>172</v>
      </c>
      <c r="B58" s="398"/>
      <c r="C58" s="398"/>
      <c r="D58" s="398"/>
      <c r="E58" s="299"/>
      <c r="F58" s="283"/>
      <c r="G58" s="284"/>
      <c r="H58" s="285"/>
      <c r="I58" s="286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369"/>
      <c r="W58" s="287"/>
      <c r="X58" s="287"/>
      <c r="Y58" s="287"/>
      <c r="Z58" s="287"/>
      <c r="AA58" s="286"/>
      <c r="AB58" s="300"/>
    </row>
    <row r="59" spans="1:28" s="266" customFormat="1" ht="15" customHeight="1" x14ac:dyDescent="0.5">
      <c r="A59" s="256" t="s">
        <v>30</v>
      </c>
      <c r="B59" s="356"/>
      <c r="C59" s="356"/>
      <c r="D59" s="357" t="s">
        <v>173</v>
      </c>
      <c r="E59" s="358" t="s">
        <v>174</v>
      </c>
      <c r="F59" s="359"/>
      <c r="G59" s="360"/>
      <c r="H59" s="351"/>
      <c r="I59" s="306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367"/>
      <c r="W59" s="297"/>
      <c r="X59" s="297"/>
      <c r="Y59" s="297"/>
      <c r="Z59" s="297"/>
      <c r="AA59" s="306"/>
      <c r="AB59" s="361"/>
    </row>
    <row r="60" spans="1:28" s="266" customFormat="1" ht="15" customHeight="1" x14ac:dyDescent="0.5">
      <c r="A60" s="256" t="s">
        <v>30</v>
      </c>
      <c r="B60" s="257" t="s">
        <v>175</v>
      </c>
      <c r="C60" s="257"/>
      <c r="D60" s="258" t="s">
        <v>176</v>
      </c>
      <c r="E60" s="259"/>
      <c r="F60" s="289"/>
      <c r="G60" s="264"/>
      <c r="H60" s="290"/>
      <c r="I60" s="301"/>
      <c r="J60" s="263"/>
      <c r="K60" s="263"/>
      <c r="L60" s="263"/>
      <c r="M60" s="263"/>
      <c r="N60" s="263"/>
      <c r="O60" s="263"/>
      <c r="P60" s="263"/>
      <c r="Q60" s="263"/>
      <c r="R60" s="311"/>
      <c r="S60" s="312"/>
      <c r="T60" s="312"/>
      <c r="U60" s="312"/>
      <c r="V60" s="372"/>
      <c r="W60" s="319"/>
      <c r="X60" s="319"/>
      <c r="Y60" s="319"/>
      <c r="Z60" s="319"/>
      <c r="AA60" s="378"/>
      <c r="AB60" s="313">
        <v>3650000</v>
      </c>
    </row>
    <row r="61" spans="1:28" s="266" customFormat="1" ht="15" customHeight="1" x14ac:dyDescent="0.5">
      <c r="A61" s="256" t="s">
        <v>30</v>
      </c>
      <c r="B61" s="257" t="s">
        <v>177</v>
      </c>
      <c r="C61" s="257"/>
      <c r="D61" s="258" t="s">
        <v>178</v>
      </c>
      <c r="E61" s="259"/>
      <c r="F61" s="289"/>
      <c r="G61" s="264"/>
      <c r="H61" s="290"/>
      <c r="I61" s="301"/>
      <c r="J61" s="263"/>
      <c r="K61" s="263"/>
      <c r="L61" s="263"/>
      <c r="M61" s="263"/>
      <c r="N61" s="263"/>
      <c r="O61" s="263"/>
      <c r="P61" s="263"/>
      <c r="Q61" s="263"/>
      <c r="R61" s="311"/>
      <c r="S61" s="312"/>
      <c r="T61" s="312"/>
      <c r="U61" s="312"/>
      <c r="V61" s="372"/>
      <c r="W61" s="319"/>
      <c r="X61" s="319"/>
      <c r="Y61" s="319"/>
      <c r="Z61" s="319"/>
      <c r="AA61" s="378"/>
      <c r="AB61" s="313">
        <v>3500000</v>
      </c>
    </row>
    <row r="62" spans="1:28" s="266" customFormat="1" ht="15" customHeight="1" x14ac:dyDescent="0.5">
      <c r="A62" s="291" t="s">
        <v>72</v>
      </c>
      <c r="B62" s="257" t="s">
        <v>179</v>
      </c>
      <c r="C62" s="257"/>
      <c r="D62" s="292" t="s">
        <v>180</v>
      </c>
      <c r="E62" s="293"/>
      <c r="F62" s="294"/>
      <c r="G62" s="295"/>
      <c r="H62" s="296"/>
      <c r="I62" s="306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367"/>
      <c r="W62" s="297"/>
      <c r="X62" s="297"/>
      <c r="Y62" s="297"/>
      <c r="Z62" s="297"/>
      <c r="AA62" s="306"/>
      <c r="AB62" s="265">
        <v>1765000</v>
      </c>
    </row>
    <row r="63" spans="1:28" s="266" customFormat="1" ht="15" customHeight="1" thickBot="1" x14ac:dyDescent="0.55000000000000004">
      <c r="A63" s="279" t="s">
        <v>63</v>
      </c>
      <c r="B63" s="257" t="s">
        <v>181</v>
      </c>
      <c r="C63" s="257"/>
      <c r="D63" s="258" t="s">
        <v>182</v>
      </c>
      <c r="E63" s="280"/>
      <c r="F63" s="314"/>
      <c r="G63" s="315"/>
      <c r="H63" s="316"/>
      <c r="I63" s="301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366"/>
      <c r="W63" s="263"/>
      <c r="X63" s="263"/>
      <c r="Y63" s="263"/>
      <c r="Z63" s="263"/>
      <c r="AA63" s="301"/>
      <c r="AB63" s="274">
        <v>50000</v>
      </c>
    </row>
    <row r="64" spans="1:28" ht="14.7" thickTop="1" x14ac:dyDescent="0.5">
      <c r="E64" s="248"/>
      <c r="F64" s="248"/>
      <c r="G64" s="248"/>
      <c r="H64" s="248"/>
      <c r="W64" s="171"/>
      <c r="X64" s="171"/>
      <c r="Y64" s="171"/>
      <c r="Z64" s="171"/>
      <c r="AA64" s="171"/>
      <c r="AB64" s="206"/>
    </row>
    <row r="65" spans="1:28" s="191" customFormat="1" ht="18.350000000000001" thickBot="1" x14ac:dyDescent="0.55000000000000004">
      <c r="A65" s="234"/>
      <c r="B65" s="188"/>
      <c r="C65" s="188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9">
        <f t="shared" ref="AB65" si="0">SUM(AB6:AB63)</f>
        <v>88087500</v>
      </c>
    </row>
    <row r="66" spans="1:28" s="198" customFormat="1" ht="20.25" customHeight="1" thickTop="1" thickBot="1" x14ac:dyDescent="0.55000000000000004">
      <c r="A66" s="194"/>
      <c r="B66" s="193"/>
      <c r="C66" s="193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208" t="s">
        <v>183</v>
      </c>
    </row>
    <row r="67" spans="1:28" ht="16" thickTop="1" x14ac:dyDescent="0.5">
      <c r="C67" s="237"/>
      <c r="E67" s="238" t="s">
        <v>184</v>
      </c>
      <c r="F67" s="323" t="s">
        <v>185</v>
      </c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209"/>
    </row>
    <row r="68" spans="1:28" ht="15.7" x14ac:dyDescent="0.5">
      <c r="C68" s="237"/>
      <c r="D68" s="199"/>
      <c r="E68" s="199"/>
      <c r="F68" s="240" t="s">
        <v>56</v>
      </c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210"/>
    </row>
    <row r="69" spans="1:28" ht="15.7" x14ac:dyDescent="0.5">
      <c r="C69" s="237"/>
      <c r="D69" s="199"/>
      <c r="E69" s="199"/>
      <c r="F69" s="324" t="s">
        <v>75</v>
      </c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209"/>
    </row>
    <row r="70" spans="1:28" x14ac:dyDescent="0.5">
      <c r="AB70" s="206"/>
    </row>
    <row r="71" spans="1:28" x14ac:dyDescent="0.5">
      <c r="E71" s="239" t="s">
        <v>186</v>
      </c>
      <c r="F71" s="328"/>
      <c r="G71" s="186" t="s">
        <v>71</v>
      </c>
      <c r="AB71" s="206"/>
    </row>
    <row r="72" spans="1:28" x14ac:dyDescent="0.5">
      <c r="F72" s="327"/>
      <c r="G72" s="186" t="s">
        <v>108</v>
      </c>
      <c r="AB72" s="206"/>
    </row>
    <row r="73" spans="1:28" x14ac:dyDescent="0.5">
      <c r="F73" s="241"/>
      <c r="G73" s="186" t="s">
        <v>44</v>
      </c>
      <c r="AB73" s="206"/>
    </row>
    <row r="74" spans="1:28" x14ac:dyDescent="0.5">
      <c r="F74" s="242"/>
      <c r="G74" s="186" t="s">
        <v>45</v>
      </c>
    </row>
    <row r="75" spans="1:28" x14ac:dyDescent="0.5">
      <c r="F75" s="243"/>
      <c r="G75" s="186" t="s">
        <v>187</v>
      </c>
    </row>
    <row r="76" spans="1:28" x14ac:dyDescent="0.5">
      <c r="D76" s="186"/>
      <c r="F76" s="244"/>
      <c r="G76" s="186" t="s">
        <v>188</v>
      </c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</row>
    <row r="77" spans="1:28" x14ac:dyDescent="0.5">
      <c r="F77" s="245"/>
      <c r="G77" s="186" t="s">
        <v>189</v>
      </c>
    </row>
  </sheetData>
  <mergeCells count="23">
    <mergeCell ref="A5:D5"/>
    <mergeCell ref="A1:AB1"/>
    <mergeCell ref="A2:AB2"/>
    <mergeCell ref="A3:A4"/>
    <mergeCell ref="B3:B4"/>
    <mergeCell ref="D3:D4"/>
    <mergeCell ref="AA3:AA4"/>
    <mergeCell ref="AB3:AB4"/>
    <mergeCell ref="C3:C4"/>
    <mergeCell ref="J3:U3"/>
    <mergeCell ref="F3:F4"/>
    <mergeCell ref="G3:G4"/>
    <mergeCell ref="H3:H4"/>
    <mergeCell ref="E3:E4"/>
    <mergeCell ref="W3:Z3"/>
    <mergeCell ref="A55:D55"/>
    <mergeCell ref="A58:D58"/>
    <mergeCell ref="A15:D15"/>
    <mergeCell ref="A24:D24"/>
    <mergeCell ref="A29:D29"/>
    <mergeCell ref="A35:D35"/>
    <mergeCell ref="A32:D32"/>
    <mergeCell ref="A48:D48"/>
  </mergeCells>
  <phoneticPr fontId="3" type="noConversion"/>
  <hyperlinks>
    <hyperlink ref="X28" r:id="rId1" xr:uid="{61BE2014-687A-431C-AC11-7159805A8972}"/>
    <hyperlink ref="X9" r:id="rId2" display="../../../:w:/r/sites/RMS-CapitalProjects/Capital/Frontier Heights Park Phase II/1.0_Initiation/22016_Project Charter_231107.docx?d=wf5bfdee828d94bfc897fc3e735d5d5a0&amp;csf=1&amp;web=1&amp;e=5yA9CJ" xr:uid="{DEDF15AF-50FB-4F47-8C0F-B335A558D48E}"/>
    <hyperlink ref="X11" r:id="rId3" display="../../../:w:/r/sites/RMS-CapitalProjects/Capital/131st Ave NE Sewer/1.0_Initiation/23006_Project Charter_230502.docx?d=w758466b653364b3fbdf240d0df2d06af&amp;csf=1&amp;web=1&amp;e=RfuIvT" xr:uid="{53C67065-2FDA-4F80-BCA1-E113B047F71D}"/>
    <hyperlink ref="X8" r:id="rId4" display="../../../:w:/r/sites/RMS-CapitalProjects/Capital/131st Ave NE Sewer/1.0_Initiation/23006_Project Charter_230502.docx?d=w758466b653364b3fbdf240d0df2d06af&amp;csf=1&amp;web=1&amp;e=RfuIvT" xr:uid="{5354CCCF-28F6-4CC9-ACF6-0CFFFF5D61D1}"/>
  </hyperlinks>
  <printOptions horizontalCentered="1"/>
  <pageMargins left="0.7" right="0.7" top="0.75" bottom="0.75" header="0.3" footer="0.3"/>
  <pageSetup paperSize="17" scale="57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EEF3-AC29-4B0B-9231-6AD4F3C566FB}">
  <sheetPr>
    <tabColor rgb="FF7030A0"/>
    <pageSetUpPr fitToPage="1"/>
  </sheetPr>
  <dimension ref="A1:AV74"/>
  <sheetViews>
    <sheetView zoomScale="85" zoomScaleNormal="85" zoomScaleSheetLayoutView="85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A40" sqref="A40:XFD40"/>
    </sheetView>
  </sheetViews>
  <sheetFormatPr defaultColWidth="9" defaultRowHeight="14.35" x14ac:dyDescent="0.5"/>
  <cols>
    <col min="1" max="1" width="5.29296875" style="213" customWidth="1"/>
    <col min="2" max="2" width="6.87890625" style="165" customWidth="1"/>
    <col min="3" max="3" width="50.5859375" style="182" customWidth="1"/>
    <col min="4" max="11" width="7.5859375" style="182" hidden="1" customWidth="1"/>
    <col min="12" max="12" width="16.5859375" style="168" bestFit="1" customWidth="1"/>
    <col min="13" max="13" width="19.41015625" style="169" customWidth="1"/>
    <col min="14" max="15" width="19.41015625" style="169" hidden="1" customWidth="1"/>
    <col min="16" max="16" width="19.41015625" style="170" bestFit="1" customWidth="1"/>
    <col min="17" max="17" width="15.1171875" style="170" hidden="1" customWidth="1"/>
    <col min="18" max="18" width="30.5859375" style="170" hidden="1" customWidth="1"/>
    <col min="19" max="19" width="16.5859375" style="170" hidden="1" customWidth="1"/>
    <col min="20" max="23" width="19.41015625" style="170" hidden="1" customWidth="1"/>
    <col min="24" max="24" width="19.41015625" style="170" bestFit="1" customWidth="1"/>
    <col min="25" max="25" width="21" style="171" bestFit="1" customWidth="1"/>
    <col min="26" max="26" width="19.703125" style="171" customWidth="1"/>
    <col min="27" max="27" width="9" style="201"/>
    <col min="28" max="28" width="10.29296875" style="201" bestFit="1" customWidth="1"/>
    <col min="29" max="29" width="10.29296875" style="201" customWidth="1"/>
    <col min="30" max="32" width="9" style="201"/>
    <col min="33" max="33" width="9.87890625" style="201" bestFit="1" customWidth="1"/>
    <col min="34" max="35" width="9" style="201"/>
    <col min="36" max="36" width="12.41015625" style="201" bestFit="1" customWidth="1"/>
    <col min="37" max="37" width="9" style="201"/>
    <col min="38" max="38" width="12.41015625" style="201" bestFit="1" customWidth="1"/>
    <col min="39" max="39" width="12.41015625" style="201" customWidth="1"/>
    <col min="40" max="40" width="9" style="201"/>
    <col min="41" max="41" width="10.29296875" style="201" bestFit="1" customWidth="1"/>
    <col min="42" max="42" width="11.41015625" style="201" bestFit="1" customWidth="1"/>
    <col min="43" max="43" width="10.41015625" style="174" bestFit="1" customWidth="1"/>
    <col min="44" max="44" width="13.1171875" style="174" customWidth="1"/>
    <col min="45" max="47" width="9" style="174"/>
    <col min="48" max="48" width="11.41015625" style="174" customWidth="1"/>
    <col min="49" max="16384" width="9" style="174"/>
  </cols>
  <sheetData>
    <row r="1" spans="1:48" s="158" customFormat="1" ht="25.7" x14ac:dyDescent="0.5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415"/>
      <c r="AA1" s="157"/>
      <c r="AB1" s="157"/>
      <c r="AC1" s="157"/>
      <c r="AD1" s="157"/>
      <c r="AE1" s="157">
        <v>601785</v>
      </c>
      <c r="AF1" s="157">
        <v>326963</v>
      </c>
      <c r="AG1" s="157">
        <v>2045440</v>
      </c>
      <c r="AH1" s="157"/>
      <c r="AI1" s="157">
        <v>50158</v>
      </c>
      <c r="AJ1" s="157">
        <f>2186930+X9</f>
        <v>3391282</v>
      </c>
      <c r="AK1" s="157"/>
      <c r="AL1" s="157"/>
      <c r="AM1" s="157"/>
      <c r="AN1" s="157">
        <v>280000</v>
      </c>
      <c r="AO1" s="157"/>
      <c r="AP1" s="157"/>
    </row>
    <row r="2" spans="1:48" s="158" customFormat="1" ht="21" thickBot="1" x14ac:dyDescent="0.55000000000000004">
      <c r="A2" s="400" t="s">
        <v>1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6"/>
      <c r="AM2" s="416"/>
      <c r="AN2" s="416"/>
      <c r="AO2" s="416"/>
      <c r="AP2" s="416"/>
    </row>
    <row r="3" spans="1:48" s="161" customFormat="1" ht="20.25" customHeight="1" thickTop="1" thickBot="1" x14ac:dyDescent="0.6">
      <c r="A3" s="402" t="s">
        <v>2</v>
      </c>
      <c r="B3" s="402" t="s">
        <v>3</v>
      </c>
      <c r="C3" s="404" t="s">
        <v>5</v>
      </c>
      <c r="D3" s="393">
        <v>2024</v>
      </c>
      <c r="E3" s="410">
        <v>2025</v>
      </c>
      <c r="F3" s="410"/>
      <c r="G3" s="410"/>
      <c r="H3" s="410"/>
      <c r="I3" s="393">
        <v>2026</v>
      </c>
      <c r="J3" s="406" t="s">
        <v>190</v>
      </c>
      <c r="K3" s="406" t="s">
        <v>11</v>
      </c>
      <c r="L3" s="408" t="s">
        <v>12</v>
      </c>
      <c r="M3" s="417" t="s">
        <v>191</v>
      </c>
      <c r="N3" s="417" t="s">
        <v>192</v>
      </c>
      <c r="O3" s="417" t="s">
        <v>193</v>
      </c>
      <c r="P3" s="424" t="s">
        <v>194</v>
      </c>
      <c r="Q3" s="424" t="s">
        <v>195</v>
      </c>
      <c r="R3" s="159" t="s">
        <v>125</v>
      </c>
      <c r="S3" s="421">
        <v>2026</v>
      </c>
      <c r="T3" s="421">
        <v>2027</v>
      </c>
      <c r="U3" s="421">
        <v>2028</v>
      </c>
      <c r="V3" s="421">
        <v>2029</v>
      </c>
      <c r="W3" s="421">
        <v>2030</v>
      </c>
      <c r="X3" s="423" t="s">
        <v>196</v>
      </c>
      <c r="Y3" s="423"/>
      <c r="Z3" s="423"/>
      <c r="AA3" s="160" t="s">
        <v>197</v>
      </c>
      <c r="AB3" s="160" t="s">
        <v>198</v>
      </c>
      <c r="AC3" s="160" t="s">
        <v>199</v>
      </c>
      <c r="AD3" s="160" t="s">
        <v>200</v>
      </c>
      <c r="AE3" s="160" t="s">
        <v>201</v>
      </c>
      <c r="AF3" s="160" t="s">
        <v>202</v>
      </c>
      <c r="AG3" s="160" t="s">
        <v>203</v>
      </c>
      <c r="AH3" s="160" t="s">
        <v>204</v>
      </c>
      <c r="AI3" s="160" t="s">
        <v>205</v>
      </c>
      <c r="AJ3" s="160" t="s">
        <v>206</v>
      </c>
      <c r="AK3" s="160" t="s">
        <v>207</v>
      </c>
      <c r="AL3" s="160" t="s">
        <v>208</v>
      </c>
      <c r="AM3" s="160" t="s">
        <v>209</v>
      </c>
      <c r="AN3" s="160" t="s">
        <v>72</v>
      </c>
      <c r="AO3" s="160" t="s">
        <v>210</v>
      </c>
      <c r="AP3" s="160" t="s">
        <v>211</v>
      </c>
    </row>
    <row r="4" spans="1:48" s="164" customFormat="1" ht="20" thickTop="1" thickBot="1" x14ac:dyDescent="0.6">
      <c r="A4" s="403"/>
      <c r="B4" s="403"/>
      <c r="C4" s="405"/>
      <c r="D4" s="213" t="s">
        <v>212</v>
      </c>
      <c r="E4" s="213" t="s">
        <v>213</v>
      </c>
      <c r="F4" s="213" t="s">
        <v>214</v>
      </c>
      <c r="G4" s="213" t="s">
        <v>215</v>
      </c>
      <c r="H4" s="213" t="s">
        <v>212</v>
      </c>
      <c r="I4" s="213">
        <v>2026</v>
      </c>
      <c r="J4" s="407"/>
      <c r="K4" s="407"/>
      <c r="L4" s="409"/>
      <c r="M4" s="418"/>
      <c r="N4" s="418"/>
      <c r="O4" s="418"/>
      <c r="P4" s="420"/>
      <c r="Q4" s="420"/>
      <c r="R4" s="162" t="s">
        <v>216</v>
      </c>
      <c r="S4" s="422"/>
      <c r="T4" s="422"/>
      <c r="U4" s="422"/>
      <c r="V4" s="422"/>
      <c r="W4" s="422"/>
      <c r="X4" s="394" t="s">
        <v>217</v>
      </c>
      <c r="Y4" s="394" t="s">
        <v>218</v>
      </c>
      <c r="Z4" s="394" t="s">
        <v>219</v>
      </c>
      <c r="AA4" s="163" t="s">
        <v>220</v>
      </c>
      <c r="AB4" s="163" t="s">
        <v>221</v>
      </c>
      <c r="AC4" s="163" t="s">
        <v>222</v>
      </c>
      <c r="AD4" s="163" t="s">
        <v>223</v>
      </c>
      <c r="AE4" s="163" t="s">
        <v>224</v>
      </c>
      <c r="AF4" s="163" t="s">
        <v>224</v>
      </c>
      <c r="AG4" s="163" t="s">
        <v>224</v>
      </c>
      <c r="AH4" s="163" t="s">
        <v>225</v>
      </c>
      <c r="AI4" s="163" t="s">
        <v>224</v>
      </c>
      <c r="AJ4" s="163" t="s">
        <v>226</v>
      </c>
      <c r="AK4" s="163" t="s">
        <v>227</v>
      </c>
      <c r="AL4" s="163" t="s">
        <v>228</v>
      </c>
      <c r="AM4" s="163" t="s">
        <v>229</v>
      </c>
      <c r="AN4" s="163" t="s">
        <v>230</v>
      </c>
      <c r="AO4" s="163" t="s">
        <v>231</v>
      </c>
      <c r="AP4" s="163" t="s">
        <v>232</v>
      </c>
    </row>
    <row r="5" spans="1:48" ht="14.7" thickTop="1" x14ac:dyDescent="0.5">
      <c r="A5" s="429" t="s">
        <v>29</v>
      </c>
      <c r="B5" s="430"/>
      <c r="C5" s="431"/>
      <c r="L5" s="206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73">
        <f t="shared" ref="AQ5" si="0">SUM(AA5:AP5)</f>
        <v>0</v>
      </c>
      <c r="AR5" s="174">
        <f t="shared" ref="AR5" si="1">P5-AQ5</f>
        <v>0</v>
      </c>
    </row>
    <row r="6" spans="1:48" x14ac:dyDescent="0.5">
      <c r="A6" s="230" t="s">
        <v>30</v>
      </c>
      <c r="B6" s="165" t="s">
        <v>31</v>
      </c>
      <c r="C6" s="177" t="s">
        <v>32</v>
      </c>
      <c r="D6" s="227"/>
      <c r="E6" s="177"/>
      <c r="F6" s="177"/>
      <c r="G6" s="177"/>
      <c r="H6" s="177"/>
      <c r="I6" s="177"/>
      <c r="J6" s="177"/>
      <c r="K6" s="177"/>
      <c r="L6" s="206">
        <f>N6+P6+S6+T6+U6+V6+W6</f>
        <v>1690000</v>
      </c>
      <c r="M6" s="216">
        <v>1854500</v>
      </c>
      <c r="N6" s="216">
        <v>1690000</v>
      </c>
      <c r="O6" s="216">
        <f t="shared" ref="O6:O11" si="2">M6-N6</f>
        <v>164500</v>
      </c>
      <c r="P6" s="216">
        <v>0</v>
      </c>
      <c r="Q6" s="216">
        <f t="shared" ref="Q6:Q11" si="3">P6-O6</f>
        <v>-164500</v>
      </c>
      <c r="R6" s="217" t="s">
        <v>233</v>
      </c>
      <c r="S6" s="216"/>
      <c r="T6" s="216"/>
      <c r="U6" s="216"/>
      <c r="V6" s="218"/>
      <c r="W6" s="218"/>
      <c r="X6" s="216">
        <v>442564</v>
      </c>
      <c r="Y6" s="171" t="s">
        <v>234</v>
      </c>
      <c r="Z6" s="175" t="s">
        <v>235</v>
      </c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3">
        <f t="shared" ref="AQ6:AQ11" si="4">SUM(AA6:AP6)</f>
        <v>0</v>
      </c>
      <c r="AR6" s="174">
        <f>P6-AQ6</f>
        <v>0</v>
      </c>
    </row>
    <row r="7" spans="1:48" x14ac:dyDescent="0.5">
      <c r="A7" s="231" t="s">
        <v>36</v>
      </c>
      <c r="B7" s="165" t="s">
        <v>37</v>
      </c>
      <c r="C7" s="177" t="s">
        <v>38</v>
      </c>
      <c r="D7" s="227"/>
      <c r="E7" s="177"/>
      <c r="F7" s="177"/>
      <c r="G7" s="177"/>
      <c r="H7" s="177"/>
      <c r="I7" s="177"/>
      <c r="J7" s="177"/>
      <c r="K7" s="177"/>
      <c r="L7" s="207">
        <f>N7+P7+S7+T7+U7+V7+W7</f>
        <v>1050000</v>
      </c>
      <c r="M7" s="216">
        <v>1861301</v>
      </c>
      <c r="N7" s="216">
        <v>1050000</v>
      </c>
      <c r="O7" s="216">
        <f t="shared" si="2"/>
        <v>811301</v>
      </c>
      <c r="P7" s="216">
        <v>0</v>
      </c>
      <c r="Q7" s="216">
        <f t="shared" si="3"/>
        <v>-811301</v>
      </c>
      <c r="R7" s="217" t="s">
        <v>236</v>
      </c>
      <c r="S7" s="216"/>
      <c r="T7" s="216"/>
      <c r="U7" s="216"/>
      <c r="V7" s="216"/>
      <c r="W7" s="216"/>
      <c r="X7" s="218"/>
      <c r="Z7" s="175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73">
        <f t="shared" si="4"/>
        <v>0</v>
      </c>
      <c r="AR7" s="174">
        <f>P7-AQ7</f>
        <v>0</v>
      </c>
    </row>
    <row r="8" spans="1:48" x14ac:dyDescent="0.5">
      <c r="A8" s="231" t="s">
        <v>36</v>
      </c>
      <c r="B8" s="165" t="s">
        <v>41</v>
      </c>
      <c r="C8" s="177" t="s">
        <v>42</v>
      </c>
      <c r="D8" s="235"/>
      <c r="E8" s="235"/>
      <c r="F8" s="227"/>
      <c r="G8" s="227"/>
      <c r="H8" s="177"/>
      <c r="I8" s="177"/>
      <c r="J8" s="177"/>
      <c r="K8" s="177"/>
      <c r="L8" s="207">
        <f>N8+P8+S8+T8+U8+V8+W8</f>
        <v>800000</v>
      </c>
      <c r="M8" s="216">
        <v>0</v>
      </c>
      <c r="N8" s="216">
        <v>0</v>
      </c>
      <c r="O8" s="216">
        <f t="shared" si="2"/>
        <v>0</v>
      </c>
      <c r="P8" s="216">
        <v>800000</v>
      </c>
      <c r="Q8" s="216">
        <f t="shared" si="3"/>
        <v>800000</v>
      </c>
      <c r="R8" s="217" t="s">
        <v>125</v>
      </c>
      <c r="S8" s="216"/>
      <c r="T8" s="216"/>
      <c r="U8" s="216"/>
      <c r="V8" s="216"/>
      <c r="W8" s="216"/>
      <c r="X8" s="218"/>
      <c r="Z8" s="175"/>
      <c r="AA8" s="157"/>
      <c r="AB8" s="157">
        <v>198000</v>
      </c>
      <c r="AC8" s="157"/>
      <c r="AD8" s="157"/>
      <c r="AE8" s="157"/>
      <c r="AF8" s="157"/>
      <c r="AG8" s="157"/>
      <c r="AH8" s="157"/>
      <c r="AI8" s="157"/>
      <c r="AJ8" s="157">
        <v>390000</v>
      </c>
      <c r="AK8" s="157"/>
      <c r="AL8" s="157">
        <v>212000</v>
      </c>
      <c r="AM8" s="157"/>
      <c r="AN8" s="157"/>
      <c r="AO8" s="157"/>
      <c r="AP8" s="157"/>
      <c r="AQ8" s="173">
        <f t="shared" si="4"/>
        <v>800000</v>
      </c>
      <c r="AR8" s="174">
        <f>P8-AQ8</f>
        <v>0</v>
      </c>
    </row>
    <row r="9" spans="1:48" ht="14.25" customHeight="1" x14ac:dyDescent="0.5">
      <c r="A9" s="231" t="s">
        <v>36</v>
      </c>
      <c r="B9" s="165" t="s">
        <v>49</v>
      </c>
      <c r="C9" s="177" t="s">
        <v>50</v>
      </c>
      <c r="D9" s="235"/>
      <c r="E9" s="235"/>
      <c r="F9" s="227"/>
      <c r="G9" s="227"/>
      <c r="H9" s="177"/>
      <c r="I9" s="177"/>
      <c r="J9" s="177"/>
      <c r="K9" s="177"/>
      <c r="L9" s="207">
        <f>N9+P9+S9+T9+U9+V9+W9</f>
        <v>2400000</v>
      </c>
      <c r="M9" s="216">
        <v>2268784</v>
      </c>
      <c r="N9" s="216">
        <v>50000</v>
      </c>
      <c r="O9" s="216">
        <f t="shared" si="2"/>
        <v>2218784</v>
      </c>
      <c r="P9" s="207">
        <v>2350000</v>
      </c>
      <c r="Q9" s="207">
        <f t="shared" si="3"/>
        <v>131216</v>
      </c>
      <c r="R9" s="219" t="s">
        <v>237</v>
      </c>
      <c r="S9" s="216"/>
      <c r="T9" s="216"/>
      <c r="U9" s="216"/>
      <c r="V9" s="218"/>
      <c r="W9" s="218"/>
      <c r="X9" s="218">
        <v>1204352</v>
      </c>
      <c r="Y9" s="171" t="s">
        <v>238</v>
      </c>
      <c r="Z9" s="175" t="s">
        <v>239</v>
      </c>
      <c r="AA9" s="157"/>
      <c r="AB9" s="157">
        <v>60000</v>
      </c>
      <c r="AC9" s="157"/>
      <c r="AD9" s="157"/>
      <c r="AE9" s="157"/>
      <c r="AF9" s="157"/>
      <c r="AG9" s="157"/>
      <c r="AH9" s="157"/>
      <c r="AI9" s="157"/>
      <c r="AJ9" s="157">
        <v>1700000</v>
      </c>
      <c r="AK9" s="157"/>
      <c r="AL9" s="157">
        <v>590000</v>
      </c>
      <c r="AM9" s="157"/>
      <c r="AN9" s="157"/>
      <c r="AO9" s="157"/>
      <c r="AP9" s="157"/>
      <c r="AQ9" s="173">
        <f t="shared" si="4"/>
        <v>2350000</v>
      </c>
      <c r="AR9" s="174">
        <f>P9-AQ9</f>
        <v>0</v>
      </c>
      <c r="AS9" s="174" t="s">
        <v>240</v>
      </c>
    </row>
    <row r="10" spans="1:48" ht="14.85" customHeight="1" x14ac:dyDescent="0.5">
      <c r="A10" s="230" t="s">
        <v>30</v>
      </c>
      <c r="B10" s="165" t="s">
        <v>53</v>
      </c>
      <c r="C10" s="166" t="s">
        <v>54</v>
      </c>
      <c r="D10" s="235"/>
      <c r="E10" s="228"/>
      <c r="F10" s="228"/>
      <c r="G10" s="228"/>
      <c r="H10" s="166"/>
      <c r="I10" s="166"/>
      <c r="J10" s="166"/>
      <c r="K10" s="166"/>
      <c r="L10" s="206">
        <f t="shared" ref="L10:L17" si="5">N10+P10+S10+T10+U10+V10+W10</f>
        <v>4040000</v>
      </c>
      <c r="M10" s="216">
        <v>4100000</v>
      </c>
      <c r="N10" s="216">
        <v>220000</v>
      </c>
      <c r="O10" s="216">
        <f t="shared" si="2"/>
        <v>3880000</v>
      </c>
      <c r="P10" s="216">
        <v>3820000</v>
      </c>
      <c r="Q10" s="216">
        <f t="shared" si="3"/>
        <v>-60000</v>
      </c>
      <c r="R10" s="219" t="s">
        <v>241</v>
      </c>
      <c r="S10" s="216"/>
      <c r="T10" s="216"/>
      <c r="U10" s="218"/>
      <c r="V10" s="218"/>
      <c r="W10" s="218"/>
      <c r="X10" s="220">
        <v>3304000</v>
      </c>
      <c r="Y10" s="171" t="s">
        <v>242</v>
      </c>
      <c r="Z10" s="172" t="s">
        <v>243</v>
      </c>
      <c r="AA10" s="157"/>
      <c r="AB10" s="157"/>
      <c r="AC10" s="157"/>
      <c r="AD10" s="157"/>
      <c r="AE10" s="157">
        <v>335000</v>
      </c>
      <c r="AF10" s="157"/>
      <c r="AG10" s="157"/>
      <c r="AH10" s="157" t="s">
        <v>59</v>
      </c>
      <c r="AI10" s="157"/>
      <c r="AJ10" s="157"/>
      <c r="AK10" s="157"/>
      <c r="AL10" s="157">
        <v>3485000</v>
      </c>
      <c r="AM10" s="157"/>
      <c r="AN10" s="157"/>
      <c r="AO10" s="157"/>
      <c r="AP10" s="157"/>
      <c r="AQ10" s="173">
        <f t="shared" si="4"/>
        <v>3820000</v>
      </c>
      <c r="AR10" s="174">
        <f t="shared" ref="AR10:AR26" si="6">P10-AQ10</f>
        <v>0</v>
      </c>
      <c r="AS10" s="174" t="s">
        <v>240</v>
      </c>
    </row>
    <row r="11" spans="1:48" x14ac:dyDescent="0.5">
      <c r="A11" s="230" t="s">
        <v>30</v>
      </c>
      <c r="B11" s="165" t="s">
        <v>60</v>
      </c>
      <c r="C11" s="177" t="s">
        <v>61</v>
      </c>
      <c r="D11" s="235"/>
      <c r="E11" s="235"/>
      <c r="F11" s="227"/>
      <c r="G11" s="227"/>
      <c r="H11" s="177"/>
      <c r="I11" s="177"/>
      <c r="J11" s="177"/>
      <c r="K11" s="177"/>
      <c r="L11" s="206">
        <f>N11+P11+S11+T11+U11+V11+W11</f>
        <v>2800000</v>
      </c>
      <c r="M11" s="216">
        <v>2047412</v>
      </c>
      <c r="N11" s="216">
        <v>300000</v>
      </c>
      <c r="O11" s="216">
        <f t="shared" si="2"/>
        <v>1747412</v>
      </c>
      <c r="P11" s="207">
        <v>2500000</v>
      </c>
      <c r="Q11" s="216">
        <f t="shared" si="3"/>
        <v>752588</v>
      </c>
      <c r="R11" s="217" t="s">
        <v>244</v>
      </c>
      <c r="S11" s="216"/>
      <c r="T11" s="216"/>
      <c r="U11" s="216"/>
      <c r="V11" s="218"/>
      <c r="W11" s="218"/>
      <c r="X11" s="218">
        <v>700000</v>
      </c>
      <c r="Y11" s="171" t="s">
        <v>245</v>
      </c>
      <c r="Z11" s="171" t="s">
        <v>246</v>
      </c>
      <c r="AA11" s="157"/>
      <c r="AB11" s="157"/>
      <c r="AC11" s="157"/>
      <c r="AD11" s="157" t="s">
        <v>59</v>
      </c>
      <c r="AE11" s="157">
        <v>54000</v>
      </c>
      <c r="AF11" s="157"/>
      <c r="AG11" s="157" t="s">
        <v>247</v>
      </c>
      <c r="AH11" s="157"/>
      <c r="AI11" s="157">
        <v>46000</v>
      </c>
      <c r="AJ11" s="157"/>
      <c r="AK11" s="157"/>
      <c r="AL11" s="157">
        <v>1520000</v>
      </c>
      <c r="AM11" s="157"/>
      <c r="AN11" s="157"/>
      <c r="AO11" s="157">
        <v>180000</v>
      </c>
      <c r="AP11" s="180">
        <v>700000</v>
      </c>
      <c r="AQ11" s="173">
        <f t="shared" si="4"/>
        <v>2500000</v>
      </c>
      <c r="AR11" s="174">
        <f>P11-AQ11</f>
        <v>0</v>
      </c>
    </row>
    <row r="12" spans="1:48" ht="14.7" thickBot="1" x14ac:dyDescent="0.55000000000000004">
      <c r="A12" s="232" t="s">
        <v>63</v>
      </c>
      <c r="B12" s="165" t="s">
        <v>64</v>
      </c>
      <c r="C12" s="177" t="s">
        <v>65</v>
      </c>
      <c r="D12" s="236"/>
      <c r="E12" s="177"/>
      <c r="F12" s="177"/>
      <c r="G12" s="177"/>
      <c r="H12" s="177"/>
      <c r="I12" s="177"/>
      <c r="J12" s="177"/>
      <c r="K12" s="177"/>
      <c r="L12" s="206">
        <f>N12+P12+S12+T12+U12+V12+W12</f>
        <v>3300000</v>
      </c>
      <c r="M12" s="216">
        <v>200000</v>
      </c>
      <c r="N12" s="216">
        <v>65000</v>
      </c>
      <c r="O12" s="216">
        <f>M12-N12</f>
        <v>135000</v>
      </c>
      <c r="P12" s="216">
        <v>135000</v>
      </c>
      <c r="Q12" s="216">
        <f>P12-O12</f>
        <v>0</v>
      </c>
      <c r="R12" s="217" t="s">
        <v>248</v>
      </c>
      <c r="S12" s="218">
        <v>300000</v>
      </c>
      <c r="T12" s="218">
        <v>300000</v>
      </c>
      <c r="U12" s="218">
        <v>2500000</v>
      </c>
      <c r="V12" s="218"/>
      <c r="W12" s="218"/>
      <c r="X12" s="218"/>
      <c r="AA12" s="157"/>
      <c r="AB12" s="157"/>
      <c r="AC12" s="157"/>
      <c r="AD12" s="157" t="s">
        <v>59</v>
      </c>
      <c r="AE12" s="157"/>
      <c r="AF12" s="157"/>
      <c r="AG12" s="157"/>
      <c r="AH12" s="157"/>
      <c r="AI12" s="157"/>
      <c r="AJ12" s="157"/>
      <c r="AK12" s="157"/>
      <c r="AL12" s="157">
        <v>50000</v>
      </c>
      <c r="AM12" s="157"/>
      <c r="AN12" s="157"/>
      <c r="AO12" s="157">
        <v>85000</v>
      </c>
      <c r="AP12" s="157" t="s">
        <v>59</v>
      </c>
      <c r="AQ12" s="173">
        <f>SUM(AA12:AP12)</f>
        <v>135000</v>
      </c>
      <c r="AR12" s="174">
        <f>P12-AQ12</f>
        <v>0</v>
      </c>
      <c r="AV12" s="173"/>
    </row>
    <row r="13" spans="1:48" ht="14.7" thickTop="1" x14ac:dyDescent="0.5">
      <c r="A13" s="429" t="s">
        <v>249</v>
      </c>
      <c r="B13" s="430"/>
      <c r="C13" s="431"/>
      <c r="L13" s="206"/>
      <c r="M13" s="216"/>
      <c r="N13" s="216"/>
      <c r="O13" s="216"/>
      <c r="P13" s="218"/>
      <c r="Q13" s="218"/>
      <c r="R13" s="218"/>
      <c r="S13" s="218"/>
      <c r="T13" s="218"/>
      <c r="U13" s="218"/>
      <c r="V13" s="218"/>
      <c r="W13" s="218"/>
      <c r="X13" s="218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73">
        <f t="shared" ref="AQ13:AQ49" si="7">SUM(AA13:AP13)</f>
        <v>0</v>
      </c>
      <c r="AR13" s="174">
        <f t="shared" si="6"/>
        <v>0</v>
      </c>
    </row>
    <row r="14" spans="1:48" x14ac:dyDescent="0.5">
      <c r="A14" s="230" t="s">
        <v>30</v>
      </c>
      <c r="B14" s="165" t="s">
        <v>68</v>
      </c>
      <c r="C14" s="177" t="s">
        <v>250</v>
      </c>
      <c r="D14" s="235"/>
      <c r="E14" s="235"/>
      <c r="F14" s="227"/>
      <c r="G14" s="227"/>
      <c r="H14" s="177"/>
      <c r="I14" s="177"/>
      <c r="J14" s="177"/>
      <c r="K14" s="177"/>
      <c r="L14" s="206">
        <f>N14+P14+S14+T14+U14+V14+W14</f>
        <v>6460000</v>
      </c>
      <c r="M14" s="216">
        <v>1000000</v>
      </c>
      <c r="N14" s="216">
        <v>1060000</v>
      </c>
      <c r="O14" s="216">
        <f>M14-N14</f>
        <v>-60000</v>
      </c>
      <c r="P14" s="216">
        <v>900000</v>
      </c>
      <c r="Q14" s="216">
        <f>P14</f>
        <v>900000</v>
      </c>
      <c r="R14" s="217" t="s">
        <v>251</v>
      </c>
      <c r="S14" s="216">
        <v>900000</v>
      </c>
      <c r="T14" s="216">
        <v>900000</v>
      </c>
      <c r="U14" s="216">
        <v>900000</v>
      </c>
      <c r="V14" s="216">
        <v>900000</v>
      </c>
      <c r="W14" s="218">
        <v>900000</v>
      </c>
      <c r="X14" s="218"/>
      <c r="AA14" s="157"/>
      <c r="AB14" s="157"/>
      <c r="AC14" s="157"/>
      <c r="AD14" s="157">
        <v>200000</v>
      </c>
      <c r="AE14" s="157"/>
      <c r="AF14" s="157"/>
      <c r="AG14" s="157"/>
      <c r="AH14" s="157">
        <v>500000</v>
      </c>
      <c r="AI14" s="157"/>
      <c r="AJ14" s="157"/>
      <c r="AK14" s="157"/>
      <c r="AL14" s="157">
        <v>200000</v>
      </c>
      <c r="AM14" s="157"/>
      <c r="AN14" s="157"/>
      <c r="AO14" s="157"/>
      <c r="AP14" s="157"/>
      <c r="AQ14" s="173">
        <f>SUM(AA14:AP14)</f>
        <v>900000</v>
      </c>
      <c r="AR14" s="174">
        <f>P14-AQ14</f>
        <v>0</v>
      </c>
    </row>
    <row r="15" spans="1:48" x14ac:dyDescent="0.5">
      <c r="A15" s="233" t="s">
        <v>72</v>
      </c>
      <c r="C15" s="182" t="s">
        <v>73</v>
      </c>
      <c r="D15" s="235"/>
      <c r="E15" s="235"/>
      <c r="F15" s="229"/>
      <c r="G15" s="227"/>
      <c r="L15" s="207">
        <f t="shared" ref="L15" si="8">N15+P15+S15+T15+U15+V15+W15</f>
        <v>500000</v>
      </c>
      <c r="M15" s="216">
        <v>0</v>
      </c>
      <c r="N15" s="216">
        <v>75000</v>
      </c>
      <c r="O15" s="216">
        <f t="shared" ref="O15" si="9">M15-N15</f>
        <v>-75000</v>
      </c>
      <c r="P15" s="216">
        <v>425000</v>
      </c>
      <c r="Q15" s="216">
        <f t="shared" ref="Q15" si="10">P15-O15</f>
        <v>500000</v>
      </c>
      <c r="R15" s="217" t="s">
        <v>252</v>
      </c>
      <c r="S15" s="216"/>
      <c r="T15" s="216"/>
      <c r="U15" s="216"/>
      <c r="V15" s="216"/>
      <c r="W15" s="216"/>
      <c r="X15" s="216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>
        <v>425000</v>
      </c>
      <c r="AP15" s="157"/>
      <c r="AQ15" s="173">
        <f>SUM(AA15:AP15)</f>
        <v>425000</v>
      </c>
      <c r="AR15" s="174">
        <f t="shared" ref="AR15" si="11">P15-AQ15</f>
        <v>0</v>
      </c>
    </row>
    <row r="16" spans="1:48" x14ac:dyDescent="0.5">
      <c r="A16" s="230" t="s">
        <v>30</v>
      </c>
      <c r="B16" s="165" t="s">
        <v>76</v>
      </c>
      <c r="C16" s="177" t="s">
        <v>77</v>
      </c>
      <c r="D16" s="235"/>
      <c r="E16" s="235"/>
      <c r="F16" s="227"/>
      <c r="G16" s="227"/>
      <c r="H16" s="235"/>
      <c r="I16" s="227"/>
      <c r="J16" s="177"/>
      <c r="K16" s="177"/>
      <c r="L16" s="207">
        <f>N16+P16+S16+T16+U16+V16+W16</f>
        <v>1808000</v>
      </c>
      <c r="M16" s="216">
        <v>308000</v>
      </c>
      <c r="N16" s="216">
        <v>308000</v>
      </c>
      <c r="O16" s="216">
        <f>M16-N16</f>
        <v>0</v>
      </c>
      <c r="P16" s="216">
        <v>300000</v>
      </c>
      <c r="Q16" s="216">
        <f>P16-O16</f>
        <v>300000</v>
      </c>
      <c r="R16" s="217" t="s">
        <v>253</v>
      </c>
      <c r="S16" s="216">
        <v>1200000</v>
      </c>
      <c r="T16" s="216"/>
      <c r="U16" s="216"/>
      <c r="V16" s="218"/>
      <c r="W16" s="218"/>
      <c r="X16" s="218"/>
      <c r="AA16" s="157"/>
      <c r="AB16" s="157"/>
      <c r="AC16" s="157"/>
      <c r="AD16" s="157"/>
      <c r="AE16" s="157">
        <v>0</v>
      </c>
      <c r="AF16" s="157"/>
      <c r="AG16" s="157"/>
      <c r="AH16" s="157">
        <v>300000</v>
      </c>
      <c r="AI16" s="157" t="s">
        <v>59</v>
      </c>
      <c r="AJ16" s="157"/>
      <c r="AK16" s="157"/>
      <c r="AL16" s="157" t="s">
        <v>59</v>
      </c>
      <c r="AM16" s="157"/>
      <c r="AN16" s="157" t="s">
        <v>59</v>
      </c>
      <c r="AO16" s="157" t="s">
        <v>59</v>
      </c>
      <c r="AP16" s="157"/>
      <c r="AQ16" s="173">
        <f>SUM(AA16:AP16)</f>
        <v>300000</v>
      </c>
      <c r="AR16" s="174">
        <f>P16-AQ16</f>
        <v>0</v>
      </c>
    </row>
    <row r="17" spans="1:45" x14ac:dyDescent="0.5">
      <c r="A17" s="230" t="s">
        <v>30</v>
      </c>
      <c r="B17" s="165" t="s">
        <v>79</v>
      </c>
      <c r="C17" s="177" t="s">
        <v>254</v>
      </c>
      <c r="D17" s="235"/>
      <c r="E17" s="235"/>
      <c r="F17" s="235"/>
      <c r="G17" s="235"/>
      <c r="H17" s="235"/>
      <c r="I17" s="235"/>
      <c r="J17" s="177"/>
      <c r="K17" s="177"/>
      <c r="L17" s="207">
        <f t="shared" si="5"/>
        <v>3700000</v>
      </c>
      <c r="M17" s="216">
        <v>0</v>
      </c>
      <c r="N17" s="216">
        <v>0</v>
      </c>
      <c r="O17" s="216">
        <f t="shared" ref="O17:O51" si="12">M17-N17</f>
        <v>0</v>
      </c>
      <c r="P17" s="216">
        <v>400000</v>
      </c>
      <c r="Q17" s="216">
        <f t="shared" ref="Q17:Q26" si="13">P17-O17</f>
        <v>400000</v>
      </c>
      <c r="R17" s="217" t="s">
        <v>255</v>
      </c>
      <c r="S17" s="216">
        <v>300000</v>
      </c>
      <c r="T17" s="216">
        <v>3000000</v>
      </c>
      <c r="U17" s="216"/>
      <c r="V17" s="218"/>
      <c r="W17" s="218"/>
      <c r="X17" s="218"/>
      <c r="AA17" s="157"/>
      <c r="AB17" s="157"/>
      <c r="AC17" s="157"/>
      <c r="AD17" s="157"/>
      <c r="AE17" s="157"/>
      <c r="AF17" s="157" t="s">
        <v>59</v>
      </c>
      <c r="AG17" s="157"/>
      <c r="AH17" s="157">
        <v>400000</v>
      </c>
      <c r="AI17" s="157" t="s">
        <v>59</v>
      </c>
      <c r="AJ17" s="157"/>
      <c r="AK17" s="157"/>
      <c r="AL17" s="157" t="s">
        <v>59</v>
      </c>
      <c r="AM17" s="157"/>
      <c r="AN17" s="157" t="s">
        <v>59</v>
      </c>
      <c r="AO17" s="157" t="s">
        <v>59</v>
      </c>
      <c r="AP17" s="157"/>
      <c r="AQ17" s="173">
        <f t="shared" si="7"/>
        <v>400000</v>
      </c>
      <c r="AR17" s="174">
        <f t="shared" si="6"/>
        <v>0</v>
      </c>
    </row>
    <row r="18" spans="1:45" x14ac:dyDescent="0.5">
      <c r="A18" s="233" t="s">
        <v>72</v>
      </c>
      <c r="B18" s="165" t="s">
        <v>86</v>
      </c>
      <c r="C18" s="182" t="s">
        <v>87</v>
      </c>
      <c r="D18" s="235"/>
      <c r="E18" s="235"/>
      <c r="F18" s="235"/>
      <c r="G18" s="235"/>
      <c r="H18" s="235"/>
      <c r="I18" s="227"/>
      <c r="L18" s="207">
        <f>N18+P18+S18+T18+U18+V18+W18</f>
        <v>6661000</v>
      </c>
      <c r="M18" s="216">
        <v>250000</v>
      </c>
      <c r="N18" s="216">
        <v>30000</v>
      </c>
      <c r="O18" s="216">
        <f>M18-N18</f>
        <v>220000</v>
      </c>
      <c r="P18" s="216">
        <v>1131000</v>
      </c>
      <c r="Q18" s="216">
        <f>P18-O18</f>
        <v>911000</v>
      </c>
      <c r="R18" s="217" t="s">
        <v>256</v>
      </c>
      <c r="S18" s="216">
        <v>5500000</v>
      </c>
      <c r="T18" s="216"/>
      <c r="U18" s="216"/>
      <c r="V18" s="216"/>
      <c r="W18" s="216"/>
      <c r="X18" s="216">
        <v>911000</v>
      </c>
      <c r="Y18" s="171" t="s">
        <v>257</v>
      </c>
      <c r="Z18" s="171" t="s">
        <v>258</v>
      </c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>
        <v>1131000</v>
      </c>
      <c r="AP18" s="157"/>
      <c r="AQ18" s="173">
        <f>SUM(AA18:AP18)</f>
        <v>1131000</v>
      </c>
      <c r="AR18" s="174">
        <f>P18-AQ18</f>
        <v>0</v>
      </c>
    </row>
    <row r="19" spans="1:45" ht="14.7" thickBot="1" x14ac:dyDescent="0.55000000000000004">
      <c r="A19" s="231" t="s">
        <v>36</v>
      </c>
      <c r="B19" s="165" t="s">
        <v>149</v>
      </c>
      <c r="C19" s="177" t="s">
        <v>150</v>
      </c>
      <c r="D19" s="235"/>
      <c r="E19" s="235"/>
      <c r="F19" s="235"/>
      <c r="G19" s="235"/>
      <c r="H19" s="235"/>
      <c r="I19" s="235"/>
      <c r="J19" s="177"/>
      <c r="K19" s="177"/>
      <c r="L19" s="207">
        <f>N19+P19+S19+T19+U19+V19+W19</f>
        <v>3459000</v>
      </c>
      <c r="M19" s="216">
        <v>459000</v>
      </c>
      <c r="N19" s="216">
        <v>120000</v>
      </c>
      <c r="O19" s="216">
        <f>M19-N19</f>
        <v>339000</v>
      </c>
      <c r="P19" s="216">
        <f>O19</f>
        <v>339000</v>
      </c>
      <c r="Q19" s="216">
        <f>P19-O19</f>
        <v>0</v>
      </c>
      <c r="R19" s="217" t="s">
        <v>259</v>
      </c>
      <c r="S19" s="216"/>
      <c r="T19" s="216">
        <v>3000000</v>
      </c>
      <c r="U19" s="216"/>
      <c r="V19" s="218"/>
      <c r="W19" s="218"/>
      <c r="X19" s="216">
        <v>2000000</v>
      </c>
      <c r="Y19" s="171" t="s">
        <v>238</v>
      </c>
      <c r="Z19" s="175" t="s">
        <v>260</v>
      </c>
      <c r="AA19" s="157"/>
      <c r="AB19" s="157">
        <v>339000</v>
      </c>
      <c r="AC19" s="157"/>
      <c r="AD19" s="157"/>
      <c r="AE19" s="157"/>
      <c r="AF19" s="157"/>
      <c r="AG19" s="157"/>
      <c r="AH19" s="157"/>
      <c r="AI19" s="157"/>
      <c r="AJ19" s="157"/>
      <c r="AK19" s="157"/>
      <c r="AL19" s="157" t="s">
        <v>59</v>
      </c>
      <c r="AM19" s="157"/>
      <c r="AN19" s="157"/>
      <c r="AO19" s="157"/>
      <c r="AP19" s="157"/>
      <c r="AQ19" s="173">
        <f>SUM(AA19:AP19)</f>
        <v>339000</v>
      </c>
      <c r="AR19" s="174">
        <f>P19-AQ19</f>
        <v>0</v>
      </c>
      <c r="AS19" s="174" t="s">
        <v>240</v>
      </c>
    </row>
    <row r="20" spans="1:45" ht="14.7" thickTop="1" x14ac:dyDescent="0.5">
      <c r="A20" s="429" t="s">
        <v>92</v>
      </c>
      <c r="B20" s="430"/>
      <c r="C20" s="431"/>
      <c r="L20" s="206"/>
      <c r="M20" s="216"/>
      <c r="N20" s="216"/>
      <c r="O20" s="216"/>
      <c r="P20" s="218"/>
      <c r="Q20" s="218"/>
      <c r="R20" s="218"/>
      <c r="S20" s="218"/>
      <c r="T20" s="218"/>
      <c r="U20" s="218"/>
      <c r="V20" s="218"/>
      <c r="W20" s="218"/>
      <c r="X20" s="218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73">
        <f t="shared" ref="AQ20" si="14">SUM(AA20:AP20)</f>
        <v>0</v>
      </c>
      <c r="AR20" s="174">
        <f t="shared" ref="AR20" si="15">P20-AQ20</f>
        <v>0</v>
      </c>
    </row>
    <row r="21" spans="1:45" x14ac:dyDescent="0.5">
      <c r="A21" s="230" t="s">
        <v>30</v>
      </c>
      <c r="C21" s="177" t="s">
        <v>93</v>
      </c>
      <c r="D21" s="177"/>
      <c r="E21" s="235"/>
      <c r="F21" s="235"/>
      <c r="G21" s="227"/>
      <c r="H21" s="177"/>
      <c r="I21" s="177"/>
      <c r="J21" s="177"/>
      <c r="K21" s="177"/>
      <c r="L21" s="206">
        <v>100000</v>
      </c>
      <c r="M21" s="216">
        <v>100000</v>
      </c>
      <c r="N21" s="216">
        <v>155000</v>
      </c>
      <c r="O21" s="216">
        <f t="shared" si="12"/>
        <v>-55000</v>
      </c>
      <c r="P21" s="216">
        <v>100000</v>
      </c>
      <c r="Q21" s="216">
        <f>P21</f>
        <v>100000</v>
      </c>
      <c r="R21" s="217" t="s">
        <v>261</v>
      </c>
      <c r="S21" s="216">
        <v>100000</v>
      </c>
      <c r="T21" s="216">
        <v>100000</v>
      </c>
      <c r="U21" s="216">
        <v>100000</v>
      </c>
      <c r="V21" s="216">
        <v>100000</v>
      </c>
      <c r="W21" s="218">
        <v>100000</v>
      </c>
      <c r="X21" s="218"/>
      <c r="AA21" s="157"/>
      <c r="AB21" s="157"/>
      <c r="AC21" s="157"/>
      <c r="AD21" s="157">
        <v>100000</v>
      </c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73">
        <f t="shared" si="7"/>
        <v>100000</v>
      </c>
      <c r="AR21" s="174">
        <f t="shared" si="6"/>
        <v>0</v>
      </c>
    </row>
    <row r="22" spans="1:45" x14ac:dyDescent="0.5">
      <c r="A22" s="230" t="s">
        <v>30</v>
      </c>
      <c r="B22" s="165" t="s">
        <v>95</v>
      </c>
      <c r="C22" s="177" t="s">
        <v>96</v>
      </c>
      <c r="D22" s="236"/>
      <c r="E22" s="236"/>
      <c r="F22" s="236"/>
      <c r="G22" s="236"/>
      <c r="H22" s="236"/>
      <c r="I22" s="236"/>
      <c r="J22" s="177"/>
      <c r="K22" s="177"/>
      <c r="L22" s="206">
        <f>N22+P22+S22+T22+U22+V22+W22</f>
        <v>650000</v>
      </c>
      <c r="M22" s="207">
        <v>100000</v>
      </c>
      <c r="N22" s="207">
        <v>50000</v>
      </c>
      <c r="O22" s="216">
        <f>M22-N22</f>
        <v>50000</v>
      </c>
      <c r="P22" s="207">
        <v>100000</v>
      </c>
      <c r="Q22" s="216">
        <f>P22-O22</f>
        <v>50000</v>
      </c>
      <c r="R22" s="217" t="s">
        <v>262</v>
      </c>
      <c r="S22" s="216">
        <v>100000</v>
      </c>
      <c r="T22" s="216">
        <v>100000</v>
      </c>
      <c r="U22" s="216">
        <v>100000</v>
      </c>
      <c r="V22" s="216">
        <v>100000</v>
      </c>
      <c r="W22" s="218">
        <v>100000</v>
      </c>
      <c r="X22" s="218"/>
      <c r="AA22" s="157"/>
      <c r="AB22" s="157"/>
      <c r="AC22" s="157"/>
      <c r="AD22" s="157">
        <v>100000</v>
      </c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73">
        <f>SUM(AA22:AP22)</f>
        <v>100000</v>
      </c>
      <c r="AR22" s="174">
        <f>P22-AQ22</f>
        <v>0</v>
      </c>
    </row>
    <row r="23" spans="1:45" ht="14.7" thickBot="1" x14ac:dyDescent="0.55000000000000004">
      <c r="A23" s="230" t="s">
        <v>30</v>
      </c>
      <c r="C23" s="177" t="s">
        <v>98</v>
      </c>
      <c r="D23" s="236"/>
      <c r="E23" s="236"/>
      <c r="F23" s="236"/>
      <c r="G23" s="236"/>
      <c r="H23" s="236"/>
      <c r="I23" s="236"/>
      <c r="J23" s="177"/>
      <c r="K23" s="177"/>
      <c r="L23" s="206"/>
      <c r="M23" s="216"/>
      <c r="N23" s="216"/>
      <c r="O23" s="216"/>
      <c r="P23" s="216"/>
      <c r="Q23" s="216"/>
      <c r="R23" s="217"/>
      <c r="S23" s="216"/>
      <c r="T23" s="216"/>
      <c r="U23" s="216"/>
      <c r="V23" s="216"/>
      <c r="W23" s="218"/>
      <c r="X23" s="21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73"/>
    </row>
    <row r="24" spans="1:45" ht="14.7" thickTop="1" x14ac:dyDescent="0.5">
      <c r="A24" s="429" t="s">
        <v>263</v>
      </c>
      <c r="B24" s="430"/>
      <c r="C24" s="431"/>
      <c r="L24" s="206"/>
      <c r="M24" s="216"/>
      <c r="N24" s="216"/>
      <c r="O24" s="216"/>
      <c r="P24" s="218"/>
      <c r="Q24" s="218"/>
      <c r="R24" s="218"/>
      <c r="S24" s="218"/>
      <c r="T24" s="218"/>
      <c r="U24" s="218"/>
      <c r="V24" s="218"/>
      <c r="W24" s="218"/>
      <c r="X24" s="21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73">
        <f t="shared" si="7"/>
        <v>0</v>
      </c>
      <c r="AR24" s="174">
        <f t="shared" si="6"/>
        <v>0</v>
      </c>
    </row>
    <row r="25" spans="1:45" x14ac:dyDescent="0.5">
      <c r="A25" s="230" t="s">
        <v>30</v>
      </c>
      <c r="B25" s="165" t="s">
        <v>89</v>
      </c>
      <c r="C25" s="166" t="s">
        <v>90</v>
      </c>
      <c r="D25" s="235"/>
      <c r="E25" s="235"/>
      <c r="F25" s="235"/>
      <c r="G25" s="235"/>
      <c r="H25" s="228"/>
      <c r="I25" s="228"/>
      <c r="J25" s="166"/>
      <c r="K25" s="166"/>
      <c r="L25" s="206">
        <f>N25+P25+S25+T25+U25+V25+W25</f>
        <v>2700000</v>
      </c>
      <c r="M25" s="216">
        <v>200000</v>
      </c>
      <c r="N25" s="216">
        <v>200000</v>
      </c>
      <c r="O25" s="216">
        <f>M25-N25</f>
        <v>0</v>
      </c>
      <c r="P25" s="216">
        <v>500000</v>
      </c>
      <c r="Q25" s="216">
        <f>P25-O25</f>
        <v>500000</v>
      </c>
      <c r="R25" s="217" t="s">
        <v>264</v>
      </c>
      <c r="S25" s="216">
        <v>2000000</v>
      </c>
      <c r="T25" s="216"/>
      <c r="U25" s="218"/>
      <c r="V25" s="218"/>
      <c r="W25" s="218"/>
      <c r="X25" s="218">
        <v>2500000</v>
      </c>
      <c r="Y25" s="171" t="s">
        <v>265</v>
      </c>
      <c r="Z25" s="175" t="s">
        <v>266</v>
      </c>
      <c r="AA25" s="157"/>
      <c r="AB25" s="157"/>
      <c r="AC25" s="157"/>
      <c r="AD25" s="157"/>
      <c r="AE25" s="157" t="s">
        <v>59</v>
      </c>
      <c r="AF25" s="157"/>
      <c r="AG25" s="157"/>
      <c r="AH25" s="157" t="s">
        <v>59</v>
      </c>
      <c r="AI25" s="157"/>
      <c r="AJ25" s="157"/>
      <c r="AK25" s="157"/>
      <c r="AL25" s="157">
        <v>500000</v>
      </c>
      <c r="AM25" s="157"/>
      <c r="AN25" s="157"/>
      <c r="AO25" s="157"/>
      <c r="AP25" s="157"/>
      <c r="AQ25" s="173">
        <f>SUM(AA25:AP25)</f>
        <v>500000</v>
      </c>
      <c r="AR25" s="174">
        <f>P25-AQ25</f>
        <v>0</v>
      </c>
      <c r="AS25" s="174" t="s">
        <v>240</v>
      </c>
    </row>
    <row r="26" spans="1:45" x14ac:dyDescent="0.5">
      <c r="A26" s="230" t="s">
        <v>30</v>
      </c>
      <c r="B26" s="165" t="s">
        <v>267</v>
      </c>
      <c r="C26" s="177" t="s">
        <v>268</v>
      </c>
      <c r="D26" s="236"/>
      <c r="E26" s="177"/>
      <c r="F26" s="177"/>
      <c r="G26" s="177"/>
      <c r="H26" s="177"/>
      <c r="I26" s="177"/>
      <c r="J26" s="177"/>
      <c r="K26" s="177"/>
      <c r="L26" s="206">
        <v>100000</v>
      </c>
      <c r="M26" s="216">
        <v>150000</v>
      </c>
      <c r="N26" s="216">
        <v>150000</v>
      </c>
      <c r="O26" s="216">
        <f t="shared" si="12"/>
        <v>0</v>
      </c>
      <c r="P26" s="216">
        <v>100000</v>
      </c>
      <c r="Q26" s="216">
        <f t="shared" si="13"/>
        <v>100000</v>
      </c>
      <c r="R26" s="217" t="s">
        <v>269</v>
      </c>
      <c r="S26" s="216">
        <v>100000</v>
      </c>
      <c r="T26" s="216">
        <v>100000</v>
      </c>
      <c r="U26" s="216">
        <v>100000</v>
      </c>
      <c r="V26" s="216">
        <v>100000</v>
      </c>
      <c r="W26" s="218">
        <v>100000</v>
      </c>
      <c r="X26" s="218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 t="s">
        <v>59</v>
      </c>
      <c r="AM26" s="157"/>
      <c r="AN26" s="157">
        <v>100000</v>
      </c>
      <c r="AO26" s="157"/>
      <c r="AP26" s="157"/>
      <c r="AQ26" s="173">
        <f t="shared" si="7"/>
        <v>100000</v>
      </c>
      <c r="AR26" s="174">
        <f t="shared" si="6"/>
        <v>0</v>
      </c>
    </row>
    <row r="27" spans="1:45" ht="14.7" thickBot="1" x14ac:dyDescent="0.55000000000000004">
      <c r="A27" s="230" t="s">
        <v>30</v>
      </c>
      <c r="B27" s="214"/>
      <c r="C27" s="215" t="s">
        <v>270</v>
      </c>
      <c r="D27" s="236"/>
      <c r="E27" s="236"/>
      <c r="F27" s="177"/>
      <c r="G27" s="177"/>
      <c r="H27" s="177"/>
      <c r="I27" s="177"/>
      <c r="J27" s="177"/>
      <c r="K27" s="177"/>
      <c r="L27" s="206"/>
      <c r="M27" s="216"/>
      <c r="N27" s="216"/>
      <c r="O27" s="216"/>
      <c r="P27" s="216"/>
      <c r="Q27" s="216"/>
      <c r="R27" s="217"/>
      <c r="S27" s="216"/>
      <c r="T27" s="216"/>
      <c r="U27" s="216"/>
      <c r="V27" s="216"/>
      <c r="W27" s="218"/>
      <c r="X27" s="21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73"/>
    </row>
    <row r="28" spans="1:45" ht="14.7" thickTop="1" x14ac:dyDescent="0.5">
      <c r="A28" s="429" t="s">
        <v>103</v>
      </c>
      <c r="B28" s="430"/>
      <c r="C28" s="431"/>
      <c r="L28" s="206"/>
      <c r="M28" s="216"/>
      <c r="N28" s="216"/>
      <c r="O28" s="216"/>
      <c r="P28" s="218"/>
      <c r="Q28" s="218"/>
      <c r="R28" s="218"/>
      <c r="S28" s="218"/>
      <c r="T28" s="218"/>
      <c r="U28" s="218"/>
      <c r="V28" s="218"/>
      <c r="W28" s="218"/>
      <c r="X28" s="21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73">
        <f t="shared" ref="AQ28" si="16">SUM(AA28:AP28)</f>
        <v>0</v>
      </c>
      <c r="AR28" s="174">
        <f t="shared" ref="AR28" si="17">P28-AQ28</f>
        <v>0</v>
      </c>
    </row>
    <row r="29" spans="1:45" x14ac:dyDescent="0.5">
      <c r="A29" s="233" t="s">
        <v>72</v>
      </c>
      <c r="B29" s="165" t="s">
        <v>104</v>
      </c>
      <c r="C29" s="182" t="s">
        <v>105</v>
      </c>
      <c r="D29" s="236"/>
      <c r="E29" s="236"/>
      <c r="F29" s="235"/>
      <c r="G29" s="235"/>
      <c r="H29" s="235"/>
      <c r="I29" s="235"/>
      <c r="L29" s="207">
        <f>N29+P29+S29+T29+U29+V29+W29</f>
        <v>10600000</v>
      </c>
      <c r="M29" s="216">
        <v>0</v>
      </c>
      <c r="N29" s="216">
        <v>0</v>
      </c>
      <c r="O29" s="216">
        <f>M29-N29</f>
        <v>0</v>
      </c>
      <c r="P29" s="216">
        <v>500000</v>
      </c>
      <c r="Q29" s="216">
        <f>P29-O29</f>
        <v>500000</v>
      </c>
      <c r="R29" s="223" t="s">
        <v>271</v>
      </c>
      <c r="S29" s="216">
        <v>500000</v>
      </c>
      <c r="T29" s="216">
        <v>600000</v>
      </c>
      <c r="U29" s="216">
        <v>9000000</v>
      </c>
      <c r="V29" s="216"/>
      <c r="W29" s="216"/>
      <c r="X29" s="216">
        <v>500000</v>
      </c>
      <c r="Y29" s="171" t="s">
        <v>272</v>
      </c>
      <c r="Z29" s="171" t="s">
        <v>273</v>
      </c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>
        <v>500000</v>
      </c>
      <c r="AP29" s="157"/>
      <c r="AQ29" s="173">
        <f>SUM(AA29:AP29)</f>
        <v>500000</v>
      </c>
      <c r="AR29" s="174">
        <f>P29-AQ29</f>
        <v>0</v>
      </c>
    </row>
    <row r="30" spans="1:45" ht="14.7" thickBot="1" x14ac:dyDescent="0.55000000000000004">
      <c r="A30" s="233" t="s">
        <v>72</v>
      </c>
      <c r="B30" s="165" t="s">
        <v>109</v>
      </c>
      <c r="C30" s="182" t="s">
        <v>110</v>
      </c>
      <c r="D30" s="236"/>
      <c r="E30" s="236"/>
      <c r="F30" s="235"/>
      <c r="G30" s="235"/>
      <c r="H30" s="235"/>
      <c r="I30" s="235"/>
      <c r="L30" s="207">
        <f>N30+P30+S30+T30+U30+V30+W30</f>
        <v>3400000</v>
      </c>
      <c r="M30" s="216">
        <v>0</v>
      </c>
      <c r="N30" s="216">
        <v>0</v>
      </c>
      <c r="O30" s="216">
        <f>M30-N30</f>
        <v>0</v>
      </c>
      <c r="P30" s="216">
        <v>280000</v>
      </c>
      <c r="Q30" s="216">
        <f>P30-O30</f>
        <v>280000</v>
      </c>
      <c r="R30" s="217" t="s">
        <v>274</v>
      </c>
      <c r="S30" s="218">
        <v>300000</v>
      </c>
      <c r="T30" s="216">
        <v>2820000</v>
      </c>
      <c r="U30" s="216"/>
      <c r="V30" s="216"/>
      <c r="W30" s="216"/>
      <c r="X30" s="216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>
        <v>280000</v>
      </c>
      <c r="AP30" s="157"/>
      <c r="AQ30" s="173">
        <f>SUM(AA30:AP30)</f>
        <v>280000</v>
      </c>
      <c r="AR30" s="174">
        <f>P30-AQ30</f>
        <v>0</v>
      </c>
    </row>
    <row r="31" spans="1:45" ht="14.7" thickTop="1" x14ac:dyDescent="0.5">
      <c r="A31" s="429" t="s">
        <v>117</v>
      </c>
      <c r="B31" s="430"/>
      <c r="C31" s="431"/>
      <c r="L31" s="206"/>
      <c r="M31" s="216"/>
      <c r="N31" s="216"/>
      <c r="O31" s="216"/>
      <c r="P31" s="218"/>
      <c r="Q31" s="218"/>
      <c r="R31" s="218"/>
      <c r="S31" s="218"/>
      <c r="T31" s="218"/>
      <c r="U31" s="218"/>
      <c r="V31" s="218"/>
      <c r="W31" s="218"/>
      <c r="X31" s="218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73">
        <f t="shared" ref="AQ31" si="18">SUM(AA31:AP31)</f>
        <v>0</v>
      </c>
      <c r="AR31" s="174">
        <f t="shared" ref="AR31:AR33" si="19">P31-AQ31</f>
        <v>0</v>
      </c>
    </row>
    <row r="32" spans="1:45" x14ac:dyDescent="0.5">
      <c r="A32" s="231" t="s">
        <v>36</v>
      </c>
      <c r="B32" s="165" t="s">
        <v>118</v>
      </c>
      <c r="C32" s="177" t="s">
        <v>119</v>
      </c>
      <c r="D32" s="177"/>
      <c r="E32" s="177"/>
      <c r="F32" s="177"/>
      <c r="G32" s="177"/>
      <c r="H32" s="177"/>
      <c r="I32" s="177"/>
      <c r="J32" s="177"/>
      <c r="K32" s="177"/>
      <c r="L32" s="207">
        <f>N32+P32+S32+T32+U32+V32+W32</f>
        <v>935000</v>
      </c>
      <c r="M32" s="216">
        <v>10000</v>
      </c>
      <c r="N32" s="216">
        <v>935000</v>
      </c>
      <c r="O32" s="216">
        <f>M32-N32</f>
        <v>-925000</v>
      </c>
      <c r="P32" s="216">
        <v>0</v>
      </c>
      <c r="Q32" s="216">
        <f>P32</f>
        <v>0</v>
      </c>
      <c r="R32" s="217" t="s">
        <v>275</v>
      </c>
      <c r="S32" s="216"/>
      <c r="T32" s="216"/>
      <c r="U32" s="216"/>
      <c r="V32" s="216"/>
      <c r="W32" s="207"/>
      <c r="X32" s="218"/>
      <c r="Z32" s="175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73">
        <f>SUM(AA32:AP32)</f>
        <v>0</v>
      </c>
      <c r="AR32" s="174">
        <f>P32-AQ32</f>
        <v>0</v>
      </c>
    </row>
    <row r="33" spans="1:44" x14ac:dyDescent="0.5">
      <c r="A33" s="231" t="s">
        <v>36</v>
      </c>
      <c r="B33" s="165" t="s">
        <v>122</v>
      </c>
      <c r="C33" s="177" t="s">
        <v>123</v>
      </c>
      <c r="D33" s="177"/>
      <c r="E33" s="177"/>
      <c r="F33" s="177"/>
      <c r="G33" s="177"/>
      <c r="H33" s="177"/>
      <c r="I33" s="177"/>
      <c r="J33" s="177"/>
      <c r="K33" s="177"/>
      <c r="L33" s="207">
        <v>25000</v>
      </c>
      <c r="M33" s="216">
        <v>10000</v>
      </c>
      <c r="N33" s="216">
        <v>2150</v>
      </c>
      <c r="O33" s="216">
        <f t="shared" si="12"/>
        <v>7850</v>
      </c>
      <c r="P33" s="216">
        <f>O33+15000</f>
        <v>22850</v>
      </c>
      <c r="Q33" s="216">
        <f t="shared" ref="Q33" si="20">P33-O33</f>
        <v>15000</v>
      </c>
      <c r="R33" s="217" t="s">
        <v>276</v>
      </c>
      <c r="S33" s="216"/>
      <c r="T33" s="216"/>
      <c r="U33" s="216"/>
      <c r="V33" s="216"/>
      <c r="W33" s="216"/>
      <c r="X33" s="216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>
        <v>22850</v>
      </c>
      <c r="AK33" s="157"/>
      <c r="AL33" s="157"/>
      <c r="AM33" s="157"/>
      <c r="AN33" s="157"/>
      <c r="AO33" s="157"/>
      <c r="AP33" s="157"/>
      <c r="AQ33" s="173">
        <f t="shared" si="7"/>
        <v>22850</v>
      </c>
      <c r="AR33" s="174">
        <f t="shared" si="19"/>
        <v>0</v>
      </c>
    </row>
    <row r="34" spans="1:44" x14ac:dyDescent="0.5">
      <c r="A34" s="231" t="s">
        <v>36</v>
      </c>
      <c r="B34" s="165" t="s">
        <v>126</v>
      </c>
      <c r="C34" s="177" t="s">
        <v>277</v>
      </c>
      <c r="D34" s="177"/>
      <c r="E34" s="177"/>
      <c r="F34" s="177"/>
      <c r="G34" s="177"/>
      <c r="H34" s="177"/>
      <c r="I34" s="177"/>
      <c r="J34" s="177"/>
      <c r="K34" s="177"/>
      <c r="L34" s="207">
        <f>N34+P34+S34+T34+U34+V34+W34</f>
        <v>4125000</v>
      </c>
      <c r="M34" s="216">
        <v>160000</v>
      </c>
      <c r="N34" s="216">
        <v>0</v>
      </c>
      <c r="O34" s="216">
        <f t="shared" ref="O34:O40" si="21">M34-N34</f>
        <v>160000</v>
      </c>
      <c r="P34" s="216">
        <v>160000</v>
      </c>
      <c r="Q34" s="216">
        <f>P34-O34</f>
        <v>0</v>
      </c>
      <c r="R34" s="217" t="s">
        <v>248</v>
      </c>
      <c r="S34" s="216">
        <v>850000</v>
      </c>
      <c r="T34" s="216">
        <v>3115000</v>
      </c>
      <c r="U34" s="216"/>
      <c r="V34" s="216"/>
      <c r="W34" s="216"/>
      <c r="X34" s="218" t="s">
        <v>278</v>
      </c>
      <c r="Y34" s="171" t="s">
        <v>279</v>
      </c>
      <c r="Z34" s="175" t="s">
        <v>280</v>
      </c>
      <c r="AA34" s="157">
        <v>54000</v>
      </c>
      <c r="AB34" s="157"/>
      <c r="AC34" s="157"/>
      <c r="AD34" s="157"/>
      <c r="AE34" s="157"/>
      <c r="AF34" s="157"/>
      <c r="AG34" s="157"/>
      <c r="AH34" s="157"/>
      <c r="AI34" s="157"/>
      <c r="AJ34" s="157">
        <v>106000</v>
      </c>
      <c r="AK34" s="157" t="s">
        <v>59</v>
      </c>
      <c r="AL34" s="157"/>
      <c r="AM34" s="157"/>
      <c r="AN34" s="157"/>
      <c r="AO34" s="157"/>
      <c r="AP34" s="157"/>
      <c r="AQ34" s="173">
        <f t="shared" ref="AQ34:AQ40" si="22">SUM(AA34:AP34)</f>
        <v>160000</v>
      </c>
      <c r="AR34" s="174">
        <f t="shared" ref="AR34:AR40" si="23">P34-AQ34</f>
        <v>0</v>
      </c>
    </row>
    <row r="35" spans="1:44" x14ac:dyDescent="0.5">
      <c r="A35" s="231" t="s">
        <v>36</v>
      </c>
      <c r="B35" s="165" t="s">
        <v>129</v>
      </c>
      <c r="C35" s="177" t="s">
        <v>130</v>
      </c>
      <c r="D35" s="177"/>
      <c r="E35" s="177"/>
      <c r="F35" s="177"/>
      <c r="G35" s="177"/>
      <c r="H35" s="177"/>
      <c r="I35" s="177"/>
      <c r="J35" s="177"/>
      <c r="K35" s="177"/>
      <c r="L35" s="207">
        <f>N35+P35+S35+T35+U35+V35+W35</f>
        <v>170000</v>
      </c>
      <c r="M35" s="216">
        <v>0</v>
      </c>
      <c r="N35" s="216">
        <v>170000</v>
      </c>
      <c r="O35" s="216">
        <f t="shared" si="21"/>
        <v>-170000</v>
      </c>
      <c r="P35" s="207">
        <v>0</v>
      </c>
      <c r="Q35" s="207">
        <f>P35</f>
        <v>0</v>
      </c>
      <c r="R35" s="217" t="s">
        <v>125</v>
      </c>
      <c r="S35" s="216"/>
      <c r="T35" s="216"/>
      <c r="U35" s="216"/>
      <c r="V35" s="216"/>
      <c r="W35" s="216"/>
      <c r="X35" s="218"/>
      <c r="Y35" s="183"/>
      <c r="Z35" s="175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73">
        <f t="shared" si="22"/>
        <v>0</v>
      </c>
      <c r="AR35" s="174">
        <f t="shared" si="23"/>
        <v>0</v>
      </c>
    </row>
    <row r="36" spans="1:44" x14ac:dyDescent="0.5">
      <c r="A36" s="231" t="s">
        <v>36</v>
      </c>
      <c r="B36" s="165" t="s">
        <v>132</v>
      </c>
      <c r="C36" s="177" t="s">
        <v>133</v>
      </c>
      <c r="D36" s="177"/>
      <c r="E36" s="177"/>
      <c r="F36" s="177"/>
      <c r="G36" s="177"/>
      <c r="H36" s="177"/>
      <c r="I36" s="177"/>
      <c r="J36" s="177"/>
      <c r="K36" s="177"/>
      <c r="L36" s="207">
        <f>N36+P36+S36+T36+U36+V36+W36</f>
        <v>150000</v>
      </c>
      <c r="M36" s="216">
        <v>0</v>
      </c>
      <c r="N36" s="216">
        <v>0</v>
      </c>
      <c r="O36" s="216">
        <f t="shared" si="21"/>
        <v>0</v>
      </c>
      <c r="P36" s="216">
        <v>150000</v>
      </c>
      <c r="Q36" s="216">
        <f>P36-O36</f>
        <v>150000</v>
      </c>
      <c r="R36" s="217" t="s">
        <v>125</v>
      </c>
      <c r="S36" s="216"/>
      <c r="T36" s="216"/>
      <c r="U36" s="216"/>
      <c r="V36" s="216"/>
      <c r="W36" s="216"/>
      <c r="X36" s="216"/>
      <c r="Z36" s="175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>
        <v>150000</v>
      </c>
      <c r="AK36" s="157"/>
      <c r="AL36" s="157"/>
      <c r="AM36" s="157"/>
      <c r="AN36" s="157"/>
      <c r="AO36" s="157"/>
      <c r="AP36" s="157"/>
      <c r="AQ36" s="173">
        <f t="shared" si="22"/>
        <v>150000</v>
      </c>
      <c r="AR36" s="174">
        <f t="shared" si="23"/>
        <v>0</v>
      </c>
    </row>
    <row r="37" spans="1:44" x14ac:dyDescent="0.5">
      <c r="A37" s="231" t="s">
        <v>36</v>
      </c>
      <c r="B37" s="165" t="s">
        <v>134</v>
      </c>
      <c r="C37" s="177" t="s">
        <v>135</v>
      </c>
      <c r="D37" s="177"/>
      <c r="E37" s="177"/>
      <c r="F37" s="177"/>
      <c r="G37" s="177"/>
      <c r="H37" s="177"/>
      <c r="I37" s="177"/>
      <c r="J37" s="177"/>
      <c r="K37" s="177"/>
      <c r="L37" s="207">
        <v>1650000</v>
      </c>
      <c r="M37" s="216">
        <v>500000</v>
      </c>
      <c r="N37" s="216">
        <v>500</v>
      </c>
      <c r="O37" s="216">
        <f t="shared" si="21"/>
        <v>499500</v>
      </c>
      <c r="P37" s="216">
        <v>499500</v>
      </c>
      <c r="Q37" s="216">
        <f>P37-O37</f>
        <v>0</v>
      </c>
      <c r="R37" s="217" t="s">
        <v>281</v>
      </c>
      <c r="S37" s="216">
        <f>1650000-500000</f>
        <v>1150000</v>
      </c>
      <c r="T37" s="216"/>
      <c r="U37" s="216"/>
      <c r="V37" s="216"/>
      <c r="W37" s="216"/>
      <c r="X37" s="218">
        <v>1123000</v>
      </c>
      <c r="Y37" s="183" t="s">
        <v>282</v>
      </c>
      <c r="Z37" s="175" t="s">
        <v>280</v>
      </c>
      <c r="AA37" s="157"/>
      <c r="AB37" s="157"/>
      <c r="AC37" s="157"/>
      <c r="AD37" s="157"/>
      <c r="AE37" s="157"/>
      <c r="AF37" s="157"/>
      <c r="AG37" s="157"/>
      <c r="AH37" s="157"/>
      <c r="AI37" s="157"/>
      <c r="AJ37" s="157">
        <v>499500</v>
      </c>
      <c r="AK37" s="157"/>
      <c r="AL37" s="157"/>
      <c r="AM37" s="157"/>
      <c r="AN37" s="157"/>
      <c r="AO37" s="157"/>
      <c r="AP37" s="157"/>
      <c r="AQ37" s="173">
        <f t="shared" si="22"/>
        <v>499500</v>
      </c>
      <c r="AR37" s="174">
        <f t="shared" si="23"/>
        <v>0</v>
      </c>
    </row>
    <row r="38" spans="1:44" x14ac:dyDescent="0.5">
      <c r="A38" s="231" t="s">
        <v>36</v>
      </c>
      <c r="B38" s="165" t="s">
        <v>138</v>
      </c>
      <c r="C38" s="177" t="s">
        <v>139</v>
      </c>
      <c r="D38" s="177"/>
      <c r="E38" s="177"/>
      <c r="F38" s="177"/>
      <c r="G38" s="177"/>
      <c r="H38" s="177"/>
      <c r="I38" s="177"/>
      <c r="J38" s="177"/>
      <c r="K38" s="177"/>
      <c r="L38" s="207">
        <f>N38+P38+S38+T38+U38+V38+W38</f>
        <v>100000</v>
      </c>
      <c r="M38" s="216">
        <v>0</v>
      </c>
      <c r="N38" s="216">
        <v>0</v>
      </c>
      <c r="O38" s="216">
        <f t="shared" si="21"/>
        <v>0</v>
      </c>
      <c r="P38" s="216">
        <v>100000</v>
      </c>
      <c r="Q38" s="216">
        <f>P38-O38</f>
        <v>100000</v>
      </c>
      <c r="R38" s="217" t="s">
        <v>125</v>
      </c>
      <c r="S38" s="216"/>
      <c r="T38" s="216"/>
      <c r="U38" s="216"/>
      <c r="V38" s="216"/>
      <c r="W38" s="216"/>
      <c r="X38" s="216"/>
      <c r="Z38" s="175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>
        <v>100000</v>
      </c>
      <c r="AK38" s="157"/>
      <c r="AL38" s="157"/>
      <c r="AM38" s="157"/>
      <c r="AN38" s="157"/>
      <c r="AO38" s="157"/>
      <c r="AP38" s="157"/>
      <c r="AQ38" s="173">
        <f t="shared" si="22"/>
        <v>100000</v>
      </c>
      <c r="AR38" s="174">
        <f t="shared" si="23"/>
        <v>0</v>
      </c>
    </row>
    <row r="39" spans="1:44" x14ac:dyDescent="0.5">
      <c r="A39" s="231" t="s">
        <v>36</v>
      </c>
      <c r="B39" s="165" t="s">
        <v>141</v>
      </c>
      <c r="C39" s="177" t="s">
        <v>142</v>
      </c>
      <c r="D39" s="177"/>
      <c r="E39" s="177"/>
      <c r="F39" s="177"/>
      <c r="G39" s="177"/>
      <c r="H39" s="177"/>
      <c r="I39" s="177"/>
      <c r="J39" s="177"/>
      <c r="K39" s="177"/>
      <c r="L39" s="207">
        <f>N39+P39+S39+T39+U39+V39+W39</f>
        <v>100000</v>
      </c>
      <c r="M39" s="216">
        <v>0</v>
      </c>
      <c r="N39" s="216">
        <v>0</v>
      </c>
      <c r="O39" s="216">
        <f t="shared" si="21"/>
        <v>0</v>
      </c>
      <c r="P39" s="216">
        <v>100000</v>
      </c>
      <c r="Q39" s="216">
        <f>P39-O39</f>
        <v>100000</v>
      </c>
      <c r="R39" s="217" t="s">
        <v>125</v>
      </c>
      <c r="S39" s="216"/>
      <c r="T39" s="216"/>
      <c r="U39" s="216"/>
      <c r="V39" s="216"/>
      <c r="W39" s="216"/>
      <c r="X39" s="218">
        <v>100000</v>
      </c>
      <c r="Y39" s="171" t="s">
        <v>283</v>
      </c>
      <c r="Z39" s="175" t="s">
        <v>280</v>
      </c>
      <c r="AA39" s="157"/>
      <c r="AB39" s="157"/>
      <c r="AC39" s="157"/>
      <c r="AD39" s="157"/>
      <c r="AE39" s="157"/>
      <c r="AF39" s="157"/>
      <c r="AG39" s="157"/>
      <c r="AH39" s="157"/>
      <c r="AI39" s="157"/>
      <c r="AJ39" s="157">
        <v>100000</v>
      </c>
      <c r="AK39" s="157"/>
      <c r="AL39" s="157"/>
      <c r="AM39" s="157"/>
      <c r="AN39" s="157"/>
      <c r="AO39" s="157"/>
      <c r="AP39" s="157"/>
      <c r="AQ39" s="173">
        <f t="shared" si="22"/>
        <v>100000</v>
      </c>
      <c r="AR39" s="174">
        <f t="shared" si="23"/>
        <v>0</v>
      </c>
    </row>
    <row r="40" spans="1:44" ht="14.7" thickBot="1" x14ac:dyDescent="0.55000000000000004">
      <c r="A40" s="231" t="s">
        <v>36</v>
      </c>
      <c r="B40" s="165" t="s">
        <v>144</v>
      </c>
      <c r="C40" s="177" t="s">
        <v>145</v>
      </c>
      <c r="D40" s="235"/>
      <c r="E40" s="235"/>
      <c r="F40" s="235"/>
      <c r="G40" s="235"/>
      <c r="H40" s="235"/>
      <c r="I40" s="235"/>
      <c r="J40" s="177"/>
      <c r="K40" s="177"/>
      <c r="L40" s="207">
        <f t="shared" ref="L40" si="24">N40+P40+S40+T40+U40+V40+W40</f>
        <v>2700000</v>
      </c>
      <c r="M40" s="216">
        <v>0</v>
      </c>
      <c r="N40" s="216">
        <v>0</v>
      </c>
      <c r="O40" s="216">
        <f t="shared" si="21"/>
        <v>0</v>
      </c>
      <c r="P40" s="216">
        <v>500000</v>
      </c>
      <c r="Q40" s="216">
        <f>P40-O40</f>
        <v>500000</v>
      </c>
      <c r="R40" s="217" t="s">
        <v>284</v>
      </c>
      <c r="S40" s="216"/>
      <c r="T40" s="216">
        <v>2200000</v>
      </c>
      <c r="U40" s="216"/>
      <c r="V40" s="216"/>
      <c r="W40" s="207"/>
      <c r="X40" s="218"/>
      <c r="Z40" s="175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>
        <v>200000</v>
      </c>
      <c r="AK40" s="157"/>
      <c r="AL40" s="157">
        <v>300000</v>
      </c>
      <c r="AM40" s="157"/>
      <c r="AN40" s="157"/>
      <c r="AO40" s="157"/>
      <c r="AP40" s="157"/>
      <c r="AQ40" s="173">
        <f t="shared" si="22"/>
        <v>500000</v>
      </c>
      <c r="AR40" s="174">
        <f t="shared" si="23"/>
        <v>0</v>
      </c>
    </row>
    <row r="41" spans="1:44" ht="14.7" thickTop="1" x14ac:dyDescent="0.5">
      <c r="A41" s="429" t="s">
        <v>285</v>
      </c>
      <c r="B41" s="430"/>
      <c r="C41" s="431"/>
      <c r="L41" s="206"/>
      <c r="M41" s="216"/>
      <c r="N41" s="216"/>
      <c r="O41" s="216"/>
      <c r="P41" s="218"/>
      <c r="Q41" s="218"/>
      <c r="R41" s="218"/>
      <c r="S41" s="218"/>
      <c r="T41" s="218"/>
      <c r="U41" s="218"/>
      <c r="V41" s="218"/>
      <c r="W41" s="218"/>
      <c r="X41" s="218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73">
        <f t="shared" si="7"/>
        <v>0</v>
      </c>
      <c r="AR41" s="174">
        <f t="shared" ref="AR41" si="25">P41-AQ41</f>
        <v>0</v>
      </c>
    </row>
    <row r="42" spans="1:44" ht="14.25" customHeight="1" x14ac:dyDescent="0.5">
      <c r="A42" s="232" t="s">
        <v>63</v>
      </c>
      <c r="B42" s="165" t="s">
        <v>66</v>
      </c>
      <c r="C42" s="182" t="s">
        <v>113</v>
      </c>
      <c r="L42" s="206">
        <f t="shared" ref="L42:L48" si="26">N42+P42+S42+T42+U42+V42+W42</f>
        <v>30000</v>
      </c>
      <c r="M42" s="216">
        <v>30000</v>
      </c>
      <c r="N42" s="216">
        <v>0</v>
      </c>
      <c r="O42" s="216">
        <f t="shared" ref="O42:O48" si="27">M42-N42</f>
        <v>30000</v>
      </c>
      <c r="P42" s="216">
        <v>30000</v>
      </c>
      <c r="Q42" s="216">
        <f t="shared" ref="Q42:Q48" si="28">P42-O42</f>
        <v>0</v>
      </c>
      <c r="R42" s="219" t="s">
        <v>248</v>
      </c>
      <c r="S42" s="218"/>
      <c r="T42" s="218"/>
      <c r="U42" s="218"/>
      <c r="V42" s="218"/>
      <c r="W42" s="218"/>
      <c r="X42" s="218"/>
      <c r="AA42" s="157"/>
      <c r="AB42" s="157"/>
      <c r="AC42" s="157"/>
      <c r="AD42" s="157">
        <v>15000</v>
      </c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>
        <v>15000</v>
      </c>
      <c r="AP42" s="157"/>
      <c r="AQ42" s="173">
        <f t="shared" ref="AQ42:AQ48" si="29">SUM(AA42:AP42)</f>
        <v>30000</v>
      </c>
      <c r="AR42" s="174">
        <f t="shared" ref="AR42:AR48" si="30">P42-AQ42</f>
        <v>0</v>
      </c>
    </row>
    <row r="43" spans="1:44" x14ac:dyDescent="0.5">
      <c r="A43" s="232" t="s">
        <v>63</v>
      </c>
      <c r="C43" s="184" t="s">
        <v>155</v>
      </c>
      <c r="D43" s="184"/>
      <c r="E43" s="184"/>
      <c r="F43" s="184"/>
      <c r="G43" s="184"/>
      <c r="H43" s="184"/>
      <c r="I43" s="184"/>
      <c r="J43" s="184"/>
      <c r="K43" s="184"/>
      <c r="L43" s="207">
        <f t="shared" si="26"/>
        <v>257000</v>
      </c>
      <c r="M43" s="216">
        <v>0</v>
      </c>
      <c r="N43" s="216">
        <v>0</v>
      </c>
      <c r="O43" s="216">
        <f t="shared" si="27"/>
        <v>0</v>
      </c>
      <c r="P43" s="216">
        <v>257000</v>
      </c>
      <c r="Q43" s="224">
        <f t="shared" si="28"/>
        <v>257000</v>
      </c>
      <c r="R43" s="217" t="s">
        <v>125</v>
      </c>
      <c r="S43" s="218"/>
      <c r="T43" s="218"/>
      <c r="U43" s="218"/>
      <c r="V43" s="218"/>
      <c r="W43" s="218"/>
      <c r="X43" s="218"/>
      <c r="AA43" s="157"/>
      <c r="AB43" s="157"/>
      <c r="AC43" s="157">
        <v>257000</v>
      </c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73">
        <f t="shared" si="29"/>
        <v>257000</v>
      </c>
      <c r="AR43" s="174">
        <f t="shared" si="30"/>
        <v>0</v>
      </c>
    </row>
    <row r="44" spans="1:44" x14ac:dyDescent="0.5">
      <c r="A44" s="232" t="s">
        <v>63</v>
      </c>
      <c r="B44" s="165" t="s">
        <v>157</v>
      </c>
      <c r="C44" s="177" t="s">
        <v>158</v>
      </c>
      <c r="D44" s="177"/>
      <c r="E44" s="177"/>
      <c r="F44" s="177"/>
      <c r="G44" s="177"/>
      <c r="H44" s="177"/>
      <c r="I44" s="177"/>
      <c r="J44" s="177"/>
      <c r="K44" s="177"/>
      <c r="L44" s="207">
        <f t="shared" si="26"/>
        <v>185000</v>
      </c>
      <c r="M44" s="216">
        <v>100000</v>
      </c>
      <c r="N44" s="216">
        <v>20000</v>
      </c>
      <c r="O44" s="216">
        <f t="shared" si="27"/>
        <v>80000</v>
      </c>
      <c r="P44" s="216">
        <v>165000</v>
      </c>
      <c r="Q44" s="224">
        <f t="shared" si="28"/>
        <v>85000</v>
      </c>
      <c r="R44" s="217" t="s">
        <v>125</v>
      </c>
      <c r="S44" s="218"/>
      <c r="T44" s="218"/>
      <c r="U44" s="218"/>
      <c r="V44" s="218"/>
      <c r="W44" s="218"/>
      <c r="X44" s="218"/>
      <c r="AA44" s="157"/>
      <c r="AB44" s="157"/>
      <c r="AC44" s="157">
        <v>65000</v>
      </c>
      <c r="AD44" s="157"/>
      <c r="AE44" s="157"/>
      <c r="AF44" s="157"/>
      <c r="AG44" s="157"/>
      <c r="AH44" s="157"/>
      <c r="AI44" s="157"/>
      <c r="AJ44" s="157"/>
      <c r="AK44" s="157"/>
      <c r="AL44" s="157"/>
      <c r="AM44" s="157">
        <v>100000</v>
      </c>
      <c r="AN44" s="157"/>
      <c r="AO44" s="157"/>
      <c r="AP44" s="157"/>
      <c r="AQ44" s="173">
        <f t="shared" si="29"/>
        <v>165000</v>
      </c>
      <c r="AR44" s="174">
        <f t="shared" si="30"/>
        <v>0</v>
      </c>
    </row>
    <row r="45" spans="1:44" x14ac:dyDescent="0.5">
      <c r="A45" s="232" t="s">
        <v>63</v>
      </c>
      <c r="C45" s="182" t="s">
        <v>160</v>
      </c>
      <c r="L45" s="206">
        <f t="shared" si="26"/>
        <v>90000</v>
      </c>
      <c r="M45" s="216">
        <v>0</v>
      </c>
      <c r="N45" s="216">
        <v>0</v>
      </c>
      <c r="O45" s="216">
        <f t="shared" si="27"/>
        <v>0</v>
      </c>
      <c r="P45" s="216">
        <v>90000</v>
      </c>
      <c r="Q45" s="216">
        <f t="shared" si="28"/>
        <v>90000</v>
      </c>
      <c r="R45" s="217" t="s">
        <v>125</v>
      </c>
      <c r="S45" s="218"/>
      <c r="T45" s="218"/>
      <c r="U45" s="218"/>
      <c r="V45" s="218"/>
      <c r="W45" s="218"/>
      <c r="X45" s="218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>
        <v>90000</v>
      </c>
      <c r="AN45" s="157"/>
      <c r="AO45" s="157"/>
      <c r="AP45" s="157"/>
      <c r="AQ45" s="173">
        <f t="shared" si="29"/>
        <v>90000</v>
      </c>
      <c r="AR45" s="174">
        <f t="shared" si="30"/>
        <v>0</v>
      </c>
    </row>
    <row r="46" spans="1:44" x14ac:dyDescent="0.5">
      <c r="A46" s="232" t="s">
        <v>63</v>
      </c>
      <c r="C46" s="184" t="s">
        <v>161</v>
      </c>
      <c r="D46" s="184"/>
      <c r="E46" s="184"/>
      <c r="F46" s="184"/>
      <c r="G46" s="184"/>
      <c r="H46" s="184"/>
      <c r="I46" s="184"/>
      <c r="J46" s="184"/>
      <c r="K46" s="184"/>
      <c r="L46" s="206">
        <f t="shared" si="26"/>
        <v>120000</v>
      </c>
      <c r="M46" s="216">
        <v>0</v>
      </c>
      <c r="N46" s="216">
        <v>0</v>
      </c>
      <c r="O46" s="216">
        <f t="shared" si="27"/>
        <v>0</v>
      </c>
      <c r="P46" s="216">
        <v>120000</v>
      </c>
      <c r="Q46" s="216">
        <f t="shared" si="28"/>
        <v>120000</v>
      </c>
      <c r="R46" s="217" t="s">
        <v>125</v>
      </c>
      <c r="S46" s="218"/>
      <c r="T46" s="218"/>
      <c r="U46" s="218"/>
      <c r="V46" s="218"/>
      <c r="W46" s="218"/>
      <c r="X46" s="218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>
        <v>120000</v>
      </c>
      <c r="AN46" s="157"/>
      <c r="AO46" s="157"/>
      <c r="AP46" s="157"/>
      <c r="AQ46" s="173">
        <f t="shared" si="29"/>
        <v>120000</v>
      </c>
      <c r="AR46" s="174">
        <f t="shared" si="30"/>
        <v>0</v>
      </c>
    </row>
    <row r="47" spans="1:44" x14ac:dyDescent="0.5">
      <c r="A47" s="232" t="s">
        <v>63</v>
      </c>
      <c r="C47" s="184" t="s">
        <v>162</v>
      </c>
      <c r="D47" s="184"/>
      <c r="E47" s="184"/>
      <c r="F47" s="184"/>
      <c r="G47" s="184"/>
      <c r="H47" s="184"/>
      <c r="I47" s="184"/>
      <c r="J47" s="184"/>
      <c r="K47" s="184"/>
      <c r="L47" s="206">
        <f t="shared" si="26"/>
        <v>120000</v>
      </c>
      <c r="M47" s="216">
        <v>0</v>
      </c>
      <c r="N47" s="216">
        <v>0</v>
      </c>
      <c r="O47" s="216">
        <f t="shared" si="27"/>
        <v>0</v>
      </c>
      <c r="P47" s="216">
        <v>120000</v>
      </c>
      <c r="Q47" s="216">
        <f t="shared" si="28"/>
        <v>120000</v>
      </c>
      <c r="R47" s="217" t="s">
        <v>125</v>
      </c>
      <c r="S47" s="218"/>
      <c r="T47" s="218"/>
      <c r="U47" s="218"/>
      <c r="V47" s="218"/>
      <c r="W47" s="218"/>
      <c r="X47" s="218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>
        <v>120000</v>
      </c>
      <c r="AN47" s="157"/>
      <c r="AO47" s="157"/>
      <c r="AP47" s="157"/>
      <c r="AQ47" s="173">
        <f t="shared" si="29"/>
        <v>120000</v>
      </c>
      <c r="AR47" s="174">
        <f t="shared" si="30"/>
        <v>0</v>
      </c>
    </row>
    <row r="48" spans="1:44" ht="14.7" thickBot="1" x14ac:dyDescent="0.55000000000000004">
      <c r="A48" s="232" t="s">
        <v>63</v>
      </c>
      <c r="C48" s="177" t="s">
        <v>163</v>
      </c>
      <c r="D48" s="177"/>
      <c r="E48" s="177"/>
      <c r="F48" s="177"/>
      <c r="G48" s="177"/>
      <c r="H48" s="177"/>
      <c r="I48" s="177"/>
      <c r="J48" s="177"/>
      <c r="K48" s="177"/>
      <c r="L48" s="206">
        <f t="shared" si="26"/>
        <v>44500</v>
      </c>
      <c r="M48" s="216">
        <v>0</v>
      </c>
      <c r="N48" s="216">
        <v>0</v>
      </c>
      <c r="O48" s="216">
        <f t="shared" si="27"/>
        <v>0</v>
      </c>
      <c r="P48" s="216">
        <v>8500</v>
      </c>
      <c r="Q48" s="216">
        <f t="shared" si="28"/>
        <v>8500</v>
      </c>
      <c r="R48" s="217" t="s">
        <v>125</v>
      </c>
      <c r="S48" s="218"/>
      <c r="T48" s="218">
        <v>36000</v>
      </c>
      <c r="U48" s="218"/>
      <c r="V48" s="218"/>
      <c r="W48" s="218"/>
      <c r="X48" s="218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>
        <v>8500</v>
      </c>
      <c r="AN48" s="157"/>
      <c r="AO48" s="157"/>
      <c r="AP48" s="157"/>
      <c r="AQ48" s="173">
        <f t="shared" si="29"/>
        <v>8500</v>
      </c>
      <c r="AR48" s="174">
        <f t="shared" si="30"/>
        <v>0</v>
      </c>
    </row>
    <row r="49" spans="1:44" ht="14.7" thickTop="1" x14ac:dyDescent="0.5">
      <c r="A49" s="429" t="s">
        <v>286</v>
      </c>
      <c r="B49" s="430"/>
      <c r="C49" s="431"/>
      <c r="L49" s="206"/>
      <c r="M49" s="216"/>
      <c r="N49" s="216"/>
      <c r="O49" s="216"/>
      <c r="P49" s="218"/>
      <c r="Q49" s="218"/>
      <c r="R49" s="218"/>
      <c r="S49" s="218"/>
      <c r="T49" s="218"/>
      <c r="U49" s="218"/>
      <c r="V49" s="218"/>
      <c r="W49" s="218"/>
      <c r="X49" s="218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73">
        <f t="shared" si="7"/>
        <v>0</v>
      </c>
      <c r="AR49" s="174">
        <f t="shared" ref="AR49" si="31">P49-AQ49</f>
        <v>0</v>
      </c>
    </row>
    <row r="50" spans="1:44" x14ac:dyDescent="0.5">
      <c r="A50" s="232" t="s">
        <v>63</v>
      </c>
      <c r="C50" s="177" t="s">
        <v>166</v>
      </c>
      <c r="D50" s="177"/>
      <c r="E50" s="177"/>
      <c r="F50" s="177"/>
      <c r="G50" s="177"/>
      <c r="H50" s="177"/>
      <c r="I50" s="177"/>
      <c r="J50" s="177"/>
      <c r="K50" s="177"/>
      <c r="L50" s="207">
        <f t="shared" ref="L50:L51" si="32">N50+P50+S50+T50+U50+V50+W50</f>
        <v>11303000</v>
      </c>
      <c r="M50" s="216">
        <v>11900000</v>
      </c>
      <c r="N50" s="216">
        <v>7203000</v>
      </c>
      <c r="O50" s="216">
        <f t="shared" si="12"/>
        <v>4697000</v>
      </c>
      <c r="P50" s="216">
        <v>4100000</v>
      </c>
      <c r="Q50" s="216">
        <f t="shared" ref="Q50:Q51" si="33">P50-O50</f>
        <v>-597000</v>
      </c>
      <c r="R50" s="217" t="s">
        <v>287</v>
      </c>
      <c r="S50" s="218"/>
      <c r="T50" s="218"/>
      <c r="U50" s="218"/>
      <c r="V50" s="218"/>
      <c r="W50" s="218"/>
      <c r="X50" s="218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>
        <v>4100000</v>
      </c>
      <c r="AN50" s="157"/>
      <c r="AO50" s="157"/>
      <c r="AP50" s="157"/>
      <c r="AQ50" s="173">
        <f t="shared" ref="AQ50:AQ51" si="34">SUM(AA50:AP50)</f>
        <v>4100000</v>
      </c>
      <c r="AR50" s="174">
        <f t="shared" ref="AR50:AR51" si="35">P50-AQ50</f>
        <v>0</v>
      </c>
    </row>
    <row r="51" spans="1:44" ht="14.7" thickBot="1" x14ac:dyDescent="0.55000000000000004">
      <c r="A51" s="232" t="s">
        <v>63</v>
      </c>
      <c r="B51" s="165" t="s">
        <v>168</v>
      </c>
      <c r="C51" s="177" t="s">
        <v>169</v>
      </c>
      <c r="D51" s="177"/>
      <c r="E51" s="177"/>
      <c r="F51" s="177"/>
      <c r="G51" s="177"/>
      <c r="H51" s="177"/>
      <c r="I51" s="177"/>
      <c r="J51" s="177"/>
      <c r="K51" s="177"/>
      <c r="L51" s="207">
        <f t="shared" si="32"/>
        <v>3200000</v>
      </c>
      <c r="M51" s="216">
        <v>3200000</v>
      </c>
      <c r="N51" s="224">
        <v>213000</v>
      </c>
      <c r="O51" s="216">
        <f t="shared" si="12"/>
        <v>2987000</v>
      </c>
      <c r="P51" s="216">
        <f>O51</f>
        <v>2987000</v>
      </c>
      <c r="Q51" s="216">
        <f t="shared" si="33"/>
        <v>0</v>
      </c>
      <c r="R51" s="217" t="s">
        <v>248</v>
      </c>
      <c r="S51" s="218"/>
      <c r="T51" s="218"/>
      <c r="U51" s="218"/>
      <c r="V51" s="218"/>
      <c r="W51" s="218"/>
      <c r="X51" s="218">
        <v>764000</v>
      </c>
      <c r="Y51" s="171" t="s">
        <v>288</v>
      </c>
      <c r="Z51" s="171" t="s">
        <v>289</v>
      </c>
      <c r="AA51" s="157"/>
      <c r="AB51" s="157">
        <v>680700</v>
      </c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>
        <v>2306300</v>
      </c>
      <c r="AN51" s="157"/>
      <c r="AO51" s="157"/>
      <c r="AP51" s="157"/>
      <c r="AQ51" s="173">
        <f t="shared" si="34"/>
        <v>2987000</v>
      </c>
      <c r="AR51" s="174">
        <f t="shared" si="35"/>
        <v>0</v>
      </c>
    </row>
    <row r="52" spans="1:44" ht="14.7" thickTop="1" x14ac:dyDescent="0.5">
      <c r="A52" s="429" t="s">
        <v>172</v>
      </c>
      <c r="B52" s="430"/>
      <c r="C52" s="431"/>
      <c r="L52" s="206"/>
      <c r="M52" s="216"/>
      <c r="N52" s="216"/>
      <c r="O52" s="216"/>
      <c r="P52" s="218"/>
      <c r="Q52" s="218"/>
      <c r="R52" s="218"/>
      <c r="S52" s="218"/>
      <c r="T52" s="218"/>
      <c r="U52" s="218"/>
      <c r="V52" s="218"/>
      <c r="W52" s="218"/>
      <c r="X52" s="218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73">
        <f t="shared" ref="AQ52" si="36">SUM(AA52:AP52)</f>
        <v>0</v>
      </c>
      <c r="AR52" s="174">
        <f t="shared" ref="AR52" si="37">P52-AQ52</f>
        <v>0</v>
      </c>
    </row>
    <row r="53" spans="1:44" x14ac:dyDescent="0.5">
      <c r="A53" s="230" t="s">
        <v>30</v>
      </c>
      <c r="B53" s="165" t="s">
        <v>290</v>
      </c>
      <c r="C53" s="177" t="s">
        <v>291</v>
      </c>
      <c r="D53" s="177"/>
      <c r="E53" s="177"/>
      <c r="F53" s="177"/>
      <c r="G53" s="177"/>
      <c r="H53" s="177"/>
      <c r="I53" s="177"/>
      <c r="J53" s="177"/>
      <c r="K53" s="177"/>
      <c r="L53" s="207">
        <f>N53+P53+S53+T53+U53+V53+W53</f>
        <v>2600000</v>
      </c>
      <c r="M53" s="216">
        <v>0</v>
      </c>
      <c r="N53" s="216">
        <v>0</v>
      </c>
      <c r="O53" s="216">
        <f t="shared" ref="O53:O58" si="38">M53-N53</f>
        <v>0</v>
      </c>
      <c r="P53" s="221">
        <v>300000</v>
      </c>
      <c r="Q53" s="221">
        <f t="shared" ref="Q53:Q58" si="39">P53-O53</f>
        <v>300000</v>
      </c>
      <c r="R53" s="225" t="s">
        <v>292</v>
      </c>
      <c r="S53" s="216">
        <v>300000</v>
      </c>
      <c r="T53" s="216">
        <v>2000000</v>
      </c>
      <c r="U53" s="216"/>
      <c r="V53" s="218"/>
      <c r="W53" s="218"/>
      <c r="X53" s="218">
        <v>800000</v>
      </c>
      <c r="Y53" s="171" t="s">
        <v>293</v>
      </c>
      <c r="Z53" s="179" t="s">
        <v>260</v>
      </c>
      <c r="AA53" s="180"/>
      <c r="AB53" s="180"/>
      <c r="AC53" s="180"/>
      <c r="AD53" s="180"/>
      <c r="AE53" s="180"/>
      <c r="AF53" s="180"/>
      <c r="AG53" s="180" t="s">
        <v>59</v>
      </c>
      <c r="AH53" s="180" t="s">
        <v>59</v>
      </c>
      <c r="AI53" s="180" t="s">
        <v>59</v>
      </c>
      <c r="AJ53" s="180"/>
      <c r="AK53" s="180"/>
      <c r="AL53" s="180" t="s">
        <v>59</v>
      </c>
      <c r="AM53" s="180"/>
      <c r="AN53" s="180" t="s">
        <v>59</v>
      </c>
      <c r="AO53" s="180" t="s">
        <v>59</v>
      </c>
      <c r="AP53" s="180"/>
      <c r="AQ53" s="173">
        <f t="shared" ref="AQ53:AQ58" si="40">SUM(AA53:AP53)</f>
        <v>0</v>
      </c>
      <c r="AR53" s="174">
        <f t="shared" ref="AR53:AR58" si="41">P53-AQ53</f>
        <v>300000</v>
      </c>
    </row>
    <row r="54" spans="1:44" x14ac:dyDescent="0.5">
      <c r="A54" s="230" t="s">
        <v>30</v>
      </c>
      <c r="C54" s="177" t="s">
        <v>294</v>
      </c>
      <c r="D54" s="177"/>
      <c r="E54" s="177"/>
      <c r="F54" s="177"/>
      <c r="G54" s="177"/>
      <c r="H54" s="177"/>
      <c r="I54" s="177"/>
      <c r="J54" s="177"/>
      <c r="K54" s="177"/>
      <c r="L54" s="206">
        <f>N54+P54+S54+T54+U54+V54+W54</f>
        <v>14200000</v>
      </c>
      <c r="M54" s="216">
        <v>0</v>
      </c>
      <c r="N54" s="216">
        <v>0</v>
      </c>
      <c r="O54" s="216">
        <f t="shared" si="38"/>
        <v>0</v>
      </c>
      <c r="P54" s="221">
        <v>200000</v>
      </c>
      <c r="Q54" s="221">
        <f t="shared" si="39"/>
        <v>200000</v>
      </c>
      <c r="R54" s="225" t="s">
        <v>295</v>
      </c>
      <c r="S54" s="216">
        <v>1500000</v>
      </c>
      <c r="T54" s="216">
        <v>1500000</v>
      </c>
      <c r="U54" s="216">
        <v>11000000</v>
      </c>
      <c r="V54" s="218"/>
      <c r="W54" s="218"/>
      <c r="X54" s="218">
        <v>2432000</v>
      </c>
      <c r="Y54" s="171" t="s">
        <v>234</v>
      </c>
      <c r="Z54" s="179" t="s">
        <v>260</v>
      </c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73">
        <f t="shared" si="40"/>
        <v>0</v>
      </c>
      <c r="AR54" s="174">
        <f t="shared" si="41"/>
        <v>200000</v>
      </c>
    </row>
    <row r="55" spans="1:44" x14ac:dyDescent="0.5">
      <c r="A55" s="230" t="s">
        <v>30</v>
      </c>
      <c r="B55" s="165" t="s">
        <v>175</v>
      </c>
      <c r="C55" s="177" t="s">
        <v>176</v>
      </c>
      <c r="D55" s="167"/>
      <c r="E55" s="168"/>
      <c r="F55" s="181"/>
      <c r="G55" s="181"/>
      <c r="H55" s="169"/>
      <c r="I55" s="169"/>
      <c r="J55" s="167"/>
      <c r="K55" s="167"/>
      <c r="L55" s="168">
        <f t="shared" ref="L55" si="42">N55+P55+S55+T55+U55+V55+W55</f>
        <v>3650000</v>
      </c>
      <c r="M55" s="226">
        <v>0</v>
      </c>
      <c r="N55" s="226">
        <v>0</v>
      </c>
      <c r="O55" s="216">
        <f t="shared" si="38"/>
        <v>0</v>
      </c>
      <c r="P55" s="216">
        <v>0</v>
      </c>
      <c r="Q55" s="216">
        <f t="shared" si="39"/>
        <v>0</v>
      </c>
      <c r="R55" s="217" t="s">
        <v>125</v>
      </c>
      <c r="S55" s="216"/>
      <c r="T55" s="216">
        <v>400000</v>
      </c>
      <c r="U55" s="216">
        <v>250000</v>
      </c>
      <c r="V55" s="216">
        <v>3000000</v>
      </c>
      <c r="W55" s="218"/>
      <c r="X55" s="216">
        <v>3000000</v>
      </c>
      <c r="Y55" s="171" t="s">
        <v>296</v>
      </c>
      <c r="Z55" s="171" t="s">
        <v>297</v>
      </c>
      <c r="AA55" s="157"/>
      <c r="AB55" s="157"/>
      <c r="AC55" s="157"/>
      <c r="AD55" s="157"/>
      <c r="AE55" s="157"/>
      <c r="AF55" s="157"/>
      <c r="AG55" s="157" t="s">
        <v>59</v>
      </c>
      <c r="AH55" s="157"/>
      <c r="AI55" s="157"/>
      <c r="AJ55" s="157"/>
      <c r="AK55" s="157"/>
      <c r="AL55" s="157" t="s">
        <v>59</v>
      </c>
      <c r="AM55" s="157"/>
      <c r="AN55" s="157" t="s">
        <v>59</v>
      </c>
      <c r="AO55" s="157" t="s">
        <v>59</v>
      </c>
      <c r="AP55" s="157"/>
      <c r="AQ55" s="173">
        <f t="shared" si="40"/>
        <v>0</v>
      </c>
      <c r="AR55" s="174">
        <f t="shared" si="41"/>
        <v>0</v>
      </c>
    </row>
    <row r="56" spans="1:44" x14ac:dyDescent="0.5">
      <c r="A56" s="230" t="s">
        <v>30</v>
      </c>
      <c r="B56" s="165" t="s">
        <v>177</v>
      </c>
      <c r="C56" s="177" t="s">
        <v>178</v>
      </c>
      <c r="D56" s="167"/>
      <c r="E56" s="168"/>
      <c r="F56" s="181"/>
      <c r="G56" s="181"/>
      <c r="H56" s="169"/>
      <c r="I56" s="169"/>
      <c r="J56" s="167"/>
      <c r="K56" s="167"/>
      <c r="L56" s="168">
        <f>N56+P56+S56+T56+U56+V56+W56</f>
        <v>3500000</v>
      </c>
      <c r="M56" s="226">
        <v>0</v>
      </c>
      <c r="N56" s="226">
        <v>0</v>
      </c>
      <c r="O56" s="216">
        <f t="shared" si="38"/>
        <v>0</v>
      </c>
      <c r="P56" s="216">
        <v>0</v>
      </c>
      <c r="Q56" s="216">
        <f t="shared" si="39"/>
        <v>0</v>
      </c>
      <c r="R56" s="217" t="s">
        <v>125</v>
      </c>
      <c r="S56" s="216"/>
      <c r="T56" s="216"/>
      <c r="U56" s="216"/>
      <c r="V56" s="216">
        <v>500000</v>
      </c>
      <c r="W56" s="216">
        <v>3000000</v>
      </c>
      <c r="X56" s="216"/>
      <c r="AA56" s="157"/>
      <c r="AB56" s="157"/>
      <c r="AC56" s="157"/>
      <c r="AD56" s="157"/>
      <c r="AE56" s="157"/>
      <c r="AF56" s="157"/>
      <c r="AG56" s="157" t="s">
        <v>59</v>
      </c>
      <c r="AH56" s="157" t="s">
        <v>59</v>
      </c>
      <c r="AI56" s="157" t="s">
        <v>59</v>
      </c>
      <c r="AJ56" s="157"/>
      <c r="AK56" s="157"/>
      <c r="AL56" s="157" t="s">
        <v>59</v>
      </c>
      <c r="AM56" s="157"/>
      <c r="AN56" s="157" t="s">
        <v>59</v>
      </c>
      <c r="AO56" s="157" t="s">
        <v>59</v>
      </c>
      <c r="AP56" s="157"/>
      <c r="AQ56" s="173">
        <f t="shared" si="40"/>
        <v>0</v>
      </c>
      <c r="AR56" s="174">
        <f t="shared" si="41"/>
        <v>0</v>
      </c>
    </row>
    <row r="57" spans="1:44" ht="14.25" customHeight="1" x14ac:dyDescent="0.5">
      <c r="A57" s="233" t="s">
        <v>72</v>
      </c>
      <c r="B57" s="165" t="s">
        <v>179</v>
      </c>
      <c r="C57" s="182" t="s">
        <v>180</v>
      </c>
      <c r="L57" s="207">
        <f>N57+P57+S57+T57+U57+V57+W57</f>
        <v>1765000</v>
      </c>
      <c r="M57" s="216"/>
      <c r="N57" s="216">
        <v>0</v>
      </c>
      <c r="O57" s="216">
        <f t="shared" si="38"/>
        <v>0</v>
      </c>
      <c r="P57" s="221">
        <v>265000</v>
      </c>
      <c r="Q57" s="221">
        <f t="shared" si="39"/>
        <v>265000</v>
      </c>
      <c r="R57" s="222" t="s">
        <v>298</v>
      </c>
      <c r="S57" s="216"/>
      <c r="T57" s="216">
        <v>1500000</v>
      </c>
      <c r="U57" s="216"/>
      <c r="V57" s="216"/>
      <c r="W57" s="216"/>
      <c r="X57" s="216">
        <v>225000</v>
      </c>
      <c r="Y57" s="171" t="s">
        <v>299</v>
      </c>
      <c r="Z57" s="185" t="s">
        <v>260</v>
      </c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 t="s">
        <v>59</v>
      </c>
      <c r="AP57" s="180" t="s">
        <v>59</v>
      </c>
      <c r="AQ57" s="173">
        <f t="shared" si="40"/>
        <v>0</v>
      </c>
      <c r="AR57" s="174">
        <f t="shared" si="41"/>
        <v>265000</v>
      </c>
    </row>
    <row r="58" spans="1:44" x14ac:dyDescent="0.5">
      <c r="A58" s="232" t="s">
        <v>63</v>
      </c>
      <c r="B58" s="165" t="s">
        <v>181</v>
      </c>
      <c r="C58" s="177" t="s">
        <v>182</v>
      </c>
      <c r="D58" s="177"/>
      <c r="E58" s="177"/>
      <c r="F58" s="177"/>
      <c r="G58" s="177"/>
      <c r="H58" s="177"/>
      <c r="I58" s="177"/>
      <c r="J58" s="177"/>
      <c r="K58" s="177"/>
      <c r="L58" s="206">
        <f>N58+P58+S58+T58+U58+V58+W58</f>
        <v>50000</v>
      </c>
      <c r="M58" s="216">
        <v>0</v>
      </c>
      <c r="N58" s="216">
        <v>0</v>
      </c>
      <c r="O58" s="216">
        <f t="shared" si="38"/>
        <v>0</v>
      </c>
      <c r="P58" s="221">
        <v>50000</v>
      </c>
      <c r="Q58" s="221">
        <f t="shared" si="39"/>
        <v>50000</v>
      </c>
      <c r="R58" s="222" t="s">
        <v>300</v>
      </c>
      <c r="S58" s="218"/>
      <c r="T58" s="218"/>
      <c r="U58" s="218"/>
      <c r="V58" s="218"/>
      <c r="W58" s="218"/>
      <c r="X58" s="218"/>
      <c r="Y58" s="171" t="s">
        <v>301</v>
      </c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73">
        <f t="shared" si="40"/>
        <v>0</v>
      </c>
      <c r="AR58" s="174">
        <f t="shared" si="41"/>
        <v>50000</v>
      </c>
    </row>
    <row r="59" spans="1:44" x14ac:dyDescent="0.5">
      <c r="L59" s="206"/>
      <c r="M59" s="216"/>
      <c r="N59" s="216"/>
      <c r="O59" s="216"/>
      <c r="P59" s="218"/>
      <c r="Q59" s="218"/>
      <c r="R59" s="218"/>
      <c r="S59" s="218"/>
      <c r="T59" s="218"/>
      <c r="U59" s="218"/>
      <c r="V59" s="218"/>
      <c r="W59" s="218"/>
      <c r="X59" s="218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</row>
    <row r="60" spans="1:44" s="191" customFormat="1" ht="18.350000000000001" thickBot="1" x14ac:dyDescent="0.55000000000000004">
      <c r="A60" s="234"/>
      <c r="B60" s="188"/>
      <c r="C60" s="187"/>
      <c r="D60" s="187"/>
      <c r="E60" s="187"/>
      <c r="F60" s="187"/>
      <c r="G60" s="187"/>
      <c r="H60" s="187"/>
      <c r="I60" s="187"/>
      <c r="J60" s="187"/>
      <c r="K60" s="187"/>
      <c r="L60" s="189">
        <f t="shared" ref="L60:X60" si="43">SUM(L6:L58)</f>
        <v>107287500</v>
      </c>
      <c r="M60" s="189">
        <f t="shared" si="43"/>
        <v>30808997</v>
      </c>
      <c r="N60" s="189">
        <f t="shared" si="43"/>
        <v>14066650</v>
      </c>
      <c r="O60" s="189">
        <f t="shared" si="43"/>
        <v>16742347</v>
      </c>
      <c r="P60" s="189">
        <f t="shared" si="43"/>
        <v>24904850</v>
      </c>
      <c r="Q60" s="189">
        <f t="shared" si="43"/>
        <v>6952503</v>
      </c>
      <c r="R60" s="189">
        <f t="shared" si="43"/>
        <v>0</v>
      </c>
      <c r="S60" s="189">
        <f t="shared" si="43"/>
        <v>15100000</v>
      </c>
      <c r="T60" s="189">
        <f t="shared" si="43"/>
        <v>21671000</v>
      </c>
      <c r="U60" s="189">
        <f t="shared" si="43"/>
        <v>23950000</v>
      </c>
      <c r="V60" s="189">
        <f t="shared" si="43"/>
        <v>4700000</v>
      </c>
      <c r="W60" s="189">
        <f t="shared" si="43"/>
        <v>4200000</v>
      </c>
      <c r="X60" s="189">
        <f t="shared" si="43"/>
        <v>20005916</v>
      </c>
      <c r="Y60" s="189"/>
      <c r="Z60" s="189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0"/>
      <c r="AN60" s="190"/>
      <c r="AO60" s="190"/>
      <c r="AP60" s="190"/>
    </row>
    <row r="61" spans="1:44" s="198" customFormat="1" ht="20.25" customHeight="1" thickTop="1" thickBot="1" x14ac:dyDescent="0.55000000000000004">
      <c r="A61" s="194"/>
      <c r="B61" s="193"/>
      <c r="C61" s="192"/>
      <c r="D61" s="192"/>
      <c r="E61" s="192"/>
      <c r="F61" s="192"/>
      <c r="G61" s="192"/>
      <c r="H61" s="192"/>
      <c r="I61" s="192"/>
      <c r="J61" s="192"/>
      <c r="K61" s="192"/>
      <c r="L61" s="208" t="s">
        <v>183</v>
      </c>
      <c r="M61" s="425" t="s">
        <v>191</v>
      </c>
      <c r="N61" s="425" t="s">
        <v>192</v>
      </c>
      <c r="O61" s="425" t="s">
        <v>193</v>
      </c>
      <c r="P61" s="427" t="s">
        <v>194</v>
      </c>
      <c r="Q61" s="419" t="s">
        <v>195</v>
      </c>
      <c r="R61" s="195"/>
      <c r="S61" s="196">
        <v>2026</v>
      </c>
      <c r="T61" s="196">
        <v>2027</v>
      </c>
      <c r="U61" s="196">
        <v>2028</v>
      </c>
      <c r="V61" s="196">
        <v>2029</v>
      </c>
      <c r="W61" s="196">
        <v>2030</v>
      </c>
      <c r="X61" s="194"/>
      <c r="Y61" s="194"/>
      <c r="Z61" s="194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</row>
    <row r="62" spans="1:44" ht="20" thickTop="1" thickBot="1" x14ac:dyDescent="0.55000000000000004">
      <c r="C62" s="199"/>
      <c r="D62" s="199"/>
      <c r="E62" s="199"/>
      <c r="F62" s="199"/>
      <c r="G62" s="199"/>
      <c r="H62" s="199"/>
      <c r="I62" s="199"/>
      <c r="J62" s="199"/>
      <c r="K62" s="199"/>
      <c r="L62" s="209"/>
      <c r="M62" s="426"/>
      <c r="N62" s="426"/>
      <c r="O62" s="426"/>
      <c r="P62" s="428"/>
      <c r="Q62" s="420"/>
      <c r="R62" s="200"/>
    </row>
    <row r="63" spans="1:44" ht="16" thickTop="1" x14ac:dyDescent="0.5">
      <c r="C63" s="199"/>
      <c r="D63" s="199"/>
      <c r="E63" s="199"/>
      <c r="F63" s="199"/>
      <c r="G63" s="199"/>
      <c r="H63" s="199"/>
      <c r="I63" s="199"/>
      <c r="J63" s="199"/>
      <c r="K63" s="199"/>
      <c r="L63" s="210"/>
      <c r="M63" s="202"/>
      <c r="N63" s="202"/>
      <c r="O63" s="202"/>
      <c r="P63" s="202"/>
      <c r="Q63" s="202"/>
      <c r="R63" s="202"/>
    </row>
    <row r="64" spans="1:44" ht="15.7" x14ac:dyDescent="0.5">
      <c r="C64" s="199"/>
      <c r="D64" s="199"/>
      <c r="E64" s="199"/>
      <c r="F64" s="199"/>
      <c r="G64" s="199"/>
      <c r="H64" s="199"/>
      <c r="I64" s="199"/>
      <c r="J64" s="199"/>
      <c r="K64" s="199"/>
      <c r="L64" s="209"/>
      <c r="M64" s="203"/>
      <c r="N64" s="203"/>
      <c r="O64" s="203"/>
      <c r="P64" s="203"/>
      <c r="Q64" s="203"/>
      <c r="R64" s="203"/>
    </row>
    <row r="65" spans="2:18" x14ac:dyDescent="0.5">
      <c r="L65" s="206"/>
    </row>
    <row r="66" spans="2:18" x14ac:dyDescent="0.5">
      <c r="L66" s="206"/>
      <c r="N66" s="204"/>
      <c r="O66" s="204"/>
    </row>
    <row r="67" spans="2:18" x14ac:dyDescent="0.5">
      <c r="L67" s="206"/>
      <c r="N67" s="204"/>
      <c r="O67" s="204"/>
      <c r="P67" s="170">
        <f>P60-Q60</f>
        <v>17952347</v>
      </c>
    </row>
    <row r="68" spans="2:18" x14ac:dyDescent="0.5">
      <c r="L68" s="206"/>
      <c r="N68" s="204"/>
      <c r="O68" s="204"/>
    </row>
    <row r="71" spans="2:18" x14ac:dyDescent="0.5">
      <c r="C71" s="186" t="s">
        <v>302</v>
      </c>
      <c r="D71" s="186"/>
      <c r="E71" s="186"/>
      <c r="F71" s="186"/>
      <c r="G71" s="186"/>
      <c r="H71" s="186"/>
      <c r="I71" s="186"/>
      <c r="J71" s="186"/>
      <c r="K71" s="186"/>
      <c r="P71" s="205"/>
      <c r="Q71" s="205"/>
      <c r="R71" s="205"/>
    </row>
    <row r="72" spans="2:18" x14ac:dyDescent="0.5">
      <c r="B72" s="165" t="s">
        <v>303</v>
      </c>
      <c r="C72" s="182" t="s">
        <v>304</v>
      </c>
      <c r="M72" s="168">
        <v>135000</v>
      </c>
      <c r="N72" s="169">
        <v>55000</v>
      </c>
      <c r="O72" s="169">
        <f t="shared" ref="O72:O74" si="44">M72-N72</f>
        <v>80000</v>
      </c>
      <c r="P72" s="169">
        <v>0</v>
      </c>
      <c r="Q72" s="169">
        <f t="shared" ref="Q72:Q74" si="45">P72-O72</f>
        <v>-80000</v>
      </c>
    </row>
    <row r="73" spans="2:18" x14ac:dyDescent="0.5">
      <c r="B73" s="165" t="s">
        <v>305</v>
      </c>
      <c r="C73" s="182" t="s">
        <v>306</v>
      </c>
      <c r="M73" s="168">
        <v>100000</v>
      </c>
      <c r="N73" s="178" t="s">
        <v>307</v>
      </c>
      <c r="O73" s="169" t="e">
        <f t="shared" si="44"/>
        <v>#VALUE!</v>
      </c>
      <c r="P73" s="169">
        <v>0</v>
      </c>
      <c r="Q73" s="169" t="e">
        <f t="shared" si="45"/>
        <v>#VALUE!</v>
      </c>
    </row>
    <row r="74" spans="2:18" x14ac:dyDescent="0.5">
      <c r="B74" s="165" t="s">
        <v>308</v>
      </c>
      <c r="C74" s="182" t="s">
        <v>309</v>
      </c>
      <c r="M74" s="168">
        <v>523975</v>
      </c>
      <c r="N74" s="178" t="s">
        <v>307</v>
      </c>
      <c r="O74" s="169" t="e">
        <f t="shared" si="44"/>
        <v>#VALUE!</v>
      </c>
      <c r="P74" s="169">
        <v>0</v>
      </c>
      <c r="Q74" s="169" t="e">
        <f t="shared" si="45"/>
        <v>#VALUE!</v>
      </c>
    </row>
  </sheetData>
  <mergeCells count="35">
    <mergeCell ref="A41:C41"/>
    <mergeCell ref="A52:C52"/>
    <mergeCell ref="A13:C13"/>
    <mergeCell ref="A5:C5"/>
    <mergeCell ref="A20:C20"/>
    <mergeCell ref="A24:C24"/>
    <mergeCell ref="A31:C31"/>
    <mergeCell ref="A49:C49"/>
    <mergeCell ref="A28:C28"/>
    <mergeCell ref="M61:M62"/>
    <mergeCell ref="N61:N62"/>
    <mergeCell ref="O61:O62"/>
    <mergeCell ref="P61:P62"/>
    <mergeCell ref="J3:J4"/>
    <mergeCell ref="Q61:Q62"/>
    <mergeCell ref="V3:V4"/>
    <mergeCell ref="W3:W4"/>
    <mergeCell ref="X3:Z3"/>
    <mergeCell ref="O3:O4"/>
    <mergeCell ref="P3:P4"/>
    <mergeCell ref="Q3:Q4"/>
    <mergeCell ref="S3:S4"/>
    <mergeCell ref="T3:T4"/>
    <mergeCell ref="U3:U4"/>
    <mergeCell ref="A1:Z1"/>
    <mergeCell ref="A2:Z2"/>
    <mergeCell ref="AA2:AP2"/>
    <mergeCell ref="A3:A4"/>
    <mergeCell ref="B3:B4"/>
    <mergeCell ref="C3:C4"/>
    <mergeCell ref="L3:L4"/>
    <mergeCell ref="M3:M4"/>
    <mergeCell ref="N3:N4"/>
    <mergeCell ref="E3:H3"/>
    <mergeCell ref="K3:K4"/>
  </mergeCells>
  <printOptions horizontalCentered="1"/>
  <pageMargins left="0.7" right="0.7" top="0.75" bottom="0.75" header="0.3" footer="0.3"/>
  <pageSetup paperSize="17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386F-3FED-4E16-AC3F-71B32046EE80}">
  <sheetPr>
    <pageSetUpPr fitToPage="1"/>
  </sheetPr>
  <dimension ref="A1:BC5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42" sqref="U42"/>
    </sheetView>
  </sheetViews>
  <sheetFormatPr defaultRowHeight="15" customHeight="1" x14ac:dyDescent="0.5"/>
  <cols>
    <col min="1" max="1" width="47.5859375" customWidth="1"/>
    <col min="2" max="2" width="11.41015625" customWidth="1"/>
    <col min="3" max="3" width="9.1171875" customWidth="1"/>
    <col min="4" max="6" width="3.5859375" customWidth="1"/>
    <col min="7" max="7" width="17.1171875" customWidth="1"/>
    <col min="8" max="19" width="5.5859375" hidden="1" customWidth="1"/>
    <col min="20" max="43" width="5.5859375" customWidth="1"/>
    <col min="44" max="55" width="5.5859375" hidden="1" customWidth="1"/>
  </cols>
  <sheetData>
    <row r="1" spans="1:55" ht="14.7" thickBot="1" x14ac:dyDescent="0.55000000000000004">
      <c r="A1" s="79"/>
      <c r="B1" s="80"/>
      <c r="C1" s="92" t="s">
        <v>310</v>
      </c>
      <c r="D1" s="435">
        <v>45579</v>
      </c>
      <c r="E1" s="436"/>
      <c r="F1" s="436"/>
      <c r="G1" s="93"/>
      <c r="H1" s="432">
        <v>2023</v>
      </c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3">
        <v>2024</v>
      </c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4"/>
      <c r="AF1" s="432">
        <v>2025</v>
      </c>
      <c r="AG1" s="432"/>
      <c r="AH1" s="432"/>
      <c r="AI1" s="432"/>
      <c r="AJ1" s="432"/>
      <c r="AK1" s="432"/>
      <c r="AL1" s="432"/>
      <c r="AM1" s="432"/>
      <c r="AN1" s="432"/>
      <c r="AO1" s="432"/>
      <c r="AP1" s="432"/>
      <c r="AQ1" s="434"/>
      <c r="AR1" s="432">
        <v>2026</v>
      </c>
      <c r="AS1" s="432"/>
      <c r="AT1" s="432"/>
      <c r="AU1" s="432"/>
      <c r="AV1" s="432"/>
      <c r="AW1" s="432"/>
      <c r="AX1" s="432"/>
      <c r="AY1" s="432"/>
      <c r="AZ1" s="432"/>
      <c r="BA1" s="432"/>
      <c r="BB1" s="432"/>
      <c r="BC1" s="434"/>
    </row>
    <row r="2" spans="1:55" ht="53.35" thickBot="1" x14ac:dyDescent="0.6">
      <c r="A2" s="124" t="s">
        <v>5</v>
      </c>
      <c r="B2" s="125" t="s">
        <v>311</v>
      </c>
      <c r="C2" s="126" t="s">
        <v>206</v>
      </c>
      <c r="D2" s="127" t="s">
        <v>312</v>
      </c>
      <c r="E2" s="127" t="s">
        <v>313</v>
      </c>
      <c r="F2" s="127" t="s">
        <v>314</v>
      </c>
      <c r="G2" s="155" t="s">
        <v>6</v>
      </c>
      <c r="H2" s="82" t="s">
        <v>315</v>
      </c>
      <c r="I2" s="82" t="s">
        <v>316</v>
      </c>
      <c r="J2" s="82" t="s">
        <v>317</v>
      </c>
      <c r="K2" s="82" t="s">
        <v>318</v>
      </c>
      <c r="L2" s="82" t="s">
        <v>317</v>
      </c>
      <c r="M2" s="82" t="s">
        <v>315</v>
      </c>
      <c r="N2" s="82" t="s">
        <v>315</v>
      </c>
      <c r="O2" s="82" t="s">
        <v>318</v>
      </c>
      <c r="P2" s="82" t="s">
        <v>319</v>
      </c>
      <c r="Q2" s="82" t="s">
        <v>320</v>
      </c>
      <c r="R2" s="82" t="s">
        <v>321</v>
      </c>
      <c r="S2" s="82" t="s">
        <v>322</v>
      </c>
      <c r="T2" s="81" t="s">
        <v>315</v>
      </c>
      <c r="U2" s="82" t="s">
        <v>316</v>
      </c>
      <c r="V2" s="82" t="s">
        <v>317</v>
      </c>
      <c r="W2" s="82" t="s">
        <v>318</v>
      </c>
      <c r="X2" s="82" t="s">
        <v>317</v>
      </c>
      <c r="Y2" s="82" t="s">
        <v>315</v>
      </c>
      <c r="Z2" s="82" t="s">
        <v>315</v>
      </c>
      <c r="AA2" s="82" t="s">
        <v>318</v>
      </c>
      <c r="AB2" s="82" t="s">
        <v>319</v>
      </c>
      <c r="AC2" s="82" t="s">
        <v>320</v>
      </c>
      <c r="AD2" s="82" t="s">
        <v>321</v>
      </c>
      <c r="AE2" s="83" t="s">
        <v>322</v>
      </c>
      <c r="AF2" s="82" t="s">
        <v>315</v>
      </c>
      <c r="AG2" s="82" t="s">
        <v>316</v>
      </c>
      <c r="AH2" s="82" t="s">
        <v>317</v>
      </c>
      <c r="AI2" s="82" t="s">
        <v>318</v>
      </c>
      <c r="AJ2" s="82" t="s">
        <v>317</v>
      </c>
      <c r="AK2" s="82" t="s">
        <v>315</v>
      </c>
      <c r="AL2" s="82" t="s">
        <v>315</v>
      </c>
      <c r="AM2" s="82" t="s">
        <v>318</v>
      </c>
      <c r="AN2" s="82" t="s">
        <v>319</v>
      </c>
      <c r="AO2" s="82" t="s">
        <v>320</v>
      </c>
      <c r="AP2" s="82" t="s">
        <v>321</v>
      </c>
      <c r="AQ2" s="83" t="s">
        <v>322</v>
      </c>
      <c r="AR2" s="82" t="s">
        <v>315</v>
      </c>
      <c r="AS2" s="82" t="s">
        <v>316</v>
      </c>
      <c r="AT2" s="82" t="s">
        <v>317</v>
      </c>
      <c r="AU2" s="82" t="s">
        <v>318</v>
      </c>
      <c r="AV2" s="82" t="s">
        <v>317</v>
      </c>
      <c r="AW2" s="82" t="s">
        <v>315</v>
      </c>
      <c r="AX2" s="82" t="s">
        <v>315</v>
      </c>
      <c r="AY2" s="82" t="s">
        <v>318</v>
      </c>
      <c r="AZ2" s="82" t="s">
        <v>319</v>
      </c>
      <c r="BA2" s="82" t="s">
        <v>320</v>
      </c>
      <c r="BB2" s="82" t="s">
        <v>321</v>
      </c>
      <c r="BC2" s="83" t="s">
        <v>322</v>
      </c>
    </row>
    <row r="3" spans="1:55" ht="14.35" x14ac:dyDescent="0.5">
      <c r="A3" s="105" t="s">
        <v>323</v>
      </c>
      <c r="B3" s="114" t="s">
        <v>324</v>
      </c>
      <c r="C3" s="135" t="s">
        <v>325</v>
      </c>
      <c r="D3" s="88"/>
      <c r="F3" s="88"/>
      <c r="G3" s="102" t="s">
        <v>326</v>
      </c>
      <c r="H3" s="110"/>
      <c r="I3" s="110"/>
      <c r="J3" s="110"/>
      <c r="K3" s="110"/>
      <c r="L3" s="110"/>
      <c r="M3" s="110"/>
      <c r="N3" s="110"/>
      <c r="O3" s="110"/>
      <c r="P3" s="110"/>
      <c r="Q3" s="115"/>
      <c r="R3" s="115"/>
      <c r="S3" s="115"/>
      <c r="T3" s="116"/>
      <c r="U3" s="117"/>
      <c r="V3" s="117"/>
      <c r="W3" s="117"/>
      <c r="X3" s="117"/>
      <c r="Y3" s="111"/>
      <c r="Z3" s="74"/>
      <c r="AA3" s="74"/>
      <c r="AB3" s="76"/>
      <c r="AC3" s="76"/>
      <c r="AD3" s="112"/>
      <c r="AE3" s="334"/>
      <c r="AF3" s="77"/>
      <c r="AG3" s="77"/>
      <c r="AH3" s="77"/>
      <c r="AI3" s="77"/>
      <c r="AJ3" s="77"/>
      <c r="AK3" s="77"/>
      <c r="AL3" s="88"/>
      <c r="AM3" s="88"/>
      <c r="AN3" s="88"/>
      <c r="AO3" s="88"/>
      <c r="AP3" s="88"/>
      <c r="AQ3" s="102"/>
      <c r="BC3" s="95"/>
    </row>
    <row r="4" spans="1:55" ht="14.35" x14ac:dyDescent="0.5">
      <c r="A4" s="106" t="s">
        <v>327</v>
      </c>
      <c r="B4" s="84" t="s">
        <v>324</v>
      </c>
      <c r="C4" s="138" t="s">
        <v>325</v>
      </c>
      <c r="G4" s="95" t="s">
        <v>328</v>
      </c>
      <c r="R4" s="68"/>
      <c r="S4" s="68"/>
      <c r="T4" s="96"/>
      <c r="U4" s="67"/>
      <c r="V4" s="67"/>
      <c r="W4" s="67"/>
      <c r="X4" s="70"/>
      <c r="Y4" s="65"/>
      <c r="Z4" s="66"/>
      <c r="AA4" s="77"/>
      <c r="AB4" s="65"/>
      <c r="AC4" s="65"/>
      <c r="AE4" s="130"/>
      <c r="AF4" s="67"/>
      <c r="AG4" s="67"/>
      <c r="AH4" s="70"/>
      <c r="AI4" s="64"/>
      <c r="AJ4" s="64"/>
      <c r="AK4" s="65"/>
      <c r="AL4" s="66"/>
      <c r="AM4" s="66"/>
      <c r="AN4" s="66"/>
      <c r="AQ4" s="95"/>
      <c r="AR4" s="67"/>
      <c r="AS4" s="67"/>
      <c r="AT4" s="70"/>
      <c r="AU4" s="64"/>
      <c r="AV4" s="64"/>
      <c r="AW4" s="65"/>
      <c r="AX4" s="66"/>
      <c r="AY4" s="66"/>
      <c r="AZ4" s="66"/>
      <c r="BC4" s="97"/>
    </row>
    <row r="5" spans="1:55" ht="14.35" x14ac:dyDescent="0.5">
      <c r="A5" s="106" t="s">
        <v>329</v>
      </c>
      <c r="B5" s="84" t="s">
        <v>324</v>
      </c>
      <c r="C5" s="138" t="s">
        <v>325</v>
      </c>
      <c r="G5" s="95" t="s">
        <v>328</v>
      </c>
      <c r="O5" s="68"/>
      <c r="P5" s="72"/>
      <c r="Q5" s="72"/>
      <c r="R5" s="72"/>
      <c r="S5" s="68"/>
      <c r="T5" s="96"/>
      <c r="U5" s="67"/>
      <c r="V5" s="67"/>
      <c r="W5" s="67"/>
      <c r="X5" s="69"/>
      <c r="Y5" s="70"/>
      <c r="Z5" s="66"/>
      <c r="AA5" s="66"/>
      <c r="AB5" s="66"/>
      <c r="AC5" s="66"/>
      <c r="AE5" s="95"/>
      <c r="AQ5" s="95"/>
      <c r="BC5" s="95"/>
    </row>
    <row r="6" spans="1:55" ht="14.35" x14ac:dyDescent="0.5">
      <c r="A6" s="106" t="s">
        <v>330</v>
      </c>
      <c r="B6" s="84" t="s">
        <v>324</v>
      </c>
      <c r="C6" s="138" t="s">
        <v>325</v>
      </c>
      <c r="G6" s="95" t="s">
        <v>328</v>
      </c>
      <c r="O6" s="68"/>
      <c r="P6" s="72"/>
      <c r="Q6" s="72"/>
      <c r="R6" s="72"/>
      <c r="S6" s="68"/>
      <c r="T6" s="96"/>
      <c r="U6" s="67"/>
      <c r="V6" s="67"/>
      <c r="W6" s="67"/>
      <c r="X6" s="69"/>
      <c r="Y6" s="70"/>
      <c r="Z6" s="66"/>
      <c r="AA6" s="66"/>
      <c r="AB6" s="66"/>
      <c r="AC6" s="66"/>
      <c r="AE6" s="95"/>
      <c r="AQ6" s="95"/>
      <c r="BC6" s="95"/>
    </row>
    <row r="7" spans="1:55" ht="14.35" x14ac:dyDescent="0.5">
      <c r="A7" s="106" t="s">
        <v>331</v>
      </c>
      <c r="B7" s="85" t="s">
        <v>332</v>
      </c>
      <c r="C7" s="136" t="s">
        <v>325</v>
      </c>
      <c r="G7" s="95" t="s">
        <v>333</v>
      </c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96"/>
      <c r="U7" s="67"/>
      <c r="V7" s="67"/>
      <c r="W7" s="67"/>
      <c r="X7" s="67"/>
      <c r="Y7" s="75"/>
      <c r="Z7" s="74"/>
      <c r="AA7" s="74"/>
      <c r="AB7" s="74"/>
      <c r="AC7" s="74"/>
      <c r="AD7" s="74"/>
      <c r="AE7" s="211"/>
      <c r="AF7" s="76"/>
      <c r="AG7" s="77"/>
      <c r="AH7" s="77"/>
      <c r="AI7" s="77"/>
      <c r="AJ7" s="77"/>
      <c r="AK7" s="77"/>
      <c r="AQ7" s="95"/>
      <c r="BC7" s="95"/>
    </row>
    <row r="8" spans="1:55" ht="14.35" x14ac:dyDescent="0.5">
      <c r="A8" s="106" t="s">
        <v>334</v>
      </c>
      <c r="B8" s="85" t="s">
        <v>332</v>
      </c>
      <c r="C8" s="137" t="s">
        <v>325</v>
      </c>
      <c r="G8" s="95" t="s">
        <v>335</v>
      </c>
      <c r="M8" s="67"/>
      <c r="N8" s="67"/>
      <c r="O8" s="67"/>
      <c r="P8" s="67"/>
      <c r="Q8" s="67"/>
      <c r="R8" s="67"/>
      <c r="S8" s="67"/>
      <c r="T8" s="96"/>
      <c r="U8" s="67"/>
      <c r="V8" s="67"/>
      <c r="W8" s="67"/>
      <c r="X8" s="76"/>
      <c r="Y8" s="77"/>
      <c r="Z8" s="77"/>
      <c r="AA8" s="77"/>
      <c r="AB8" s="77"/>
      <c r="AC8" s="77"/>
      <c r="AE8" s="95"/>
      <c r="AQ8" s="95"/>
      <c r="BC8" s="95"/>
    </row>
    <row r="9" spans="1:55" ht="14.35" x14ac:dyDescent="0.5">
      <c r="A9" s="106" t="s">
        <v>336</v>
      </c>
      <c r="B9" s="87" t="s">
        <v>337</v>
      </c>
      <c r="C9" s="138" t="s">
        <v>325</v>
      </c>
      <c r="G9" s="95" t="s">
        <v>338</v>
      </c>
      <c r="L9" s="67"/>
      <c r="M9" s="67"/>
      <c r="N9" s="67"/>
      <c r="O9" s="67"/>
      <c r="P9" s="67"/>
      <c r="Q9" s="67"/>
      <c r="R9" s="67"/>
      <c r="S9" s="67"/>
      <c r="T9" s="96"/>
      <c r="U9" s="67"/>
      <c r="V9" s="67"/>
      <c r="W9" s="67"/>
      <c r="X9" s="75"/>
      <c r="Y9" s="75"/>
      <c r="Z9" s="75"/>
      <c r="AA9" s="75"/>
      <c r="AB9" s="75"/>
      <c r="AC9" s="75"/>
      <c r="AD9" s="75"/>
      <c r="AE9" s="212"/>
      <c r="AF9" s="76"/>
      <c r="AG9" s="77"/>
      <c r="AH9" s="77"/>
      <c r="AI9" s="77"/>
      <c r="AJ9" s="77"/>
      <c r="AK9" s="77"/>
      <c r="AQ9" s="95"/>
      <c r="BC9" s="95"/>
    </row>
    <row r="10" spans="1:55" ht="14.35" x14ac:dyDescent="0.5">
      <c r="A10" s="106" t="s">
        <v>339</v>
      </c>
      <c r="B10" s="87" t="s">
        <v>337</v>
      </c>
      <c r="C10" s="139" t="s">
        <v>325</v>
      </c>
      <c r="G10" s="95" t="s">
        <v>340</v>
      </c>
      <c r="O10" s="72"/>
      <c r="P10" s="72"/>
      <c r="Q10" s="72"/>
      <c r="R10" s="67"/>
      <c r="S10" s="67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E10" s="95"/>
      <c r="AQ10" s="95"/>
      <c r="BC10" s="95"/>
    </row>
    <row r="11" spans="1:55" ht="15" customHeight="1" x14ac:dyDescent="0.5">
      <c r="A11" s="106" t="s">
        <v>341</v>
      </c>
      <c r="B11" s="84" t="s">
        <v>324</v>
      </c>
      <c r="C11" s="156" t="s">
        <v>342</v>
      </c>
      <c r="G11" s="95" t="s">
        <v>343</v>
      </c>
      <c r="O11" s="68"/>
      <c r="P11" s="72"/>
      <c r="Q11" s="72"/>
      <c r="R11" s="72"/>
      <c r="S11" s="72"/>
      <c r="T11" s="94"/>
      <c r="AA11" s="68"/>
      <c r="AB11" s="68"/>
      <c r="AC11" s="67"/>
      <c r="AD11" s="67"/>
      <c r="AE11" s="97"/>
      <c r="AF11" s="67"/>
      <c r="AG11" s="67"/>
      <c r="AH11" s="67"/>
      <c r="AI11" s="67"/>
      <c r="AJ11" s="75"/>
      <c r="AK11" s="75"/>
      <c r="AL11" s="75"/>
      <c r="AM11" s="75"/>
      <c r="AN11" s="74"/>
      <c r="AO11" s="74"/>
      <c r="AP11" s="74"/>
      <c r="AQ11" s="74"/>
      <c r="BC11" s="95"/>
    </row>
    <row r="12" spans="1:55" ht="15" customHeight="1" x14ac:dyDescent="0.5">
      <c r="A12" s="106" t="s">
        <v>344</v>
      </c>
      <c r="B12" s="84" t="s">
        <v>324</v>
      </c>
      <c r="C12" s="156" t="s">
        <v>342</v>
      </c>
      <c r="G12" s="95" t="s">
        <v>345</v>
      </c>
      <c r="N12" s="68"/>
      <c r="O12" s="68"/>
      <c r="P12" s="72"/>
      <c r="Q12" s="72"/>
      <c r="R12" s="72"/>
      <c r="S12" s="72"/>
      <c r="T12" s="98"/>
      <c r="U12" s="72"/>
      <c r="V12" s="72"/>
      <c r="W12" s="67"/>
      <c r="X12" s="67"/>
      <c r="Y12" s="67"/>
      <c r="Z12" s="67"/>
      <c r="AA12" s="67"/>
      <c r="AB12" s="67"/>
      <c r="AC12" s="74"/>
      <c r="AD12" s="74"/>
      <c r="AE12" s="211"/>
      <c r="AF12" s="74"/>
      <c r="AG12" s="74"/>
      <c r="AH12" s="74"/>
      <c r="AI12" s="74"/>
      <c r="AJ12" s="74"/>
      <c r="AK12" s="74"/>
      <c r="AL12" s="74"/>
      <c r="AM12" s="74"/>
      <c r="AN12" s="76"/>
      <c r="AO12" s="64"/>
      <c r="AP12" s="64"/>
      <c r="AQ12" s="64"/>
      <c r="AR12" s="67"/>
      <c r="AS12" s="67"/>
      <c r="AT12" s="67"/>
      <c r="AU12" s="70"/>
      <c r="AV12" s="70"/>
      <c r="AW12" s="64"/>
      <c r="AX12" s="64"/>
      <c r="AY12" s="64"/>
      <c r="AZ12" s="64"/>
      <c r="BA12" s="64"/>
      <c r="BB12" s="64"/>
      <c r="BC12" s="335"/>
    </row>
    <row r="13" spans="1:55" ht="15" customHeight="1" x14ac:dyDescent="0.5">
      <c r="A13" s="106" t="s">
        <v>346</v>
      </c>
      <c r="B13" s="86" t="s">
        <v>347</v>
      </c>
      <c r="C13" s="143" t="s">
        <v>348</v>
      </c>
      <c r="G13" s="95" t="s">
        <v>349</v>
      </c>
      <c r="N13" s="68"/>
      <c r="O13" s="68"/>
      <c r="P13" s="72"/>
      <c r="Q13" s="72"/>
      <c r="R13" s="72"/>
      <c r="S13" s="72"/>
      <c r="T13" s="94"/>
      <c r="U13" s="71"/>
      <c r="V13" s="71"/>
      <c r="Z13" s="72"/>
      <c r="AA13" s="72"/>
      <c r="AB13" s="72"/>
      <c r="AC13" s="73"/>
      <c r="AD13" s="73"/>
      <c r="AE13" s="134"/>
      <c r="AF13" s="73"/>
      <c r="AG13" s="73"/>
      <c r="AH13" s="76"/>
      <c r="AI13" s="77"/>
      <c r="AJ13" s="77"/>
      <c r="AK13" s="77"/>
      <c r="AL13" s="71"/>
      <c r="AM13" s="71"/>
      <c r="AN13" s="71"/>
      <c r="AO13" s="71"/>
      <c r="AP13" s="71"/>
      <c r="AR13" s="67"/>
      <c r="AS13" s="67"/>
      <c r="AT13" s="67"/>
      <c r="AU13" s="70"/>
      <c r="AV13" s="70"/>
      <c r="AW13" s="64"/>
      <c r="AX13" s="64"/>
      <c r="AY13" s="64"/>
      <c r="AZ13" s="64"/>
      <c r="BA13" s="64"/>
      <c r="BB13" s="64"/>
      <c r="BC13" s="335"/>
    </row>
    <row r="14" spans="1:55" ht="14.35" x14ac:dyDescent="0.5">
      <c r="A14" s="106" t="s">
        <v>350</v>
      </c>
      <c r="B14" s="84" t="s">
        <v>324</v>
      </c>
      <c r="C14" s="143" t="s">
        <v>348</v>
      </c>
      <c r="G14" s="95" t="s">
        <v>351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128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134"/>
      <c r="AQ14" s="95"/>
      <c r="BC14" s="95"/>
    </row>
    <row r="15" spans="1:55" ht="15" customHeight="1" x14ac:dyDescent="0.5">
      <c r="A15" s="106" t="s">
        <v>352</v>
      </c>
      <c r="B15" s="86" t="s">
        <v>347</v>
      </c>
      <c r="C15" s="144" t="s">
        <v>353</v>
      </c>
      <c r="G15" s="95" t="s">
        <v>354</v>
      </c>
      <c r="M15" s="72"/>
      <c r="N15" s="72"/>
      <c r="O15" s="72"/>
      <c r="P15" s="72"/>
      <c r="Q15" s="72"/>
      <c r="R15" s="72"/>
      <c r="S15" s="67"/>
      <c r="T15" s="96"/>
      <c r="U15" s="67"/>
      <c r="V15" s="67"/>
      <c r="W15" s="67"/>
      <c r="X15" s="67"/>
      <c r="Y15" s="67"/>
      <c r="Z15" s="67"/>
      <c r="AA15" s="67"/>
      <c r="AB15" s="67"/>
      <c r="AC15" s="67"/>
      <c r="AD15" s="73"/>
      <c r="AE15" s="134"/>
      <c r="AF15" s="71"/>
      <c r="AG15" s="71"/>
      <c r="AI15" s="104"/>
      <c r="AJ15" s="104"/>
      <c r="AK15" s="104"/>
      <c r="AL15" s="104"/>
      <c r="AM15" s="104"/>
      <c r="AN15" s="104"/>
      <c r="AO15" s="104"/>
      <c r="AQ15" s="95"/>
      <c r="BC15" s="95"/>
    </row>
    <row r="16" spans="1:55" ht="15" customHeight="1" x14ac:dyDescent="0.5">
      <c r="A16" s="106" t="s">
        <v>355</v>
      </c>
      <c r="B16" s="86" t="s">
        <v>347</v>
      </c>
      <c r="C16" s="144" t="s">
        <v>353</v>
      </c>
      <c r="G16" s="95" t="s">
        <v>356</v>
      </c>
      <c r="M16" s="72"/>
      <c r="N16" s="72"/>
      <c r="O16" s="72"/>
      <c r="P16" s="72"/>
      <c r="Q16" s="72"/>
      <c r="R16" s="72"/>
      <c r="S16" s="67"/>
      <c r="T16" s="94"/>
      <c r="V16" s="72"/>
      <c r="W16" s="72"/>
      <c r="X16" s="72"/>
      <c r="Y16" s="72"/>
      <c r="Z16" s="73"/>
      <c r="AA16" s="73"/>
      <c r="AB16" s="73"/>
      <c r="AC16" s="73"/>
      <c r="AD16" s="73"/>
      <c r="AE16" s="134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BC16" s="95"/>
    </row>
    <row r="17" spans="1:55" ht="14.35" x14ac:dyDescent="0.5">
      <c r="A17" s="106" t="s">
        <v>357</v>
      </c>
      <c r="B17" s="84" t="s">
        <v>324</v>
      </c>
      <c r="C17" s="145" t="s">
        <v>358</v>
      </c>
      <c r="G17" s="95" t="s">
        <v>120</v>
      </c>
      <c r="O17" s="73"/>
      <c r="P17" s="73"/>
      <c r="Q17" s="73"/>
      <c r="R17" s="76"/>
      <c r="S17" s="77"/>
      <c r="T17" s="129"/>
      <c r="U17" s="72"/>
      <c r="V17" s="73"/>
      <c r="W17" s="73"/>
      <c r="X17" s="73"/>
      <c r="Y17" s="73"/>
      <c r="Z17" s="76"/>
      <c r="AA17" s="77"/>
      <c r="AB17" s="77"/>
      <c r="AC17" s="104"/>
      <c r="AE17" s="133"/>
      <c r="AF17" s="129"/>
      <c r="AG17" s="73"/>
      <c r="AH17" s="76"/>
      <c r="AI17" s="77"/>
      <c r="AJ17" s="77"/>
      <c r="AK17" s="77"/>
      <c r="AL17" s="66"/>
      <c r="AM17" s="104"/>
      <c r="AN17" s="104"/>
      <c r="AO17" s="104"/>
      <c r="AQ17" s="95"/>
      <c r="AW17" s="73"/>
      <c r="AX17" s="73"/>
      <c r="AY17" s="76"/>
      <c r="AZ17" s="77"/>
      <c r="BA17" s="77"/>
      <c r="BC17" s="95"/>
    </row>
    <row r="18" spans="1:55" ht="14.35" x14ac:dyDescent="0.5">
      <c r="A18" s="106" t="s">
        <v>359</v>
      </c>
      <c r="B18" s="84" t="s">
        <v>324</v>
      </c>
      <c r="C18" s="145" t="s">
        <v>358</v>
      </c>
      <c r="G18" s="95" t="s">
        <v>120</v>
      </c>
      <c r="N18" s="72"/>
      <c r="O18" s="72"/>
      <c r="P18" s="67"/>
      <c r="Q18" s="67"/>
      <c r="R18" s="67"/>
      <c r="S18" s="73"/>
      <c r="T18" s="128"/>
      <c r="U18" s="73"/>
      <c r="V18" s="73"/>
      <c r="W18" s="77"/>
      <c r="X18" s="77"/>
      <c r="Y18" s="77"/>
      <c r="Z18" s="77"/>
      <c r="AA18" s="77"/>
      <c r="AB18" s="77"/>
      <c r="AE18" s="95"/>
      <c r="AQ18" s="95"/>
      <c r="BC18" s="95"/>
    </row>
    <row r="19" spans="1:55" ht="14.7" thickBot="1" x14ac:dyDescent="0.55000000000000004">
      <c r="A19" s="107" t="s">
        <v>98</v>
      </c>
      <c r="B19" s="108" t="s">
        <v>324</v>
      </c>
      <c r="C19" s="146" t="s">
        <v>358</v>
      </c>
      <c r="D19" s="63"/>
      <c r="E19" s="63"/>
      <c r="F19" s="63"/>
      <c r="G19" s="100" t="s">
        <v>360</v>
      </c>
      <c r="H19" s="109"/>
      <c r="I19" s="109"/>
      <c r="J19" s="109"/>
      <c r="K19" s="109"/>
      <c r="L19" s="109"/>
      <c r="M19" s="91"/>
      <c r="N19" s="90"/>
      <c r="O19" s="90"/>
      <c r="P19" s="90"/>
      <c r="Q19" s="90"/>
      <c r="R19" s="63"/>
      <c r="S19" s="63"/>
      <c r="T19" s="132"/>
      <c r="U19" s="89"/>
      <c r="V19" s="109"/>
      <c r="W19" s="109"/>
      <c r="X19" s="109"/>
      <c r="Y19" s="109"/>
      <c r="Z19" s="109"/>
      <c r="AA19" s="109"/>
      <c r="AB19" s="109"/>
      <c r="AC19" s="109"/>
      <c r="AD19" s="109"/>
      <c r="AE19" s="131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67"/>
      <c r="AS19" s="67"/>
      <c r="AT19" s="67"/>
      <c r="AU19" s="67"/>
      <c r="AV19" s="67"/>
      <c r="AW19" s="76"/>
      <c r="AX19" s="77"/>
      <c r="AY19" s="77"/>
      <c r="AZ19" s="77"/>
      <c r="BC19" s="95"/>
    </row>
    <row r="20" spans="1:55" ht="14.35" hidden="1" x14ac:dyDescent="0.5">
      <c r="A20" s="106" t="s">
        <v>361</v>
      </c>
      <c r="B20" s="84" t="s">
        <v>324</v>
      </c>
      <c r="C20" s="141"/>
      <c r="G20" s="95"/>
      <c r="O20" s="68"/>
      <c r="P20" s="72"/>
      <c r="Q20" s="72"/>
      <c r="R20" s="72"/>
      <c r="S20" s="72"/>
      <c r="T20" s="94"/>
      <c r="W20" s="2"/>
      <c r="Y20" s="2"/>
      <c r="AA20" s="68"/>
      <c r="AB20" s="68"/>
      <c r="AC20" s="68"/>
      <c r="AE20" s="95"/>
      <c r="AM20" s="68"/>
      <c r="AN20" s="68"/>
      <c r="AQ20" s="95"/>
      <c r="BC20" s="95"/>
    </row>
    <row r="21" spans="1:55" ht="14.35" hidden="1" x14ac:dyDescent="0.5">
      <c r="A21" s="106" t="s">
        <v>362</v>
      </c>
      <c r="B21" s="84" t="s">
        <v>324</v>
      </c>
      <c r="C21" s="142"/>
      <c r="G21" s="95"/>
      <c r="P21" s="68"/>
      <c r="Q21" s="68"/>
      <c r="R21" s="72"/>
      <c r="S21" s="72"/>
      <c r="T21" s="94"/>
      <c r="AA21" s="68"/>
      <c r="AB21" s="68"/>
      <c r="AC21" s="68"/>
      <c r="AE21" s="95"/>
      <c r="AM21" s="68"/>
      <c r="AN21" s="68"/>
      <c r="AQ21" s="95"/>
      <c r="BA21" s="67"/>
      <c r="BB21" s="67"/>
      <c r="BC21" s="97"/>
    </row>
    <row r="22" spans="1:55" ht="14.35" hidden="1" x14ac:dyDescent="0.5">
      <c r="A22" s="106" t="s">
        <v>363</v>
      </c>
      <c r="B22" s="84" t="s">
        <v>324</v>
      </c>
      <c r="C22" s="140"/>
      <c r="G22" s="95"/>
      <c r="P22" s="68"/>
      <c r="Q22" s="68"/>
      <c r="R22" s="72"/>
      <c r="S22" s="72"/>
      <c r="T22" s="94"/>
      <c r="W22" s="2"/>
      <c r="Y22" s="2"/>
      <c r="AA22" s="68"/>
      <c r="AB22" s="68"/>
      <c r="AC22" s="68"/>
      <c r="AE22" s="95"/>
      <c r="AM22" s="68"/>
      <c r="AN22" s="68"/>
      <c r="AQ22" s="95"/>
      <c r="AY22" s="68"/>
      <c r="AZ22" s="68"/>
      <c r="BC22" s="95"/>
    </row>
    <row r="23" spans="1:55" ht="6" customHeight="1" x14ac:dyDescent="0.5">
      <c r="A23" s="120"/>
      <c r="B23" s="123"/>
      <c r="C23" s="147"/>
      <c r="G23" s="95"/>
      <c r="M23" s="104"/>
      <c r="N23" s="104"/>
      <c r="O23" s="104"/>
      <c r="P23" s="104"/>
      <c r="Q23" s="104"/>
      <c r="T23" s="94"/>
      <c r="Y23" s="104"/>
      <c r="Z23" s="104"/>
      <c r="AA23" s="104"/>
      <c r="AB23" s="104"/>
      <c r="AE23" s="95"/>
      <c r="AK23" s="104"/>
      <c r="AL23" s="104"/>
      <c r="AM23" s="104"/>
      <c r="AN23" s="104"/>
      <c r="AQ23" s="95"/>
      <c r="AW23" s="104"/>
      <c r="AX23" s="104"/>
      <c r="AY23" s="104"/>
      <c r="AZ23" s="104"/>
      <c r="BC23" s="95"/>
    </row>
    <row r="24" spans="1:55" ht="14.35" hidden="1" x14ac:dyDescent="0.5">
      <c r="A24" s="121" t="s">
        <v>306</v>
      </c>
      <c r="B24" s="114" t="s">
        <v>324</v>
      </c>
      <c r="C24" s="148" t="s">
        <v>364</v>
      </c>
      <c r="D24" s="88"/>
      <c r="E24" s="88"/>
      <c r="F24" s="88"/>
      <c r="G24" s="102"/>
      <c r="H24" s="110"/>
      <c r="I24" s="110"/>
      <c r="J24" s="110"/>
      <c r="K24" s="110"/>
      <c r="L24" s="110"/>
      <c r="M24" s="111"/>
      <c r="N24" s="112"/>
      <c r="O24" s="112"/>
      <c r="P24" s="112"/>
      <c r="Q24" s="112"/>
      <c r="R24" s="88"/>
      <c r="S24" s="88"/>
      <c r="T24" s="101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102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102"/>
      <c r="AR24" s="67"/>
      <c r="AS24" s="67"/>
      <c r="AT24" s="67"/>
      <c r="AU24" s="67"/>
      <c r="AV24" s="67"/>
      <c r="AW24" s="76"/>
      <c r="AX24" s="77"/>
      <c r="AY24" s="77"/>
      <c r="AZ24" s="77"/>
      <c r="BC24" s="95"/>
    </row>
    <row r="25" spans="1:55" ht="14.35" hidden="1" x14ac:dyDescent="0.5">
      <c r="A25" s="120" t="s">
        <v>365</v>
      </c>
      <c r="B25" s="84" t="s">
        <v>324</v>
      </c>
      <c r="C25" s="149" t="s">
        <v>364</v>
      </c>
      <c r="G25" s="95" t="s">
        <v>366</v>
      </c>
      <c r="H25" s="67"/>
      <c r="I25" s="67"/>
      <c r="J25" s="67"/>
      <c r="K25" s="67"/>
      <c r="L25" s="67"/>
      <c r="M25" s="76"/>
      <c r="N25" s="77"/>
      <c r="O25" s="77"/>
      <c r="P25" s="77"/>
      <c r="Q25" s="77"/>
      <c r="T25" s="72"/>
      <c r="U25" s="72"/>
      <c r="V25" s="72"/>
      <c r="W25" s="72"/>
      <c r="AE25" s="95"/>
      <c r="AQ25" s="95"/>
      <c r="AR25" s="67"/>
      <c r="AS25" s="67"/>
      <c r="AT25" s="67"/>
      <c r="AU25" s="67"/>
      <c r="AV25" s="67"/>
      <c r="AW25" s="76"/>
      <c r="AX25" s="77"/>
      <c r="AY25" s="77"/>
      <c r="AZ25" s="77"/>
      <c r="BC25" s="95"/>
    </row>
    <row r="26" spans="1:55" ht="14.7" thickBot="1" x14ac:dyDescent="0.55000000000000004">
      <c r="A26" s="106" t="s">
        <v>150</v>
      </c>
      <c r="B26" s="85" t="s">
        <v>332</v>
      </c>
      <c r="C26" s="150" t="s">
        <v>367</v>
      </c>
      <c r="G26" s="95" t="s">
        <v>368</v>
      </c>
      <c r="L26" s="68"/>
      <c r="M26" s="68"/>
      <c r="N26" s="68"/>
      <c r="O26" s="68"/>
      <c r="P26" s="72"/>
      <c r="Q26" s="72"/>
      <c r="R26" s="72"/>
      <c r="S26" s="67"/>
      <c r="T26" s="96"/>
      <c r="U26" s="67"/>
      <c r="V26" s="67"/>
      <c r="W26" s="67"/>
      <c r="X26" s="67"/>
      <c r="Y26" s="67"/>
      <c r="Z26" s="67"/>
      <c r="AA26" s="74"/>
      <c r="AB26" s="74"/>
      <c r="AC26" s="74"/>
      <c r="AD26" s="67"/>
      <c r="AE26" s="97"/>
      <c r="AF26" s="67"/>
      <c r="AG26" s="67"/>
      <c r="AH26" s="67"/>
      <c r="AI26" s="67"/>
      <c r="AJ26" s="67"/>
      <c r="AK26" s="67"/>
      <c r="AL26" s="67"/>
      <c r="AM26" s="76"/>
      <c r="AN26" s="77"/>
      <c r="AO26" s="77"/>
      <c r="AP26" s="77"/>
      <c r="AQ26" s="335"/>
      <c r="AR26" s="64"/>
      <c r="AS26" s="77"/>
      <c r="AT26" s="77"/>
      <c r="AU26" s="77"/>
      <c r="AV26" s="77"/>
      <c r="BC26" s="95"/>
    </row>
    <row r="27" spans="1:55" ht="14.7" thickBot="1" x14ac:dyDescent="0.55000000000000004">
      <c r="A27" s="106" t="s">
        <v>277</v>
      </c>
      <c r="B27" s="122" t="s">
        <v>332</v>
      </c>
      <c r="C27" s="150" t="s">
        <v>367</v>
      </c>
      <c r="G27" s="95"/>
      <c r="M27" s="72"/>
      <c r="N27" s="72"/>
      <c r="O27" s="72"/>
      <c r="P27" s="72"/>
      <c r="Q27" s="71"/>
      <c r="R27" s="71"/>
      <c r="S27" s="71"/>
      <c r="T27" s="94"/>
      <c r="W27" s="72"/>
      <c r="X27" s="72"/>
      <c r="Y27" s="72"/>
      <c r="Z27" s="72"/>
      <c r="AA27" s="72"/>
      <c r="AB27" s="72"/>
      <c r="AC27" s="72"/>
      <c r="AD27" s="72"/>
      <c r="AE27" s="130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102"/>
    </row>
    <row r="28" spans="1:55" ht="14.35" x14ac:dyDescent="0.5">
      <c r="A28" s="106" t="s">
        <v>369</v>
      </c>
      <c r="B28" s="122" t="s">
        <v>332</v>
      </c>
      <c r="C28" s="150" t="s">
        <v>367</v>
      </c>
      <c r="G28" s="95" t="s">
        <v>370</v>
      </c>
      <c r="M28" s="72"/>
      <c r="N28" s="72"/>
      <c r="O28" s="72"/>
      <c r="P28" s="72"/>
      <c r="Q28" s="71"/>
      <c r="R28" s="71"/>
      <c r="S28" s="71"/>
      <c r="T28" s="94"/>
      <c r="W28" s="71"/>
      <c r="X28" s="71"/>
      <c r="Y28" s="72"/>
      <c r="Z28" s="73"/>
      <c r="AA28" s="76"/>
      <c r="AB28" s="77"/>
      <c r="AC28" s="77"/>
      <c r="AD28" s="71"/>
      <c r="AE28" s="133"/>
      <c r="AF28" s="71"/>
      <c r="AG28" s="71"/>
      <c r="AH28" s="71"/>
      <c r="AI28" s="71"/>
      <c r="AQ28" s="95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102"/>
    </row>
    <row r="29" spans="1:55" ht="14.35" hidden="1" x14ac:dyDescent="0.5">
      <c r="A29" s="106" t="s">
        <v>371</v>
      </c>
      <c r="B29" s="85" t="s">
        <v>332</v>
      </c>
      <c r="C29" s="151" t="s">
        <v>367</v>
      </c>
      <c r="G29" s="95" t="s">
        <v>372</v>
      </c>
      <c r="M29" s="72"/>
      <c r="N29" s="72"/>
      <c r="O29" s="72"/>
      <c r="P29" s="72"/>
      <c r="Q29" s="71"/>
      <c r="R29" s="71"/>
      <c r="S29" s="71"/>
      <c r="T29" s="94"/>
      <c r="V29" s="72"/>
      <c r="W29" s="72"/>
      <c r="X29" s="73"/>
      <c r="Y29" s="73"/>
      <c r="Z29" s="73"/>
      <c r="AA29" s="73"/>
      <c r="AB29" s="73"/>
      <c r="AC29" s="73"/>
      <c r="AD29" s="73"/>
      <c r="AE29" s="134"/>
      <c r="AF29" s="73"/>
      <c r="AG29" s="74"/>
      <c r="AH29" s="74"/>
      <c r="AI29" s="76"/>
      <c r="AJ29" s="77"/>
      <c r="AK29" s="77"/>
      <c r="AL29" s="77"/>
      <c r="AM29" s="77"/>
      <c r="AN29" s="77"/>
      <c r="AO29" s="77"/>
      <c r="AP29" s="77"/>
      <c r="AQ29" s="335"/>
      <c r="BC29" s="95"/>
    </row>
    <row r="30" spans="1:55" ht="14.35" hidden="1" x14ac:dyDescent="0.5">
      <c r="A30" s="106" t="s">
        <v>119</v>
      </c>
      <c r="B30" s="85" t="s">
        <v>332</v>
      </c>
      <c r="C30" s="151" t="s">
        <v>367</v>
      </c>
      <c r="G30" s="95"/>
      <c r="M30" s="72"/>
      <c r="N30" s="72"/>
      <c r="O30" s="72"/>
      <c r="P30" s="72"/>
      <c r="Q30" s="71"/>
      <c r="R30" s="71"/>
      <c r="S30" s="71"/>
      <c r="T30" s="94"/>
      <c r="W30" s="2"/>
      <c r="Y30" s="2"/>
      <c r="AE30" s="95"/>
      <c r="AQ30" s="95"/>
      <c r="BC30" s="95"/>
    </row>
    <row r="31" spans="1:55" ht="14.35" hidden="1" x14ac:dyDescent="0.5">
      <c r="A31" s="106" t="s">
        <v>373</v>
      </c>
      <c r="B31" s="87" t="s">
        <v>337</v>
      </c>
      <c r="C31" s="152" t="s">
        <v>374</v>
      </c>
      <c r="G31" s="95"/>
      <c r="O31" s="72"/>
      <c r="P31" s="72"/>
      <c r="Q31" s="72"/>
      <c r="R31" s="72"/>
      <c r="S31" s="72"/>
      <c r="T31" s="94"/>
      <c r="W31" s="2"/>
      <c r="Y31" s="2"/>
      <c r="AE31" s="95"/>
      <c r="AQ31" s="95"/>
      <c r="BC31" s="95"/>
    </row>
    <row r="32" spans="1:55" ht="14.35" hidden="1" x14ac:dyDescent="0.5">
      <c r="A32" s="106" t="s">
        <v>375</v>
      </c>
      <c r="B32" s="87" t="s">
        <v>337</v>
      </c>
      <c r="C32" s="154" t="s">
        <v>376</v>
      </c>
      <c r="G32" s="95"/>
      <c r="O32" s="72"/>
      <c r="P32" s="72"/>
      <c r="Q32" s="72"/>
      <c r="R32" s="72"/>
      <c r="S32" s="72"/>
      <c r="T32" s="94"/>
      <c r="W32" s="2"/>
      <c r="Y32" s="2"/>
      <c r="AE32" s="95"/>
      <c r="AQ32" s="95"/>
    </row>
    <row r="33" spans="1:43" ht="14.35" x14ac:dyDescent="0.5">
      <c r="A33" s="106" t="s">
        <v>169</v>
      </c>
      <c r="B33" s="87" t="s">
        <v>337</v>
      </c>
      <c r="C33" s="149" t="s">
        <v>364</v>
      </c>
      <c r="G33" s="95"/>
      <c r="O33" s="72"/>
      <c r="P33" s="72"/>
      <c r="Q33" s="72"/>
      <c r="R33" s="72"/>
      <c r="S33" s="72"/>
      <c r="T33" s="94"/>
      <c r="W33" s="2"/>
      <c r="Y33" s="2"/>
      <c r="AE33" s="95"/>
      <c r="AQ33" s="95"/>
    </row>
    <row r="34" spans="1:43" ht="14.35" x14ac:dyDescent="0.5">
      <c r="A34" s="106" t="s">
        <v>377</v>
      </c>
      <c r="B34" s="87" t="s">
        <v>337</v>
      </c>
      <c r="C34" s="149" t="s">
        <v>364</v>
      </c>
      <c r="G34" s="95"/>
      <c r="O34" s="72"/>
      <c r="P34" s="72"/>
      <c r="Q34" s="72"/>
      <c r="R34" s="72"/>
      <c r="S34" s="72"/>
      <c r="T34" s="94"/>
      <c r="W34" s="2"/>
      <c r="Y34" s="2"/>
      <c r="AE34" s="95"/>
      <c r="AQ34" s="95"/>
    </row>
    <row r="35" spans="1:43" ht="14.7" hidden="1" thickBot="1" x14ac:dyDescent="0.55000000000000004">
      <c r="A35" s="118" t="s">
        <v>378</v>
      </c>
      <c r="B35" s="119" t="s">
        <v>337</v>
      </c>
      <c r="C35" s="153" t="s">
        <v>374</v>
      </c>
      <c r="D35" s="63"/>
      <c r="E35" s="63"/>
      <c r="F35" s="63"/>
      <c r="G35" s="100"/>
      <c r="H35" s="63"/>
      <c r="I35" s="63"/>
      <c r="J35" s="63"/>
      <c r="K35" s="63"/>
      <c r="L35" s="63"/>
      <c r="M35" s="63"/>
      <c r="N35" s="63"/>
      <c r="O35" s="89"/>
      <c r="P35" s="89"/>
      <c r="Q35" s="89"/>
      <c r="R35" s="89"/>
      <c r="S35" s="89"/>
      <c r="T35" s="99"/>
      <c r="U35" s="63"/>
      <c r="V35" s="63"/>
      <c r="W35" s="113"/>
      <c r="X35" s="63"/>
      <c r="Y35" s="113"/>
      <c r="Z35" s="63"/>
      <c r="AA35" s="63"/>
      <c r="AB35" s="63"/>
      <c r="AC35" s="63"/>
      <c r="AD35" s="63"/>
      <c r="AE35" s="100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100"/>
    </row>
    <row r="36" spans="1:43" ht="14.35" x14ac:dyDescent="0.5"/>
    <row r="37" spans="1:43" ht="14.35" x14ac:dyDescent="0.5">
      <c r="C37" s="103" t="s">
        <v>379</v>
      </c>
      <c r="E37" s="71"/>
      <c r="K37" s="71"/>
      <c r="L37" s="71"/>
      <c r="M37" s="71"/>
      <c r="N37" s="71"/>
      <c r="O37" s="71"/>
      <c r="U37" s="72"/>
      <c r="V37" s="71" t="s">
        <v>380</v>
      </c>
    </row>
    <row r="38" spans="1:43" ht="14.35" x14ac:dyDescent="0.5">
      <c r="C38" s="103" t="s">
        <v>56</v>
      </c>
      <c r="E38" s="71"/>
      <c r="K38" s="71"/>
      <c r="L38" s="71"/>
      <c r="M38" s="71"/>
      <c r="U38" s="73"/>
      <c r="V38" s="71" t="s">
        <v>381</v>
      </c>
    </row>
    <row r="39" spans="1:43" ht="14.25" customHeight="1" x14ac:dyDescent="0.5">
      <c r="C39" s="103" t="s">
        <v>382</v>
      </c>
      <c r="E39" s="71"/>
      <c r="K39" s="71"/>
      <c r="L39" s="71"/>
      <c r="M39" s="71"/>
      <c r="N39" s="71"/>
      <c r="O39" s="71"/>
      <c r="U39" s="75"/>
      <c r="V39" s="71" t="s">
        <v>383</v>
      </c>
    </row>
    <row r="40" spans="1:43" ht="15" customHeight="1" x14ac:dyDescent="0.5">
      <c r="C40" s="103" t="s">
        <v>384</v>
      </c>
      <c r="E40" s="71"/>
      <c r="U40" s="74"/>
      <c r="V40" s="71" t="s">
        <v>385</v>
      </c>
    </row>
    <row r="41" spans="1:43" ht="14.35" x14ac:dyDescent="0.5">
      <c r="K41" s="71"/>
      <c r="L41" s="71"/>
      <c r="M41" s="71"/>
      <c r="N41" s="71"/>
      <c r="O41" s="71"/>
      <c r="U41" s="76"/>
      <c r="V41" s="71" t="s">
        <v>386</v>
      </c>
    </row>
    <row r="42" spans="1:43" ht="14.35" x14ac:dyDescent="0.5">
      <c r="K42" s="71"/>
      <c r="L42" s="71"/>
      <c r="M42" s="71"/>
      <c r="N42" s="71"/>
      <c r="O42" s="71"/>
      <c r="U42" s="77"/>
      <c r="V42" s="71" t="s">
        <v>387</v>
      </c>
    </row>
    <row r="43" spans="1:43" ht="14.35" hidden="1" x14ac:dyDescent="0.5">
      <c r="I43" s="78"/>
      <c r="J43" s="71" t="s">
        <v>388</v>
      </c>
      <c r="K43" s="71"/>
      <c r="L43" s="71"/>
      <c r="M43" s="71"/>
      <c r="N43" s="71"/>
      <c r="O43" s="71"/>
    </row>
    <row r="44" spans="1:43" ht="14.35" x14ac:dyDescent="0.5"/>
    <row r="54" spans="9:9" ht="14.35" x14ac:dyDescent="0.5">
      <c r="I54" t="s">
        <v>389</v>
      </c>
    </row>
  </sheetData>
  <mergeCells count="5">
    <mergeCell ref="H1:S1"/>
    <mergeCell ref="T1:AE1"/>
    <mergeCell ref="AF1:AQ1"/>
    <mergeCell ref="AR1:BC1"/>
    <mergeCell ref="D1:F1"/>
  </mergeCells>
  <pageMargins left="0.7" right="0.7" top="0.75" bottom="0.75" header="0.3" footer="0.3"/>
  <pageSetup scale="3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99D2-84A7-46B9-9A1F-2E315C714C0F}">
  <sheetPr>
    <pageSetUpPr fitToPage="1"/>
  </sheetPr>
  <dimension ref="A1:H68"/>
  <sheetViews>
    <sheetView zoomScaleNormal="100" workbookViewId="0">
      <selection activeCell="C36" sqref="C36"/>
    </sheetView>
  </sheetViews>
  <sheetFormatPr defaultRowHeight="14.35" x14ac:dyDescent="0.5"/>
  <cols>
    <col min="1" max="1" width="8.703125" style="38"/>
    <col min="2" max="2" width="41" customWidth="1"/>
    <col min="3" max="3" width="18.5859375" customWidth="1"/>
    <col min="4" max="4" width="17" customWidth="1"/>
    <col min="5" max="5" width="14" style="3" customWidth="1"/>
    <col min="6" max="6" width="22" customWidth="1"/>
    <col min="8" max="8" width="14.5859375" customWidth="1"/>
  </cols>
  <sheetData>
    <row r="1" spans="1:8" ht="18" x14ac:dyDescent="0.6">
      <c r="B1" s="438" t="s">
        <v>390</v>
      </c>
      <c r="C1" s="438"/>
      <c r="D1" s="438"/>
      <c r="E1" s="438"/>
      <c r="F1" s="438"/>
    </row>
    <row r="2" spans="1:8" x14ac:dyDescent="0.5">
      <c r="B2" s="396" t="s">
        <v>391</v>
      </c>
      <c r="C2" s="396"/>
      <c r="D2" s="439" t="s">
        <v>392</v>
      </c>
      <c r="E2" s="439"/>
      <c r="F2" s="4">
        <v>45145</v>
      </c>
    </row>
    <row r="3" spans="1:8" x14ac:dyDescent="0.5">
      <c r="B3" s="396"/>
      <c r="C3" s="396"/>
      <c r="D3" s="439" t="s">
        <v>393</v>
      </c>
      <c r="E3" s="439"/>
      <c r="F3" s="5" t="s">
        <v>394</v>
      </c>
    </row>
    <row r="5" spans="1:8" x14ac:dyDescent="0.5">
      <c r="B5" s="6" t="s">
        <v>395</v>
      </c>
      <c r="C5" s="7" t="s">
        <v>396</v>
      </c>
      <c r="D5" s="7" t="s">
        <v>397</v>
      </c>
      <c r="E5" s="8" t="s">
        <v>398</v>
      </c>
      <c r="F5" s="9" t="s">
        <v>399</v>
      </c>
      <c r="H5" s="1"/>
    </row>
    <row r="6" spans="1:8" x14ac:dyDescent="0.5">
      <c r="A6" s="38">
        <v>1</v>
      </c>
      <c r="B6" s="10" t="s">
        <v>400</v>
      </c>
      <c r="C6" s="11" t="s">
        <v>401</v>
      </c>
      <c r="D6" s="12">
        <v>45047</v>
      </c>
      <c r="E6" s="13">
        <v>183</v>
      </c>
      <c r="F6" s="14">
        <f t="shared" ref="F6:F33" si="0">D6+E6</f>
        <v>45230</v>
      </c>
    </row>
    <row r="7" spans="1:8" x14ac:dyDescent="0.5">
      <c r="A7" s="38">
        <v>2</v>
      </c>
      <c r="B7" s="10" t="s">
        <v>402</v>
      </c>
      <c r="C7" s="11" t="s">
        <v>401</v>
      </c>
      <c r="D7" s="12">
        <v>45078</v>
      </c>
      <c r="E7" s="13">
        <v>213</v>
      </c>
      <c r="F7" s="14">
        <f t="shared" si="0"/>
        <v>45291</v>
      </c>
    </row>
    <row r="8" spans="1:8" x14ac:dyDescent="0.5">
      <c r="A8" s="38">
        <v>3</v>
      </c>
      <c r="B8" s="10" t="s">
        <v>403</v>
      </c>
      <c r="C8" s="11" t="s">
        <v>401</v>
      </c>
      <c r="D8" s="12">
        <v>45047</v>
      </c>
      <c r="E8" s="13">
        <v>183</v>
      </c>
      <c r="F8" s="14">
        <f t="shared" si="0"/>
        <v>45230</v>
      </c>
    </row>
    <row r="9" spans="1:8" x14ac:dyDescent="0.5">
      <c r="A9" s="38">
        <v>4</v>
      </c>
      <c r="B9" s="10" t="s">
        <v>404</v>
      </c>
      <c r="C9" s="11" t="s">
        <v>401</v>
      </c>
      <c r="D9" s="12">
        <v>45139</v>
      </c>
      <c r="E9" s="13">
        <v>152</v>
      </c>
      <c r="F9" s="14">
        <f t="shared" si="0"/>
        <v>45291</v>
      </c>
    </row>
    <row r="10" spans="1:8" x14ac:dyDescent="0.5">
      <c r="A10" s="38">
        <v>5</v>
      </c>
      <c r="B10" s="10" t="s">
        <v>405</v>
      </c>
      <c r="C10" s="11" t="s">
        <v>325</v>
      </c>
      <c r="D10" s="12">
        <v>44927</v>
      </c>
      <c r="E10" s="13">
        <v>607</v>
      </c>
      <c r="F10" s="14">
        <f t="shared" si="0"/>
        <v>45534</v>
      </c>
    </row>
    <row r="11" spans="1:8" x14ac:dyDescent="0.5">
      <c r="A11" s="41">
        <v>6</v>
      </c>
      <c r="B11" s="42" t="s">
        <v>406</v>
      </c>
      <c r="C11" s="43" t="s">
        <v>325</v>
      </c>
      <c r="D11" s="44">
        <v>44927</v>
      </c>
      <c r="E11" s="45">
        <v>90</v>
      </c>
      <c r="F11" s="46">
        <f t="shared" si="0"/>
        <v>45017</v>
      </c>
    </row>
    <row r="12" spans="1:8" x14ac:dyDescent="0.5">
      <c r="A12" s="41">
        <v>7</v>
      </c>
      <c r="B12" s="42" t="s">
        <v>407</v>
      </c>
      <c r="C12" s="43" t="s">
        <v>325</v>
      </c>
      <c r="D12" s="44">
        <v>45017</v>
      </c>
      <c r="E12" s="45">
        <v>95</v>
      </c>
      <c r="F12" s="46">
        <f>D12+E12</f>
        <v>45112</v>
      </c>
    </row>
    <row r="13" spans="1:8" ht="14.7" thickBot="1" x14ac:dyDescent="0.55000000000000004">
      <c r="A13" s="41">
        <v>8</v>
      </c>
      <c r="B13" s="47" t="s">
        <v>408</v>
      </c>
      <c r="C13" s="48" t="s">
        <v>325</v>
      </c>
      <c r="D13" s="49">
        <v>44986</v>
      </c>
      <c r="E13" s="50">
        <v>155</v>
      </c>
      <c r="F13" s="51">
        <f t="shared" ref="F13" si="1">D13+E13</f>
        <v>45141</v>
      </c>
    </row>
    <row r="14" spans="1:8" ht="14.7" thickBot="1" x14ac:dyDescent="0.55000000000000004">
      <c r="A14" s="52">
        <v>9</v>
      </c>
      <c r="B14" s="58" t="s">
        <v>409</v>
      </c>
      <c r="C14" s="59" t="s">
        <v>325</v>
      </c>
      <c r="D14" s="60">
        <v>45142</v>
      </c>
      <c r="E14" s="61">
        <v>50</v>
      </c>
      <c r="F14" s="62">
        <f t="shared" si="0"/>
        <v>45192</v>
      </c>
    </row>
    <row r="15" spans="1:8" x14ac:dyDescent="0.5">
      <c r="A15" s="52">
        <v>10</v>
      </c>
      <c r="B15" s="53" t="s">
        <v>331</v>
      </c>
      <c r="C15" s="54" t="s">
        <v>325</v>
      </c>
      <c r="D15" s="55">
        <v>44927</v>
      </c>
      <c r="E15" s="56">
        <v>700</v>
      </c>
      <c r="F15" s="57">
        <f t="shared" si="0"/>
        <v>45627</v>
      </c>
    </row>
    <row r="16" spans="1:8" x14ac:dyDescent="0.5">
      <c r="A16" s="52">
        <v>11</v>
      </c>
      <c r="B16" s="53" t="s">
        <v>410</v>
      </c>
      <c r="C16" s="54" t="s">
        <v>325</v>
      </c>
      <c r="D16" s="55">
        <v>44927</v>
      </c>
      <c r="E16" s="56">
        <v>272</v>
      </c>
      <c r="F16" s="57">
        <f t="shared" si="0"/>
        <v>45199</v>
      </c>
    </row>
    <row r="17" spans="1:6" x14ac:dyDescent="0.5">
      <c r="A17" s="52">
        <v>12</v>
      </c>
      <c r="B17" s="53" t="s">
        <v>411</v>
      </c>
      <c r="C17" s="54" t="s">
        <v>325</v>
      </c>
      <c r="D17" s="55">
        <v>44927</v>
      </c>
      <c r="E17" s="56">
        <v>290</v>
      </c>
      <c r="F17" s="57">
        <f t="shared" si="0"/>
        <v>45217</v>
      </c>
    </row>
    <row r="18" spans="1:6" x14ac:dyDescent="0.5">
      <c r="A18" s="38">
        <v>13</v>
      </c>
      <c r="B18" s="10" t="s">
        <v>150</v>
      </c>
      <c r="C18" s="11" t="s">
        <v>325</v>
      </c>
      <c r="D18" s="12">
        <v>45145</v>
      </c>
      <c r="E18" s="13">
        <v>365</v>
      </c>
      <c r="F18" s="14">
        <f t="shared" si="0"/>
        <v>45510</v>
      </c>
    </row>
    <row r="19" spans="1:6" x14ac:dyDescent="0.5">
      <c r="A19" s="38">
        <v>14</v>
      </c>
      <c r="B19" s="10" t="s">
        <v>412</v>
      </c>
      <c r="C19" s="11" t="s">
        <v>325</v>
      </c>
      <c r="D19" s="12">
        <v>45078</v>
      </c>
      <c r="E19" s="13">
        <v>365</v>
      </c>
      <c r="F19" s="14">
        <f t="shared" si="0"/>
        <v>45443</v>
      </c>
    </row>
    <row r="20" spans="1:6" x14ac:dyDescent="0.5">
      <c r="A20" s="38">
        <v>15</v>
      </c>
      <c r="B20" s="10" t="s">
        <v>413</v>
      </c>
      <c r="C20" s="11" t="s">
        <v>325</v>
      </c>
      <c r="D20" s="12">
        <v>45153</v>
      </c>
      <c r="E20" s="13">
        <v>90</v>
      </c>
      <c r="F20" s="14">
        <f t="shared" si="0"/>
        <v>45243</v>
      </c>
    </row>
    <row r="21" spans="1:6" x14ac:dyDescent="0.5">
      <c r="A21" s="38">
        <v>16</v>
      </c>
      <c r="B21" s="10" t="s">
        <v>350</v>
      </c>
      <c r="C21" s="11" t="s">
        <v>348</v>
      </c>
      <c r="D21" s="12">
        <v>44927</v>
      </c>
      <c r="E21" s="13">
        <v>364</v>
      </c>
      <c r="F21" s="14">
        <f t="shared" si="0"/>
        <v>45291</v>
      </c>
    </row>
    <row r="22" spans="1:6" x14ac:dyDescent="0.5">
      <c r="A22" s="38">
        <v>17</v>
      </c>
      <c r="B22" s="10" t="s">
        <v>357</v>
      </c>
      <c r="C22" s="11" t="s">
        <v>348</v>
      </c>
      <c r="D22" s="12">
        <v>45139</v>
      </c>
      <c r="E22" s="13">
        <v>60</v>
      </c>
      <c r="F22" s="14">
        <f t="shared" si="0"/>
        <v>45199</v>
      </c>
    </row>
    <row r="23" spans="1:6" x14ac:dyDescent="0.5">
      <c r="A23" s="38">
        <v>18</v>
      </c>
      <c r="B23" s="10" t="s">
        <v>250</v>
      </c>
      <c r="C23" s="11" t="s">
        <v>348</v>
      </c>
      <c r="D23" s="12">
        <v>45200</v>
      </c>
      <c r="E23" s="13">
        <v>457</v>
      </c>
      <c r="F23" s="14">
        <f t="shared" si="0"/>
        <v>45657</v>
      </c>
    </row>
    <row r="24" spans="1:6" x14ac:dyDescent="0.5">
      <c r="A24" s="38">
        <v>19</v>
      </c>
      <c r="B24" s="10" t="s">
        <v>329</v>
      </c>
      <c r="C24" s="11" t="s">
        <v>414</v>
      </c>
      <c r="D24" s="12">
        <v>45139</v>
      </c>
      <c r="E24" s="13">
        <v>244</v>
      </c>
      <c r="F24" s="14">
        <f t="shared" si="0"/>
        <v>45383</v>
      </c>
    </row>
    <row r="25" spans="1:6" x14ac:dyDescent="0.5">
      <c r="A25" s="38">
        <v>20</v>
      </c>
      <c r="B25" s="10" t="s">
        <v>330</v>
      </c>
      <c r="C25" s="11" t="s">
        <v>414</v>
      </c>
      <c r="D25" s="12">
        <v>45139</v>
      </c>
      <c r="E25" s="13">
        <v>244</v>
      </c>
      <c r="F25" s="14">
        <f t="shared" si="0"/>
        <v>45383</v>
      </c>
    </row>
    <row r="26" spans="1:6" x14ac:dyDescent="0.5">
      <c r="A26" s="38">
        <v>21</v>
      </c>
      <c r="B26" s="10" t="s">
        <v>361</v>
      </c>
      <c r="C26" s="11" t="s">
        <v>414</v>
      </c>
      <c r="D26" s="12">
        <v>45139</v>
      </c>
      <c r="E26" s="13">
        <v>244</v>
      </c>
      <c r="F26" s="14">
        <f t="shared" si="0"/>
        <v>45383</v>
      </c>
    </row>
    <row r="27" spans="1:6" x14ac:dyDescent="0.5">
      <c r="A27" s="38">
        <v>22</v>
      </c>
      <c r="B27" s="39" t="s">
        <v>341</v>
      </c>
      <c r="C27" s="27" t="s">
        <v>414</v>
      </c>
      <c r="D27" s="12">
        <v>45139</v>
      </c>
      <c r="E27" s="28">
        <v>244</v>
      </c>
      <c r="F27" s="29">
        <f t="shared" si="0"/>
        <v>45383</v>
      </c>
    </row>
    <row r="28" spans="1:6" x14ac:dyDescent="0.5">
      <c r="A28" s="38">
        <v>23</v>
      </c>
      <c r="B28" s="10" t="s">
        <v>415</v>
      </c>
      <c r="C28" s="11" t="s">
        <v>353</v>
      </c>
      <c r="D28" s="12">
        <v>44927</v>
      </c>
      <c r="E28" s="13">
        <v>700</v>
      </c>
      <c r="F28" s="14">
        <f t="shared" si="0"/>
        <v>45627</v>
      </c>
    </row>
    <row r="29" spans="1:6" ht="14.7" thickBot="1" x14ac:dyDescent="0.55000000000000004">
      <c r="A29" s="38">
        <v>34</v>
      </c>
      <c r="B29" s="40" t="s">
        <v>352</v>
      </c>
      <c r="C29" s="30" t="s">
        <v>353</v>
      </c>
      <c r="D29" s="31">
        <v>44928</v>
      </c>
      <c r="E29" s="32">
        <v>700</v>
      </c>
      <c r="F29" s="33">
        <f t="shared" si="0"/>
        <v>45628</v>
      </c>
    </row>
    <row r="30" spans="1:6" x14ac:dyDescent="0.5">
      <c r="A30" s="38">
        <v>25</v>
      </c>
      <c r="B30" s="10" t="s">
        <v>416</v>
      </c>
      <c r="C30" s="11" t="s">
        <v>358</v>
      </c>
      <c r="D30" s="12">
        <v>44927</v>
      </c>
      <c r="E30" s="13">
        <v>364</v>
      </c>
      <c r="F30" s="14">
        <f>D30+E30</f>
        <v>45291</v>
      </c>
    </row>
    <row r="31" spans="1:6" x14ac:dyDescent="0.5">
      <c r="A31" s="38">
        <v>26</v>
      </c>
      <c r="B31" s="17" t="s">
        <v>417</v>
      </c>
      <c r="C31" s="18" t="s">
        <v>358</v>
      </c>
      <c r="D31" s="19">
        <v>45108</v>
      </c>
      <c r="E31" s="20">
        <v>138</v>
      </c>
      <c r="F31" s="21">
        <f t="shared" si="0"/>
        <v>45246</v>
      </c>
    </row>
    <row r="32" spans="1:6" x14ac:dyDescent="0.5">
      <c r="A32" s="38">
        <v>27</v>
      </c>
      <c r="B32" s="17" t="s">
        <v>418</v>
      </c>
      <c r="C32" s="18" t="s">
        <v>358</v>
      </c>
      <c r="D32" s="19">
        <v>44927</v>
      </c>
      <c r="E32" s="20">
        <v>256</v>
      </c>
      <c r="F32" s="21">
        <f t="shared" si="0"/>
        <v>45183</v>
      </c>
    </row>
    <row r="33" spans="1:8" x14ac:dyDescent="0.5">
      <c r="A33" s="38">
        <v>28</v>
      </c>
      <c r="B33" s="10" t="s">
        <v>419</v>
      </c>
      <c r="C33" s="11" t="s">
        <v>358</v>
      </c>
      <c r="D33" s="12">
        <v>45017</v>
      </c>
      <c r="E33" s="13">
        <v>60</v>
      </c>
      <c r="F33" s="14">
        <f t="shared" si="0"/>
        <v>45077</v>
      </c>
    </row>
    <row r="34" spans="1:8" x14ac:dyDescent="0.5">
      <c r="C34" s="395"/>
      <c r="D34" s="2"/>
      <c r="F34" s="2"/>
    </row>
    <row r="35" spans="1:8" x14ac:dyDescent="0.5">
      <c r="C35" s="395"/>
      <c r="D35" s="2"/>
      <c r="F35" s="2"/>
    </row>
    <row r="36" spans="1:8" x14ac:dyDescent="0.5">
      <c r="C36" s="395"/>
      <c r="D36" s="2"/>
      <c r="F36" s="2"/>
    </row>
    <row r="37" spans="1:8" x14ac:dyDescent="0.5">
      <c r="B37" s="440" t="s">
        <v>420</v>
      </c>
      <c r="C37" s="440"/>
      <c r="D37" s="440"/>
      <c r="F37" s="2"/>
    </row>
    <row r="38" spans="1:8" x14ac:dyDescent="0.5">
      <c r="B38" s="437" t="s">
        <v>421</v>
      </c>
      <c r="C38" s="437"/>
      <c r="D38" s="437"/>
      <c r="F38" s="2"/>
      <c r="H38" s="2"/>
    </row>
    <row r="39" spans="1:8" x14ac:dyDescent="0.5">
      <c r="B39" s="437" t="s">
        <v>422</v>
      </c>
      <c r="C39" s="437"/>
      <c r="D39" s="437"/>
      <c r="F39" s="2"/>
    </row>
    <row r="40" spans="1:8" x14ac:dyDescent="0.5">
      <c r="B40" s="442" t="s">
        <v>423</v>
      </c>
      <c r="C40" s="442"/>
      <c r="D40" s="442"/>
      <c r="F40" s="2"/>
    </row>
    <row r="41" spans="1:8" x14ac:dyDescent="0.5">
      <c r="B41" s="5" t="s">
        <v>424</v>
      </c>
      <c r="C41" s="15"/>
      <c r="D41" s="2"/>
      <c r="F41" s="2"/>
    </row>
    <row r="42" spans="1:8" x14ac:dyDescent="0.5">
      <c r="B42" s="5" t="s">
        <v>425</v>
      </c>
      <c r="C42" s="34"/>
      <c r="D42" s="2"/>
      <c r="F42" s="2"/>
    </row>
    <row r="43" spans="1:8" x14ac:dyDescent="0.5">
      <c r="B43" s="5" t="s">
        <v>426</v>
      </c>
      <c r="C43" s="16"/>
      <c r="D43" s="2"/>
      <c r="F43" s="2"/>
    </row>
    <row r="44" spans="1:8" x14ac:dyDescent="0.5">
      <c r="B44" s="5" t="s">
        <v>427</v>
      </c>
      <c r="C44" s="35"/>
      <c r="D44" s="2"/>
      <c r="F44" s="2"/>
    </row>
    <row r="45" spans="1:8" x14ac:dyDescent="0.5">
      <c r="B45" s="5" t="s">
        <v>428</v>
      </c>
      <c r="C45" s="36"/>
      <c r="D45" s="2"/>
      <c r="F45" s="2"/>
    </row>
    <row r="46" spans="1:8" x14ac:dyDescent="0.5">
      <c r="B46" s="5" t="s">
        <v>429</v>
      </c>
      <c r="C46" s="37"/>
      <c r="D46" s="2"/>
      <c r="F46" s="2"/>
    </row>
    <row r="47" spans="1:8" x14ac:dyDescent="0.5">
      <c r="C47" s="443"/>
      <c r="D47" s="443"/>
      <c r="E47" s="443"/>
      <c r="F47" s="443"/>
    </row>
    <row r="48" spans="1:8" x14ac:dyDescent="0.5">
      <c r="B48" s="5" t="s">
        <v>430</v>
      </c>
      <c r="C48" s="444"/>
      <c r="D48" s="444"/>
      <c r="E48" s="444"/>
      <c r="F48" s="444"/>
    </row>
    <row r="49" spans="1:8" x14ac:dyDescent="0.5">
      <c r="B49" s="5"/>
      <c r="C49" s="441" t="s">
        <v>431</v>
      </c>
      <c r="D49" s="441"/>
      <c r="E49" s="441"/>
      <c r="F49" s="441"/>
    </row>
    <row r="50" spans="1:8" x14ac:dyDescent="0.5">
      <c r="B50" s="5"/>
      <c r="C50" s="445"/>
      <c r="D50" s="445"/>
      <c r="E50" s="445"/>
      <c r="F50" s="445"/>
    </row>
    <row r="51" spans="1:8" x14ac:dyDescent="0.5">
      <c r="B51" s="5" t="s">
        <v>430</v>
      </c>
      <c r="C51" s="446"/>
      <c r="D51" s="446"/>
      <c r="E51" s="446"/>
      <c r="F51" s="446"/>
    </row>
    <row r="52" spans="1:8" x14ac:dyDescent="0.5">
      <c r="B52" s="5"/>
      <c r="C52" s="441" t="s">
        <v>432</v>
      </c>
      <c r="D52" s="441"/>
      <c r="E52" s="441"/>
      <c r="F52" s="441"/>
    </row>
    <row r="53" spans="1:8" x14ac:dyDescent="0.5">
      <c r="B53" s="5"/>
      <c r="C53" s="445"/>
      <c r="D53" s="445"/>
      <c r="E53" s="445"/>
      <c r="F53" s="445"/>
    </row>
    <row r="54" spans="1:8" x14ac:dyDescent="0.5">
      <c r="B54" s="5" t="s">
        <v>430</v>
      </c>
      <c r="C54" s="446"/>
      <c r="D54" s="446"/>
      <c r="E54" s="446"/>
      <c r="F54" s="446"/>
    </row>
    <row r="55" spans="1:8" x14ac:dyDescent="0.5">
      <c r="C55" s="441" t="s">
        <v>433</v>
      </c>
      <c r="D55" s="441"/>
      <c r="E55" s="441"/>
      <c r="F55" s="441"/>
    </row>
    <row r="61" spans="1:8" s="3" customFormat="1" x14ac:dyDescent="0.5">
      <c r="A61" s="38"/>
      <c r="B61"/>
      <c r="C61" t="s">
        <v>434</v>
      </c>
      <c r="D61"/>
      <c r="F61"/>
      <c r="G61"/>
      <c r="H61"/>
    </row>
    <row r="62" spans="1:8" s="3" customFormat="1" x14ac:dyDescent="0.5">
      <c r="A62" s="38"/>
      <c r="B62"/>
      <c r="C62" t="s">
        <v>435</v>
      </c>
      <c r="D62">
        <v>31</v>
      </c>
      <c r="F62"/>
      <c r="G62"/>
      <c r="H62"/>
    </row>
    <row r="63" spans="1:8" s="3" customFormat="1" x14ac:dyDescent="0.5">
      <c r="A63" s="38"/>
      <c r="B63"/>
      <c r="C63" t="s">
        <v>436</v>
      </c>
      <c r="D63">
        <v>28</v>
      </c>
      <c r="F63"/>
      <c r="G63"/>
      <c r="H63"/>
    </row>
    <row r="64" spans="1:8" s="3" customFormat="1" x14ac:dyDescent="0.5">
      <c r="A64" s="38"/>
      <c r="B64"/>
      <c r="C64" t="s">
        <v>437</v>
      </c>
      <c r="D64">
        <v>31</v>
      </c>
      <c r="F64"/>
      <c r="G64"/>
      <c r="H64"/>
    </row>
    <row r="65" spans="1:8" s="3" customFormat="1" x14ac:dyDescent="0.5">
      <c r="A65" s="38"/>
      <c r="B65"/>
      <c r="C65"/>
      <c r="D65">
        <v>30</v>
      </c>
      <c r="F65"/>
      <c r="G65"/>
      <c r="H65"/>
    </row>
    <row r="66" spans="1:8" s="3" customFormat="1" x14ac:dyDescent="0.5">
      <c r="A66" s="38"/>
      <c r="B66"/>
      <c r="C66"/>
      <c r="D66">
        <v>31</v>
      </c>
      <c r="F66"/>
      <c r="G66"/>
      <c r="H66"/>
    </row>
    <row r="67" spans="1:8" s="3" customFormat="1" x14ac:dyDescent="0.5">
      <c r="A67" s="38"/>
      <c r="B67"/>
      <c r="C67"/>
      <c r="D67">
        <v>30</v>
      </c>
      <c r="F67"/>
      <c r="G67"/>
      <c r="H67"/>
    </row>
    <row r="68" spans="1:8" s="3" customFormat="1" x14ac:dyDescent="0.5">
      <c r="A68" s="38"/>
      <c r="B68"/>
      <c r="C68"/>
      <c r="D68">
        <v>31</v>
      </c>
      <c r="F68"/>
      <c r="G68"/>
      <c r="H68"/>
    </row>
  </sheetData>
  <autoFilter ref="B5:F5" xr:uid="{46AEE89F-C10E-473A-9186-3B03047430DE}">
    <sortState xmlns:xlrd2="http://schemas.microsoft.com/office/spreadsheetml/2017/richdata2" ref="B6:F40">
      <sortCondition ref="C5"/>
    </sortState>
  </autoFilter>
  <mergeCells count="13">
    <mergeCell ref="C55:F55"/>
    <mergeCell ref="B40:D40"/>
    <mergeCell ref="C47:F48"/>
    <mergeCell ref="C49:F49"/>
    <mergeCell ref="C50:F51"/>
    <mergeCell ref="C52:F52"/>
    <mergeCell ref="C53:F54"/>
    <mergeCell ref="B39:D39"/>
    <mergeCell ref="B1:F1"/>
    <mergeCell ref="D2:E2"/>
    <mergeCell ref="D3:E3"/>
    <mergeCell ref="B37:D37"/>
    <mergeCell ref="B38:D38"/>
  </mergeCells>
  <pageMargins left="0.7" right="0.7" top="0.75" bottom="0.75" header="0.3" footer="0.3"/>
  <pageSetup paperSize="3" scale="73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E89F-C10E-473A-9186-3B03047430DE}">
  <sheetPr>
    <pageSetUpPr fitToPage="1"/>
  </sheetPr>
  <dimension ref="A1:H75"/>
  <sheetViews>
    <sheetView zoomScale="90" zoomScaleNormal="90" workbookViewId="0">
      <selection activeCell="E6" sqref="E6"/>
    </sheetView>
  </sheetViews>
  <sheetFormatPr defaultRowHeight="14.35" x14ac:dyDescent="0.5"/>
  <cols>
    <col min="1" max="1" width="9" style="38"/>
    <col min="2" max="2" width="41" customWidth="1"/>
    <col min="3" max="3" width="18.5859375" customWidth="1"/>
    <col min="4" max="4" width="17" customWidth="1"/>
    <col min="5" max="5" width="14" style="3" customWidth="1"/>
    <col min="6" max="6" width="22" customWidth="1"/>
    <col min="8" max="8" width="14.5859375" customWidth="1"/>
  </cols>
  <sheetData>
    <row r="1" spans="1:8" ht="18" x14ac:dyDescent="0.6">
      <c r="B1" s="438" t="s">
        <v>390</v>
      </c>
      <c r="C1" s="438"/>
      <c r="D1" s="438"/>
      <c r="E1" s="438"/>
      <c r="F1" s="438"/>
    </row>
    <row r="2" spans="1:8" x14ac:dyDescent="0.5">
      <c r="B2" s="396" t="s">
        <v>391</v>
      </c>
      <c r="C2" s="396"/>
      <c r="D2" s="439" t="s">
        <v>392</v>
      </c>
      <c r="E2" s="439"/>
      <c r="F2" s="4">
        <v>45117</v>
      </c>
    </row>
    <row r="3" spans="1:8" x14ac:dyDescent="0.5">
      <c r="B3" s="396"/>
      <c r="C3" s="396"/>
      <c r="D3" s="439" t="s">
        <v>393</v>
      </c>
      <c r="E3" s="439"/>
      <c r="F3" s="5" t="s">
        <v>394</v>
      </c>
    </row>
    <row r="5" spans="1:8" x14ac:dyDescent="0.5">
      <c r="B5" s="6" t="s">
        <v>395</v>
      </c>
      <c r="C5" s="7" t="s">
        <v>396</v>
      </c>
      <c r="D5" s="7" t="s">
        <v>397</v>
      </c>
      <c r="E5" s="8" t="s">
        <v>398</v>
      </c>
      <c r="F5" s="9" t="s">
        <v>399</v>
      </c>
      <c r="H5" s="1"/>
    </row>
    <row r="6" spans="1:8" x14ac:dyDescent="0.5">
      <c r="A6" s="38">
        <v>1</v>
      </c>
      <c r="B6" s="10" t="s">
        <v>438</v>
      </c>
      <c r="C6" s="11" t="s">
        <v>401</v>
      </c>
      <c r="D6" s="12">
        <v>45047</v>
      </c>
      <c r="E6" s="13">
        <v>183</v>
      </c>
      <c r="F6" s="14">
        <f t="shared" ref="F6:F13" si="0">D6+E6</f>
        <v>45230</v>
      </c>
    </row>
    <row r="7" spans="1:8" x14ac:dyDescent="0.5">
      <c r="B7" s="10" t="s">
        <v>439</v>
      </c>
      <c r="C7" s="11" t="s">
        <v>401</v>
      </c>
      <c r="D7" s="12">
        <v>45078</v>
      </c>
      <c r="E7" s="13">
        <v>213</v>
      </c>
      <c r="F7" s="14">
        <f t="shared" si="0"/>
        <v>45291</v>
      </c>
    </row>
    <row r="8" spans="1:8" x14ac:dyDescent="0.5">
      <c r="A8" s="38">
        <v>2</v>
      </c>
      <c r="B8" s="10" t="s">
        <v>440</v>
      </c>
      <c r="C8" s="11" t="s">
        <v>401</v>
      </c>
      <c r="D8" s="12">
        <v>45047</v>
      </c>
      <c r="E8" s="13">
        <v>183</v>
      </c>
      <c r="F8" s="14">
        <f t="shared" si="0"/>
        <v>45230</v>
      </c>
    </row>
    <row r="9" spans="1:8" x14ac:dyDescent="0.5">
      <c r="A9" s="38">
        <v>3</v>
      </c>
      <c r="B9" s="10" t="s">
        <v>404</v>
      </c>
      <c r="C9" s="11" t="s">
        <v>401</v>
      </c>
      <c r="D9" s="12">
        <v>45139</v>
      </c>
      <c r="E9" s="13">
        <v>152</v>
      </c>
      <c r="F9" s="14">
        <f t="shared" si="0"/>
        <v>45291</v>
      </c>
    </row>
    <row r="10" spans="1:8" x14ac:dyDescent="0.5">
      <c r="B10" s="10" t="s">
        <v>441</v>
      </c>
      <c r="C10" s="11" t="s">
        <v>325</v>
      </c>
      <c r="D10" s="12">
        <v>44927</v>
      </c>
      <c r="E10" s="13">
        <v>424</v>
      </c>
      <c r="F10" s="14">
        <f t="shared" si="0"/>
        <v>45351</v>
      </c>
    </row>
    <row r="11" spans="1:8" x14ac:dyDescent="0.5">
      <c r="A11" s="38">
        <v>4</v>
      </c>
      <c r="B11" s="10" t="s">
        <v>442</v>
      </c>
      <c r="C11" s="11" t="s">
        <v>325</v>
      </c>
      <c r="D11" s="12">
        <v>45352</v>
      </c>
      <c r="E11" s="13">
        <v>183</v>
      </c>
      <c r="F11" s="14">
        <f t="shared" si="0"/>
        <v>45535</v>
      </c>
    </row>
    <row r="12" spans="1:8" x14ac:dyDescent="0.5">
      <c r="A12" s="38">
        <v>5</v>
      </c>
      <c r="B12" s="10" t="s">
        <v>443</v>
      </c>
      <c r="C12" s="11" t="s">
        <v>325</v>
      </c>
      <c r="D12" s="12">
        <v>44927</v>
      </c>
      <c r="E12" s="13">
        <v>90</v>
      </c>
      <c r="F12" s="14">
        <f t="shared" si="0"/>
        <v>45017</v>
      </c>
    </row>
    <row r="13" spans="1:8" x14ac:dyDescent="0.5">
      <c r="A13" s="38">
        <v>6</v>
      </c>
      <c r="B13" s="10" t="s">
        <v>444</v>
      </c>
      <c r="C13" s="11" t="s">
        <v>325</v>
      </c>
      <c r="D13" s="12">
        <v>45017</v>
      </c>
      <c r="E13" s="13">
        <v>40</v>
      </c>
      <c r="F13" s="14">
        <f t="shared" si="0"/>
        <v>45057</v>
      </c>
    </row>
    <row r="14" spans="1:8" x14ac:dyDescent="0.5">
      <c r="A14" s="38">
        <v>7</v>
      </c>
      <c r="B14" s="10" t="s">
        <v>445</v>
      </c>
      <c r="C14" s="11" t="s">
        <v>325</v>
      </c>
      <c r="D14" s="12">
        <v>45058</v>
      </c>
      <c r="E14" s="13">
        <v>49</v>
      </c>
      <c r="F14" s="14">
        <f t="shared" ref="F14:F40" si="1">D14+E14</f>
        <v>45107</v>
      </c>
    </row>
    <row r="15" spans="1:8" ht="14.7" thickBot="1" x14ac:dyDescent="0.55000000000000004">
      <c r="B15" s="22" t="s">
        <v>446</v>
      </c>
      <c r="C15" s="23" t="s">
        <v>325</v>
      </c>
      <c r="D15" s="24">
        <v>44986</v>
      </c>
      <c r="E15" s="25">
        <v>153</v>
      </c>
      <c r="F15" s="26">
        <f t="shared" si="1"/>
        <v>45139</v>
      </c>
    </row>
    <row r="16" spans="1:8" x14ac:dyDescent="0.5">
      <c r="A16" s="38">
        <v>8</v>
      </c>
      <c r="B16" s="17" t="s">
        <v>447</v>
      </c>
      <c r="C16" s="18" t="s">
        <v>325</v>
      </c>
      <c r="D16" s="19">
        <v>44927</v>
      </c>
      <c r="E16" s="20">
        <v>460</v>
      </c>
      <c r="F16" s="21">
        <f t="shared" si="1"/>
        <v>45387</v>
      </c>
    </row>
    <row r="17" spans="1:6" x14ac:dyDescent="0.5">
      <c r="A17" s="38">
        <v>9</v>
      </c>
      <c r="B17" s="10" t="s">
        <v>448</v>
      </c>
      <c r="C17" s="11" t="s">
        <v>325</v>
      </c>
      <c r="D17" s="12">
        <v>45387</v>
      </c>
      <c r="E17" s="13">
        <v>240</v>
      </c>
      <c r="F17" s="14">
        <f t="shared" si="1"/>
        <v>45627</v>
      </c>
    </row>
    <row r="18" spans="1:6" x14ac:dyDescent="0.5">
      <c r="A18" s="38">
        <v>10</v>
      </c>
      <c r="B18" s="10" t="s">
        <v>449</v>
      </c>
      <c r="C18" s="11" t="s">
        <v>325</v>
      </c>
      <c r="D18" s="12">
        <v>44927</v>
      </c>
      <c r="E18" s="13">
        <v>177</v>
      </c>
      <c r="F18" s="14">
        <f t="shared" si="1"/>
        <v>45104</v>
      </c>
    </row>
    <row r="19" spans="1:6" x14ac:dyDescent="0.5">
      <c r="A19" s="38">
        <v>11</v>
      </c>
      <c r="B19" s="10" t="s">
        <v>450</v>
      </c>
      <c r="C19" s="11" t="s">
        <v>325</v>
      </c>
      <c r="D19" s="12">
        <v>45105</v>
      </c>
      <c r="E19" s="13">
        <v>95</v>
      </c>
      <c r="F19" s="14">
        <f t="shared" si="1"/>
        <v>45200</v>
      </c>
    </row>
    <row r="20" spans="1:6" x14ac:dyDescent="0.5">
      <c r="A20" s="38">
        <v>12</v>
      </c>
      <c r="B20" s="10" t="s">
        <v>451</v>
      </c>
      <c r="C20" s="11" t="s">
        <v>325</v>
      </c>
      <c r="D20" s="12">
        <v>44927</v>
      </c>
      <c r="E20" s="13">
        <v>200</v>
      </c>
      <c r="F20" s="14">
        <f t="shared" si="1"/>
        <v>45127</v>
      </c>
    </row>
    <row r="21" spans="1:6" x14ac:dyDescent="0.5">
      <c r="A21" s="38">
        <v>13</v>
      </c>
      <c r="B21" s="10" t="s">
        <v>452</v>
      </c>
      <c r="C21" s="11" t="s">
        <v>325</v>
      </c>
      <c r="D21" s="12">
        <v>45113</v>
      </c>
      <c r="E21" s="13">
        <v>90</v>
      </c>
      <c r="F21" s="14">
        <f t="shared" si="1"/>
        <v>45203</v>
      </c>
    </row>
    <row r="22" spans="1:6" x14ac:dyDescent="0.5">
      <c r="A22" s="38">
        <v>14</v>
      </c>
      <c r="B22" s="10" t="s">
        <v>453</v>
      </c>
      <c r="C22" s="11" t="s">
        <v>325</v>
      </c>
      <c r="D22" s="12">
        <v>45047</v>
      </c>
      <c r="E22" s="13">
        <v>365</v>
      </c>
      <c r="F22" s="14">
        <f t="shared" si="1"/>
        <v>45412</v>
      </c>
    </row>
    <row r="23" spans="1:6" ht="14.7" thickBot="1" x14ac:dyDescent="0.55000000000000004">
      <c r="A23" s="38">
        <v>15</v>
      </c>
      <c r="B23" s="22" t="s">
        <v>454</v>
      </c>
      <c r="C23" s="23" t="s">
        <v>325</v>
      </c>
      <c r="D23" s="24">
        <v>45413</v>
      </c>
      <c r="E23" s="25">
        <v>180</v>
      </c>
      <c r="F23" s="26">
        <f t="shared" si="1"/>
        <v>45593</v>
      </c>
    </row>
    <row r="24" spans="1:6" x14ac:dyDescent="0.5">
      <c r="A24" s="38">
        <v>16</v>
      </c>
      <c r="B24" s="17" t="s">
        <v>455</v>
      </c>
      <c r="C24" s="18" t="s">
        <v>325</v>
      </c>
      <c r="D24" s="19">
        <v>45078</v>
      </c>
      <c r="E24" s="20">
        <v>245</v>
      </c>
      <c r="F24" s="21">
        <f t="shared" si="1"/>
        <v>45323</v>
      </c>
    </row>
    <row r="25" spans="1:6" x14ac:dyDescent="0.5">
      <c r="B25" s="10" t="s">
        <v>456</v>
      </c>
      <c r="C25" s="11" t="s">
        <v>325</v>
      </c>
      <c r="D25" s="12">
        <v>45366</v>
      </c>
      <c r="E25" s="13">
        <v>120</v>
      </c>
      <c r="F25" s="14">
        <f t="shared" si="1"/>
        <v>45486</v>
      </c>
    </row>
    <row r="26" spans="1:6" x14ac:dyDescent="0.5">
      <c r="A26" s="38">
        <v>17</v>
      </c>
      <c r="B26" s="10" t="s">
        <v>457</v>
      </c>
      <c r="C26" s="11" t="s">
        <v>325</v>
      </c>
      <c r="D26" s="12">
        <v>45153</v>
      </c>
      <c r="E26" s="13">
        <v>90</v>
      </c>
      <c r="F26" s="14">
        <f t="shared" si="1"/>
        <v>45243</v>
      </c>
    </row>
    <row r="27" spans="1:6" x14ac:dyDescent="0.5">
      <c r="A27" s="38">
        <v>18</v>
      </c>
      <c r="B27" s="10" t="s">
        <v>350</v>
      </c>
      <c r="C27" s="11" t="s">
        <v>348</v>
      </c>
      <c r="D27" s="12">
        <v>44927</v>
      </c>
      <c r="E27" s="13">
        <v>364</v>
      </c>
      <c r="F27" s="14">
        <f t="shared" si="1"/>
        <v>45291</v>
      </c>
    </row>
    <row r="28" spans="1:6" x14ac:dyDescent="0.5">
      <c r="B28" s="10" t="s">
        <v>357</v>
      </c>
      <c r="C28" s="11" t="s">
        <v>348</v>
      </c>
      <c r="D28" s="12">
        <v>45124</v>
      </c>
      <c r="E28" s="13">
        <v>60</v>
      </c>
      <c r="F28" s="14">
        <f t="shared" si="1"/>
        <v>45184</v>
      </c>
    </row>
    <row r="29" spans="1:6" x14ac:dyDescent="0.5">
      <c r="A29" s="38">
        <v>19</v>
      </c>
      <c r="B29" s="10" t="s">
        <v>250</v>
      </c>
      <c r="C29" s="11" t="s">
        <v>348</v>
      </c>
      <c r="D29" s="12">
        <v>45200</v>
      </c>
      <c r="E29" s="13">
        <v>457</v>
      </c>
      <c r="F29" s="14">
        <f t="shared" si="1"/>
        <v>45657</v>
      </c>
    </row>
    <row r="30" spans="1:6" x14ac:dyDescent="0.5">
      <c r="B30" s="10" t="s">
        <v>458</v>
      </c>
      <c r="C30" s="11" t="s">
        <v>459</v>
      </c>
      <c r="D30" s="12">
        <v>45139</v>
      </c>
      <c r="E30" s="13">
        <v>244</v>
      </c>
      <c r="F30" s="14">
        <f t="shared" si="1"/>
        <v>45383</v>
      </c>
    </row>
    <row r="31" spans="1:6" x14ac:dyDescent="0.5">
      <c r="A31" s="38">
        <v>20</v>
      </c>
      <c r="B31" s="10" t="s">
        <v>460</v>
      </c>
      <c r="C31" s="11" t="s">
        <v>459</v>
      </c>
      <c r="D31" s="12">
        <v>45139</v>
      </c>
      <c r="E31" s="13">
        <v>244</v>
      </c>
      <c r="F31" s="14">
        <f t="shared" si="1"/>
        <v>45383</v>
      </c>
    </row>
    <row r="32" spans="1:6" x14ac:dyDescent="0.5">
      <c r="B32" s="10" t="s">
        <v>461</v>
      </c>
      <c r="C32" s="11" t="s">
        <v>459</v>
      </c>
      <c r="D32" s="12">
        <v>45139</v>
      </c>
      <c r="E32" s="13">
        <v>244</v>
      </c>
      <c r="F32" s="14">
        <f t="shared" si="1"/>
        <v>45383</v>
      </c>
    </row>
    <row r="33" spans="1:8" x14ac:dyDescent="0.5">
      <c r="A33" s="38">
        <v>21</v>
      </c>
      <c r="B33" s="39" t="s">
        <v>462</v>
      </c>
      <c r="C33" s="27" t="s">
        <v>459</v>
      </c>
      <c r="D33" s="12">
        <v>45139</v>
      </c>
      <c r="E33" s="28">
        <v>244</v>
      </c>
      <c r="F33" s="29">
        <f t="shared" si="1"/>
        <v>45383</v>
      </c>
    </row>
    <row r="34" spans="1:8" x14ac:dyDescent="0.5">
      <c r="A34" s="38">
        <v>22</v>
      </c>
      <c r="B34" s="10" t="s">
        <v>463</v>
      </c>
      <c r="C34" s="11" t="s">
        <v>353</v>
      </c>
      <c r="D34" s="12">
        <v>44927</v>
      </c>
      <c r="E34" s="13">
        <v>700</v>
      </c>
      <c r="F34" s="14">
        <f t="shared" si="1"/>
        <v>45627</v>
      </c>
    </row>
    <row r="35" spans="1:8" ht="14.7" thickBot="1" x14ac:dyDescent="0.55000000000000004">
      <c r="A35" s="38">
        <v>23</v>
      </c>
      <c r="B35" s="40" t="s">
        <v>464</v>
      </c>
      <c r="C35" s="30" t="s">
        <v>353</v>
      </c>
      <c r="D35" s="31">
        <v>44928</v>
      </c>
      <c r="E35" s="32">
        <v>700</v>
      </c>
      <c r="F35" s="33">
        <f t="shared" si="1"/>
        <v>45628</v>
      </c>
    </row>
    <row r="36" spans="1:8" x14ac:dyDescent="0.5">
      <c r="B36" s="10" t="s">
        <v>416</v>
      </c>
      <c r="C36" s="11" t="s">
        <v>358</v>
      </c>
      <c r="D36" s="12">
        <v>44927</v>
      </c>
      <c r="E36" s="13">
        <v>364</v>
      </c>
      <c r="F36" s="14">
        <f>D36+E36</f>
        <v>45291</v>
      </c>
    </row>
    <row r="37" spans="1:8" x14ac:dyDescent="0.5">
      <c r="A37" s="38">
        <v>24</v>
      </c>
      <c r="B37" s="17" t="s">
        <v>465</v>
      </c>
      <c r="C37" s="18" t="s">
        <v>358</v>
      </c>
      <c r="D37" s="19">
        <v>45061</v>
      </c>
      <c r="E37" s="20">
        <v>138</v>
      </c>
      <c r="F37" s="21">
        <f t="shared" si="1"/>
        <v>45199</v>
      </c>
    </row>
    <row r="38" spans="1:8" ht="14.7" thickBot="1" x14ac:dyDescent="0.55000000000000004">
      <c r="A38" s="38">
        <v>25</v>
      </c>
      <c r="B38" s="22" t="s">
        <v>466</v>
      </c>
      <c r="C38" s="23" t="s">
        <v>358</v>
      </c>
      <c r="D38" s="24">
        <v>44927</v>
      </c>
      <c r="E38" s="25">
        <v>155</v>
      </c>
      <c r="F38" s="26">
        <f t="shared" si="1"/>
        <v>45082</v>
      </c>
    </row>
    <row r="39" spans="1:8" x14ac:dyDescent="0.5">
      <c r="A39" s="38">
        <v>26</v>
      </c>
      <c r="B39" s="17" t="s">
        <v>467</v>
      </c>
      <c r="C39" s="18" t="s">
        <v>358</v>
      </c>
      <c r="D39" s="19">
        <v>45083</v>
      </c>
      <c r="E39" s="20">
        <v>101</v>
      </c>
      <c r="F39" s="21">
        <f t="shared" si="1"/>
        <v>45184</v>
      </c>
    </row>
    <row r="40" spans="1:8" x14ac:dyDescent="0.5">
      <c r="A40" s="38">
        <v>27</v>
      </c>
      <c r="B40" s="10" t="s">
        <v>468</v>
      </c>
      <c r="C40" s="11" t="s">
        <v>358</v>
      </c>
      <c r="D40" s="12">
        <v>45017</v>
      </c>
      <c r="E40" s="13">
        <v>60</v>
      </c>
      <c r="F40" s="14">
        <f t="shared" si="1"/>
        <v>45077</v>
      </c>
    </row>
    <row r="41" spans="1:8" x14ac:dyDescent="0.5">
      <c r="C41" s="395"/>
      <c r="D41" s="2"/>
      <c r="F41" s="2"/>
    </row>
    <row r="42" spans="1:8" x14ac:dyDescent="0.5">
      <c r="C42" s="395"/>
      <c r="D42" s="2"/>
      <c r="F42" s="2"/>
    </row>
    <row r="43" spans="1:8" x14ac:dyDescent="0.5">
      <c r="C43" s="395"/>
      <c r="D43" s="2"/>
      <c r="F43" s="2"/>
    </row>
    <row r="44" spans="1:8" x14ac:dyDescent="0.5">
      <c r="B44" s="440" t="s">
        <v>420</v>
      </c>
      <c r="C44" s="440"/>
      <c r="D44" s="440"/>
      <c r="F44" s="2"/>
    </row>
    <row r="45" spans="1:8" x14ac:dyDescent="0.5">
      <c r="B45" s="437" t="s">
        <v>421</v>
      </c>
      <c r="C45" s="437"/>
      <c r="D45" s="437"/>
      <c r="F45" s="2"/>
      <c r="H45" s="2"/>
    </row>
    <row r="46" spans="1:8" x14ac:dyDescent="0.5">
      <c r="B46" s="437" t="s">
        <v>422</v>
      </c>
      <c r="C46" s="437"/>
      <c r="D46" s="437"/>
      <c r="F46" s="2"/>
    </row>
    <row r="47" spans="1:8" x14ac:dyDescent="0.5">
      <c r="B47" s="442" t="s">
        <v>423</v>
      </c>
      <c r="C47" s="442"/>
      <c r="D47" s="442"/>
      <c r="F47" s="2"/>
    </row>
    <row r="48" spans="1:8" x14ac:dyDescent="0.5">
      <c r="B48" s="5" t="s">
        <v>424</v>
      </c>
      <c r="C48" s="15"/>
      <c r="D48" s="2"/>
      <c r="F48" s="2"/>
    </row>
    <row r="49" spans="2:6" x14ac:dyDescent="0.5">
      <c r="B49" s="5" t="s">
        <v>469</v>
      </c>
      <c r="C49" s="34"/>
      <c r="D49" s="2"/>
      <c r="F49" s="2"/>
    </row>
    <row r="50" spans="2:6" x14ac:dyDescent="0.5">
      <c r="B50" s="5" t="s">
        <v>426</v>
      </c>
      <c r="C50" s="16"/>
      <c r="D50" s="2"/>
      <c r="F50" s="2"/>
    </row>
    <row r="51" spans="2:6" x14ac:dyDescent="0.5">
      <c r="B51" s="5" t="s">
        <v>427</v>
      </c>
      <c r="C51" s="35"/>
      <c r="D51" s="2"/>
      <c r="F51" s="2"/>
    </row>
    <row r="52" spans="2:6" x14ac:dyDescent="0.5">
      <c r="B52" s="5" t="s">
        <v>428</v>
      </c>
      <c r="C52" s="36"/>
      <c r="D52" s="2"/>
      <c r="F52" s="2"/>
    </row>
    <row r="53" spans="2:6" x14ac:dyDescent="0.5">
      <c r="B53" s="5" t="s">
        <v>429</v>
      </c>
      <c r="C53" s="37"/>
      <c r="D53" s="2"/>
      <c r="F53" s="2"/>
    </row>
    <row r="54" spans="2:6" x14ac:dyDescent="0.5">
      <c r="C54" s="443"/>
      <c r="D54" s="443"/>
      <c r="E54" s="443"/>
      <c r="F54" s="443"/>
    </row>
    <row r="55" spans="2:6" x14ac:dyDescent="0.5">
      <c r="B55" s="5" t="s">
        <v>430</v>
      </c>
      <c r="C55" s="444"/>
      <c r="D55" s="444"/>
      <c r="E55" s="444"/>
      <c r="F55" s="444"/>
    </row>
    <row r="56" spans="2:6" x14ac:dyDescent="0.5">
      <c r="B56" s="5"/>
      <c r="C56" s="441" t="s">
        <v>431</v>
      </c>
      <c r="D56" s="441"/>
      <c r="E56" s="441"/>
      <c r="F56" s="441"/>
    </row>
    <row r="57" spans="2:6" x14ac:dyDescent="0.5">
      <c r="B57" s="5"/>
      <c r="C57" s="445"/>
      <c r="D57" s="445"/>
      <c r="E57" s="445"/>
      <c r="F57" s="445"/>
    </row>
    <row r="58" spans="2:6" x14ac:dyDescent="0.5">
      <c r="B58" s="5" t="s">
        <v>430</v>
      </c>
      <c r="C58" s="446"/>
      <c r="D58" s="446"/>
      <c r="E58" s="446"/>
      <c r="F58" s="446"/>
    </row>
    <row r="59" spans="2:6" x14ac:dyDescent="0.5">
      <c r="B59" s="5"/>
      <c r="C59" s="441" t="s">
        <v>432</v>
      </c>
      <c r="D59" s="441"/>
      <c r="E59" s="441"/>
      <c r="F59" s="441"/>
    </row>
    <row r="60" spans="2:6" x14ac:dyDescent="0.5">
      <c r="B60" s="5"/>
      <c r="C60" s="445"/>
      <c r="D60" s="445"/>
      <c r="E60" s="445"/>
      <c r="F60" s="445"/>
    </row>
    <row r="61" spans="2:6" x14ac:dyDescent="0.5">
      <c r="B61" s="5" t="s">
        <v>430</v>
      </c>
      <c r="C61" s="446"/>
      <c r="D61" s="446"/>
      <c r="E61" s="446"/>
      <c r="F61" s="446"/>
    </row>
    <row r="62" spans="2:6" x14ac:dyDescent="0.5">
      <c r="C62" s="441" t="s">
        <v>433</v>
      </c>
      <c r="D62" s="441"/>
      <c r="E62" s="441"/>
      <c r="F62" s="441"/>
    </row>
    <row r="68" spans="3:4" x14ac:dyDescent="0.5">
      <c r="C68" t="s">
        <v>434</v>
      </c>
    </row>
    <row r="69" spans="3:4" x14ac:dyDescent="0.5">
      <c r="C69" t="s">
        <v>435</v>
      </c>
      <c r="D69">
        <v>31</v>
      </c>
    </row>
    <row r="70" spans="3:4" x14ac:dyDescent="0.5">
      <c r="C70" t="s">
        <v>436</v>
      </c>
      <c r="D70">
        <v>28</v>
      </c>
    </row>
    <row r="71" spans="3:4" x14ac:dyDescent="0.5">
      <c r="C71" t="s">
        <v>437</v>
      </c>
      <c r="D71">
        <v>31</v>
      </c>
    </row>
    <row r="72" spans="3:4" x14ac:dyDescent="0.5">
      <c r="D72">
        <v>30</v>
      </c>
    </row>
    <row r="73" spans="3:4" x14ac:dyDescent="0.5">
      <c r="D73">
        <v>31</v>
      </c>
    </row>
    <row r="74" spans="3:4" x14ac:dyDescent="0.5">
      <c r="D74">
        <v>30</v>
      </c>
    </row>
    <row r="75" spans="3:4" x14ac:dyDescent="0.5">
      <c r="D75">
        <v>31</v>
      </c>
    </row>
  </sheetData>
  <autoFilter ref="B5:F5" xr:uid="{46AEE89F-C10E-473A-9186-3B03047430DE}">
    <sortState xmlns:xlrd2="http://schemas.microsoft.com/office/spreadsheetml/2017/richdata2" ref="B6:F40">
      <sortCondition ref="C5"/>
    </sortState>
  </autoFilter>
  <sortState xmlns:xlrd2="http://schemas.microsoft.com/office/spreadsheetml/2017/richdata2" ref="B41:F46">
    <sortCondition ref="D41:D46"/>
  </sortState>
  <mergeCells count="13">
    <mergeCell ref="C62:F62"/>
    <mergeCell ref="C54:F55"/>
    <mergeCell ref="C57:F58"/>
    <mergeCell ref="C60:F61"/>
    <mergeCell ref="C56:F56"/>
    <mergeCell ref="C59:F59"/>
    <mergeCell ref="B47:D47"/>
    <mergeCell ref="B44:D44"/>
    <mergeCell ref="B1:F1"/>
    <mergeCell ref="D2:E2"/>
    <mergeCell ref="D3:E3"/>
    <mergeCell ref="B45:D45"/>
    <mergeCell ref="B46:D46"/>
  </mergeCells>
  <phoneticPr fontId="3" type="noConversion"/>
  <pageMargins left="0.7" right="0.7" top="0.75" bottom="0.75" header="0.3" footer="0.3"/>
  <pageSetup paperSize="3" scale="73" orientation="landscape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76fe23b-1fd5-490c-8cb0-07279ee04191" ContentTypeId="0x01010006ECCEB8876C3241BF9EAC4A765FAF4200B010D51BFC38B74EAC311886D95ED0A3" PreviousValue="false" LastSyncTimeStamp="2024-11-07T22:31:03.417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ransitory - Organizing and Monitoring Work in Progress" ma:contentTypeID="0x01010006ECCEB8876C3241BF9EAC4A765FAF4200B010D51BFC38B74EAC311886D95ED0A300EDC58EA103263747929A0695BF92E373" ma:contentTypeVersion="4" ma:contentTypeDescription="Create a new document." ma:contentTypeScope="" ma:versionID="16a87a5a69da41d0ca6b817235497675">
  <xsd:schema xmlns:xsd="http://www.w3.org/2001/XMLSchema" xmlns:xs="http://www.w3.org/2001/XMLSchema" xmlns:p="http://schemas.microsoft.com/office/2006/metadata/properties" xmlns:ns2="2025f06d-6995-4e44-8ee8-f8a6ae3bb98f" targetNamespace="http://schemas.microsoft.com/office/2006/metadata/properties" ma:root="true" ma:fieldsID="4eaeb6596560183758bd0c8a4ed784a9" ns2:_="">
    <xsd:import namespace="2025f06d-6995-4e44-8ee8-f8a6ae3bb98f"/>
    <xsd:element name="properties">
      <xsd:complexType>
        <xsd:sequence>
          <xsd:element name="documentManagement">
            <xsd:complexType>
              <xsd:all>
                <xsd:element ref="ns2:Supersed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f06d-6995-4e44-8ee8-f8a6ae3bb98f" elementFormDefault="qualified">
    <xsd:import namespace="http://schemas.microsoft.com/office/2006/documentManagement/types"/>
    <xsd:import namespace="http://schemas.microsoft.com/office/infopath/2007/PartnerControls"/>
    <xsd:element name="SupersededDate" ma:index="8" nillable="true" ma:displayName="Superseded Date" ma:internalName="Supersed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sededDate xmlns="2025f06d-6995-4e44-8ee8-f8a6ae3bb98f" xsi:nil="true"/>
  </documentManagement>
</p:properties>
</file>

<file path=customXml/itemProps1.xml><?xml version="1.0" encoding="utf-8"?>
<ds:datastoreItem xmlns:ds="http://schemas.openxmlformats.org/officeDocument/2006/customXml" ds:itemID="{C185EDC8-DD35-4393-8435-93E3D5C9A484}"/>
</file>

<file path=customXml/itemProps2.xml><?xml version="1.0" encoding="utf-8"?>
<ds:datastoreItem xmlns:ds="http://schemas.openxmlformats.org/officeDocument/2006/customXml" ds:itemID="{CD58B05D-FAAC-4027-8CAA-EF759A67E36F}"/>
</file>

<file path=customXml/itemProps3.xml><?xml version="1.0" encoding="utf-8"?>
<ds:datastoreItem xmlns:ds="http://schemas.openxmlformats.org/officeDocument/2006/customXml" ds:itemID="{33972FB4-25C3-4C90-936D-5557C0C40E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ECED7E1-E87F-480C-B888-09BD9DE8C4A7}">
  <ds:schemaRefs>
    <ds:schemaRef ds:uri="http://schemas.microsoft.com/office/infopath/2007/PartnerControls"/>
    <ds:schemaRef ds:uri="http://purl.org/dc/terms/"/>
    <ds:schemaRef ds:uri="d6d9ead2-91ff-495c-85d8-b2059af526f3"/>
    <ds:schemaRef ds:uri="2025f06d-6995-4e44-8ee8-f8a6ae3bb98f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c7243e29-e897-47ce-8043-54eeb9907be5}" enabled="0" method="" siteId="{c7243e29-e897-47ce-8043-54eeb9907b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2025 GANNT</vt:lpstr>
      <vt:lpstr>2025</vt:lpstr>
      <vt:lpstr>2024</vt:lpstr>
      <vt:lpstr>2023.1</vt:lpstr>
      <vt:lpstr>2023</vt:lpstr>
      <vt:lpstr>'2023'!Print_Area</vt:lpstr>
      <vt:lpstr>'2023.1'!Print_Area</vt:lpstr>
      <vt:lpstr>'2025'!Print_Area</vt:lpstr>
      <vt:lpstr>'2025 GANNT'!Print_Area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Halverson</dc:creator>
  <cp:keywords/>
  <dc:description/>
  <cp:lastModifiedBy>Sarah Garceau</cp:lastModifiedBy>
  <cp:revision/>
  <dcterms:created xsi:type="dcterms:W3CDTF">2018-11-08T23:33:42Z</dcterms:created>
  <dcterms:modified xsi:type="dcterms:W3CDTF">2025-11-04T19:21:25Z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0x01010006ECCEB8876C3241BF9EAC4A765FAF4200B010D51BFC38B74EAC311886D95ED0A300EDC58EA103263747929A0695BF92E373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MSIP_Label_cfab7ce3-3b42-49e2-a0d8-281df53d392b_Enabled">
    <vt:lpwstr>true</vt:lpwstr>
  </property>
  <property fmtid="{D5CDD505-2E9C-101B-9397-08002B2CF9AE}" pid="6" name="MSIP_Label_cfab7ce3-3b42-49e2-a0d8-281df53d392b_SetDate">
    <vt:lpwstr>2023-02-17T17:49:09Z</vt:lpwstr>
  </property>
  <property fmtid="{D5CDD505-2E9C-101B-9397-08002B2CF9AE}" pid="7" name="MSIP_Label_cfab7ce3-3b42-49e2-a0d8-281df53d392b_Method">
    <vt:lpwstr>Standard</vt:lpwstr>
  </property>
  <property fmtid="{D5CDD505-2E9C-101B-9397-08002B2CF9AE}" pid="8" name="MSIP_Label_cfab7ce3-3b42-49e2-a0d8-281df53d392b_Name">
    <vt:lpwstr>defa4170-0d19-0005-0004-bc88714345d2</vt:lpwstr>
  </property>
  <property fmtid="{D5CDD505-2E9C-101B-9397-08002B2CF9AE}" pid="9" name="MSIP_Label_cfab7ce3-3b42-49e2-a0d8-281df53d392b_SiteId">
    <vt:lpwstr>c7243e29-e897-47ce-8043-54eeb9907be5</vt:lpwstr>
  </property>
  <property fmtid="{D5CDD505-2E9C-101B-9397-08002B2CF9AE}" pid="10" name="MSIP_Label_cfab7ce3-3b42-49e2-a0d8-281df53d392b_ActionId">
    <vt:lpwstr>67cbd290-529c-4cb9-9655-51839d872ca7</vt:lpwstr>
  </property>
  <property fmtid="{D5CDD505-2E9C-101B-9397-08002B2CF9AE}" pid="11" name="MSIP_Label_cfab7ce3-3b42-49e2-a0d8-281df53d392b_ContentBits">
    <vt:lpwstr>0</vt:lpwstr>
  </property>
  <property fmtid="{D5CDD505-2E9C-101B-9397-08002B2CF9AE}" pid="12" name="Order">
    <vt:r8>100</vt:r8>
  </property>
  <property fmtid="{D5CDD505-2E9C-101B-9397-08002B2CF9AE}" pid="13" name="_ExtendedDescription">
    <vt:lpwstr/>
  </property>
  <property fmtid="{D5CDD505-2E9C-101B-9397-08002B2CF9AE}" pid="14" name="Topic">
    <vt:lpwstr>Erik's</vt:lpwstr>
  </property>
  <property fmtid="{D5CDD505-2E9C-101B-9397-08002B2CF9AE}" pid="15" name="lcf76f155ced4ddcb4097134ff3c332f">
    <vt:lpwstr/>
  </property>
  <property fmtid="{D5CDD505-2E9C-101B-9397-08002B2CF9AE}" pid="16" name="TaxCatchAll">
    <vt:lpwstr/>
  </property>
</Properties>
</file>