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mc:AlternateContent xmlns:mc="http://schemas.openxmlformats.org/markup-compatibility/2006">
    <mc:Choice Requires="x15">
      <x15ac:absPath xmlns:x15ac="http://schemas.microsoft.com/office/spreadsheetml/2010/11/ac" url="https://lakestevens.sharepoint.com/sites/RMS-CapitalProjects/PublishedPlan/"/>
    </mc:Choice>
  </mc:AlternateContent>
  <xr:revisionPtr revIDLastSave="2457" documentId="8_{2D18BB6B-536F-4A1D-A05F-BAC23EA74249}" xr6:coauthVersionLast="47" xr6:coauthVersionMax="47" xr10:uidLastSave="{313498E5-C47A-4AAA-B168-C6CFAC5909DD}"/>
  <bookViews>
    <workbookView xWindow="-27070" yWindow="-21710" windowWidth="38620" windowHeight="21100" tabRatio="710" firstSheet="2" activeTab="1" xr2:uid="{237675DD-A3A2-4939-AA50-FA31B241D28C}"/>
  </bookViews>
  <sheets>
    <sheet name="Sidewalk Projects - All" sheetId="2" r:id="rId1"/>
    <sheet name="Roadway Projects - All" sheetId="3" r:id="rId2"/>
    <sheet name="Parks - All" sheetId="9" r:id="rId3"/>
    <sheet name="Surface Water" sheetId="10" r:id="rId4"/>
    <sheet name="Facilities" sheetId="11" r:id="rId5"/>
    <sheet name="TBD Projects" sheetId="8" r:id="rId6"/>
    <sheet name="School Sidewalks (Draft)" sheetId="1" r:id="rId7"/>
    <sheet name="TBD by Allocation (Draft)" sheetId="12" r:id="rId8"/>
  </sheets>
  <definedNames>
    <definedName name="_xlnm._FilterDatabase" localSheetId="2" hidden="1">'Parks - All'!$C$3:$Y$3</definedName>
    <definedName name="_xlnm._FilterDatabase" localSheetId="1" hidden="1">'Roadway Projects - All'!$B$12:$AB$12</definedName>
    <definedName name="_xlnm._FilterDatabase" localSheetId="6" hidden="1">'School Sidewalks (Draft)'!$C$11:$X$11</definedName>
    <definedName name="_xlnm._FilterDatabase" localSheetId="0" hidden="1">'Sidewalk Projects - All'!$B$4:$AI$4</definedName>
    <definedName name="_xlnm._FilterDatabase" localSheetId="3" hidden="1">'Surface Water'!$D$3:$U$3</definedName>
    <definedName name="_xlnm.Print_Area" localSheetId="4">Facilities!$A$2:$W$23</definedName>
    <definedName name="_xlnm.Print_Area" localSheetId="2">'Parks - All'!$B$2:$Y$24</definedName>
    <definedName name="_xlnm.Print_Area" localSheetId="1">'Roadway Projects - All'!$B$11:$AB$33</definedName>
    <definedName name="_xlnm.Print_Area" localSheetId="0">'Sidewalk Projects - All'!$B$3:$AI$9</definedName>
    <definedName name="_xlnm.Print_Area" localSheetId="3">'Surface Water'!$A$2:$U$16</definedName>
    <definedName name="_xlnm.Print_Titles" localSheetId="2">'Parks - All'!$2:$3</definedName>
    <definedName name="_xlnm.Print_Titles" localSheetId="0">'Sidewalk Projects - All'!$3:$4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0" l="1"/>
  <c r="I15" i="10"/>
  <c r="J15" i="10"/>
  <c r="K15" i="10"/>
  <c r="U15" i="10"/>
  <c r="K22" i="11"/>
  <c r="L22" i="11"/>
  <c r="M22" i="11"/>
  <c r="W22" i="11"/>
  <c r="K21" i="11"/>
  <c r="L21" i="11"/>
  <c r="M21" i="11"/>
  <c r="W21" i="11"/>
  <c r="K20" i="11"/>
  <c r="L20" i="11"/>
  <c r="M20" i="11"/>
  <c r="W20" i="11"/>
  <c r="K19" i="11"/>
  <c r="L19" i="11"/>
  <c r="M19" i="11"/>
  <c r="W19" i="11"/>
  <c r="S50" i="2"/>
  <c r="T50" i="2"/>
  <c r="U50" i="2"/>
  <c r="V50" i="2"/>
  <c r="W50" i="2"/>
  <c r="AE50" i="2"/>
  <c r="AI50" i="2" a="1"/>
  <c r="AI50" i="2"/>
  <c r="L24" i="9"/>
  <c r="J25" i="9"/>
  <c r="J26" i="9"/>
  <c r="J27" i="9"/>
  <c r="J28" i="9"/>
  <c r="J29" i="9"/>
  <c r="J30" i="9"/>
  <c r="J31" i="9"/>
  <c r="J32" i="9"/>
  <c r="J33" i="9"/>
  <c r="J34" i="9"/>
  <c r="J35" i="9"/>
  <c r="J36" i="9"/>
  <c r="J37" i="9"/>
  <c r="J38" i="9"/>
  <c r="J39" i="9"/>
  <c r="J40" i="9"/>
  <c r="J41" i="9"/>
  <c r="L25" i="9"/>
  <c r="L26" i="9"/>
  <c r="L27" i="9"/>
  <c r="L28" i="9"/>
  <c r="L29" i="9"/>
  <c r="L30" i="9"/>
  <c r="L31" i="9"/>
  <c r="L32" i="9"/>
  <c r="L33" i="9"/>
  <c r="L34" i="9"/>
  <c r="L35" i="9"/>
  <c r="L36" i="9"/>
  <c r="L37" i="9"/>
  <c r="L38" i="9"/>
  <c r="L39" i="9"/>
  <c r="L40" i="9"/>
  <c r="L41" i="9"/>
  <c r="M25" i="9"/>
  <c r="M26" i="9"/>
  <c r="M27" i="9"/>
  <c r="M28" i="9"/>
  <c r="M29" i="9"/>
  <c r="M30" i="9"/>
  <c r="M31" i="9"/>
  <c r="M32" i="9"/>
  <c r="M33" i="9"/>
  <c r="M34" i="9"/>
  <c r="M35" i="9"/>
  <c r="M36" i="9"/>
  <c r="M37" i="9"/>
  <c r="M38" i="9"/>
  <c r="M39" i="9"/>
  <c r="M40" i="9"/>
  <c r="M41" i="9"/>
  <c r="N25" i="9"/>
  <c r="N26" i="9"/>
  <c r="N27" i="9"/>
  <c r="N28" i="9"/>
  <c r="N29" i="9"/>
  <c r="N30" i="9"/>
  <c r="N31" i="9"/>
  <c r="N32" i="9"/>
  <c r="N33" i="9"/>
  <c r="N34" i="9"/>
  <c r="N35" i="9"/>
  <c r="N36" i="9"/>
  <c r="N37" i="9"/>
  <c r="N38" i="9"/>
  <c r="N39" i="9"/>
  <c r="N40" i="9"/>
  <c r="N41" i="9"/>
  <c r="T25" i="9"/>
  <c r="T26" i="9"/>
  <c r="T27" i="9"/>
  <c r="T28" i="9"/>
  <c r="T29" i="9"/>
  <c r="T30" i="9"/>
  <c r="T31" i="9"/>
  <c r="T32" i="9"/>
  <c r="T33" i="9"/>
  <c r="T34" i="9"/>
  <c r="T35" i="9"/>
  <c r="T36" i="9"/>
  <c r="T37" i="9"/>
  <c r="T38" i="9"/>
  <c r="T39" i="9"/>
  <c r="T40" i="9"/>
  <c r="T41" i="9"/>
  <c r="Y25" i="9"/>
  <c r="Y26" i="9"/>
  <c r="Y27" i="9"/>
  <c r="Y28" i="9"/>
  <c r="Y29" i="9"/>
  <c r="Y30" i="9"/>
  <c r="Y31" i="9"/>
  <c r="Y32" i="9"/>
  <c r="Y33" i="9"/>
  <c r="Y34" i="9"/>
  <c r="Y35" i="9"/>
  <c r="Y36" i="9"/>
  <c r="Y37" i="9"/>
  <c r="Y38" i="9"/>
  <c r="Y39" i="9"/>
  <c r="Y40" i="9"/>
  <c r="Y41" i="9"/>
  <c r="J23" i="9"/>
  <c r="L23" i="9"/>
  <c r="M23" i="9"/>
  <c r="T23" i="9"/>
  <c r="Y23" i="9"/>
  <c r="I13" i="9"/>
  <c r="P14" i="3"/>
  <c r="N14" i="3" s="1"/>
  <c r="N17" i="3"/>
  <c r="N16" i="3"/>
  <c r="AB16" i="3" a="1"/>
  <c r="AB16" i="3" s="1"/>
  <c r="AB15" i="3" a="1"/>
  <c r="AB15" i="3" s="1"/>
  <c r="R15" i="3"/>
  <c r="M14" i="3" l="1"/>
  <c r="O14" i="3"/>
  <c r="R16" i="3"/>
  <c r="T38" i="2"/>
  <c r="Q14" i="3" l="1"/>
  <c r="R14" i="3" s="1"/>
  <c r="S31" i="2"/>
  <c r="U31" i="2" s="1"/>
  <c r="S37" i="2"/>
  <c r="U37" i="2" s="1"/>
  <c r="S8" i="2"/>
  <c r="T8" i="2" s="1"/>
  <c r="S7" i="2"/>
  <c r="U7" i="2" s="1"/>
  <c r="S6" i="2"/>
  <c r="U6" i="2" s="1"/>
  <c r="S29" i="2"/>
  <c r="T29" i="2" s="1"/>
  <c r="S18" i="2"/>
  <c r="T18" i="2" s="1"/>
  <c r="S40" i="2"/>
  <c r="T40" i="2" s="1"/>
  <c r="S30" i="2"/>
  <c r="T30" i="2" s="1"/>
  <c r="S33" i="2"/>
  <c r="U33" i="2" s="1"/>
  <c r="K48" i="2"/>
  <c r="S48" i="2"/>
  <c r="T48" i="2" s="1"/>
  <c r="T24" i="2"/>
  <c r="S9" i="2"/>
  <c r="U9" i="2" s="1"/>
  <c r="S26" i="2"/>
  <c r="T26" i="2" s="1"/>
  <c r="S16" i="2"/>
  <c r="T16" i="2" s="1"/>
  <c r="S42" i="2"/>
  <c r="T42" i="2" s="1"/>
  <c r="S19" i="2"/>
  <c r="T19" i="2" s="1"/>
  <c r="U19" i="2"/>
  <c r="S17" i="2"/>
  <c r="T17" i="2" s="1"/>
  <c r="S45" i="2"/>
  <c r="U45" i="2" s="1"/>
  <c r="S12" i="2"/>
  <c r="U12" i="2" s="1"/>
  <c r="S35" i="2"/>
  <c r="T35" i="2" s="1"/>
  <c r="S43" i="2"/>
  <c r="T43" i="2" s="1"/>
  <c r="S23" i="2"/>
  <c r="T23" i="2" s="1"/>
  <c r="S34" i="2"/>
  <c r="T34" i="2" s="1"/>
  <c r="U34" i="2"/>
  <c r="S47" i="2"/>
  <c r="U47" i="2" s="1"/>
  <c r="S44" i="2"/>
  <c r="T44" i="2" s="1"/>
  <c r="S41" i="2"/>
  <c r="T41" i="2" s="1"/>
  <c r="S25" i="2"/>
  <c r="T25" i="2"/>
  <c r="S32" i="2"/>
  <c r="U32" i="2" s="1"/>
  <c r="T32" i="2"/>
  <c r="S22" i="2"/>
  <c r="T22" i="2" s="1"/>
  <c r="S20" i="2"/>
  <c r="U20" i="2" s="1"/>
  <c r="T20" i="2"/>
  <c r="S36" i="2"/>
  <c r="T36" i="2" s="1"/>
  <c r="S13" i="2"/>
  <c r="T13" i="2" s="1"/>
  <c r="S46" i="2"/>
  <c r="T46" i="2" s="1"/>
  <c r="S21" i="2"/>
  <c r="U21" i="2" s="1"/>
  <c r="S14" i="2"/>
  <c r="T14" i="2" s="1"/>
  <c r="S10" i="2"/>
  <c r="S51" i="2"/>
  <c r="T51" i="2" s="1"/>
  <c r="E17" i="12"/>
  <c r="P26" i="3"/>
  <c r="P24" i="3"/>
  <c r="I19" i="9"/>
  <c r="J19" i="9" s="1"/>
  <c r="W17" i="11"/>
  <c r="L17" i="11"/>
  <c r="K17" i="11"/>
  <c r="H10" i="11"/>
  <c r="K10" i="11" s="1"/>
  <c r="W10" i="11"/>
  <c r="R25" i="3"/>
  <c r="R27" i="3"/>
  <c r="H9" i="11"/>
  <c r="I6" i="10"/>
  <c r="K16" i="11"/>
  <c r="L16" i="11"/>
  <c r="W16" i="11"/>
  <c r="T31" i="2" l="1"/>
  <c r="T9" i="2"/>
  <c r="U18" i="2"/>
  <c r="V18" i="2" s="1"/>
  <c r="W18" i="2" s="1"/>
  <c r="T21" i="2"/>
  <c r="U40" i="2"/>
  <c r="V40" i="2" s="1"/>
  <c r="W40" i="2" s="1"/>
  <c r="AE40" i="2" s="1"/>
  <c r="AI40" i="2" s="1" a="1"/>
  <c r="AI40" i="2" s="1"/>
  <c r="T7" i="2"/>
  <c r="V7" i="2" s="1"/>
  <c r="W7" i="2" s="1"/>
  <c r="V32" i="2"/>
  <c r="W32" i="2" s="1"/>
  <c r="AE32" i="2" s="1"/>
  <c r="AI32" i="2" s="1" a="1"/>
  <c r="AI32" i="2" s="1"/>
  <c r="T12" i="2"/>
  <c r="V12" i="2" s="1"/>
  <c r="W12" i="2" s="1"/>
  <c r="U26" i="2"/>
  <c r="V26" i="2" s="1"/>
  <c r="W26" i="2" s="1"/>
  <c r="AE26" i="2" s="1"/>
  <c r="AI26" i="2" s="1" a="1"/>
  <c r="AI26" i="2" s="1"/>
  <c r="V31" i="2"/>
  <c r="W31" i="2" s="1"/>
  <c r="AE31" i="2" s="1"/>
  <c r="AI31" i="2" s="1" a="1"/>
  <c r="AI31" i="2" s="1"/>
  <c r="T47" i="2"/>
  <c r="V47" i="2" s="1"/>
  <c r="W47" i="2" s="1"/>
  <c r="AE47" i="2" s="1"/>
  <c r="AI47" i="2" s="1" a="1"/>
  <c r="AI47" i="2" s="1"/>
  <c r="U10" i="2"/>
  <c r="U23" i="2"/>
  <c r="V23" i="2" s="1"/>
  <c r="W23" i="2" s="1"/>
  <c r="T10" i="2"/>
  <c r="U14" i="2"/>
  <c r="V14" i="2" s="1"/>
  <c r="W14" i="2" s="1"/>
  <c r="U35" i="2"/>
  <c r="V35" i="2" s="1"/>
  <c r="V21" i="2"/>
  <c r="W21" i="2" s="1"/>
  <c r="T45" i="2"/>
  <c r="V45" i="2" s="1"/>
  <c r="W45" i="2" s="1"/>
  <c r="AE45" i="2" s="1"/>
  <c r="AI45" i="2" s="1" a="1"/>
  <c r="AI45" i="2" s="1"/>
  <c r="V19" i="2"/>
  <c r="W19" i="2" s="1"/>
  <c r="T6" i="2"/>
  <c r="V6" i="2" s="1"/>
  <c r="W6" i="2" s="1"/>
  <c r="V9" i="2"/>
  <c r="W9" i="2" s="1"/>
  <c r="U48" i="2"/>
  <c r="V48" i="2" s="1"/>
  <c r="W48" i="2" s="1"/>
  <c r="AE48" i="2" s="1"/>
  <c r="AI48" i="2" s="1" a="1"/>
  <c r="AI48" i="2" s="1"/>
  <c r="V34" i="2"/>
  <c r="W34" i="2" s="1"/>
  <c r="AE34" i="2" s="1"/>
  <c r="AI34" i="2" s="1" a="1"/>
  <c r="AI34" i="2" s="1"/>
  <c r="U25" i="2"/>
  <c r="V25" i="2" s="1"/>
  <c r="W25" i="2" s="1"/>
  <c r="Y25" i="2" s="1"/>
  <c r="U41" i="2"/>
  <c r="V41" i="2" s="1"/>
  <c r="W41" i="2" s="1"/>
  <c r="AE41" i="2" s="1"/>
  <c r="AI41" i="2" s="1" a="1"/>
  <c r="AI41" i="2" s="1"/>
  <c r="U29" i="2"/>
  <c r="V29" i="2" s="1"/>
  <c r="W29" i="2" s="1"/>
  <c r="AE29" i="2" s="1"/>
  <c r="AI29" i="2" s="1" a="1"/>
  <c r="AI29" i="2" s="1"/>
  <c r="U44" i="2"/>
  <c r="U46" i="2"/>
  <c r="V46" i="2" s="1"/>
  <c r="U8" i="2"/>
  <c r="T33" i="2"/>
  <c r="V33" i="2" s="1"/>
  <c r="W33" i="2" s="1"/>
  <c r="AE33" i="2" s="1"/>
  <c r="AI33" i="2" s="1" a="1"/>
  <c r="AI33" i="2" s="1"/>
  <c r="U13" i="2"/>
  <c r="V13" i="2" s="1"/>
  <c r="W13" i="2" s="1"/>
  <c r="V20" i="2"/>
  <c r="W20" i="2" s="1"/>
  <c r="T37" i="2"/>
  <c r="V37" i="2" s="1"/>
  <c r="W28" i="2"/>
  <c r="AE28" i="2" s="1"/>
  <c r="AI28" i="2" s="1" a="1"/>
  <c r="AI28" i="2" s="1"/>
  <c r="W27" i="2"/>
  <c r="AE27" i="2" s="1"/>
  <c r="AI27" i="2" s="1" a="1"/>
  <c r="AI27" i="2" s="1"/>
  <c r="U42" i="2"/>
  <c r="U30" i="2"/>
  <c r="U17" i="2"/>
  <c r="V17" i="2" s="1"/>
  <c r="W17" i="2" s="1"/>
  <c r="W38" i="2"/>
  <c r="AE38" i="2" s="1"/>
  <c r="AI38" i="2" s="1" a="1"/>
  <c r="AI38" i="2" s="1"/>
  <c r="W11" i="2"/>
  <c r="U22" i="2"/>
  <c r="V22" i="2" s="1"/>
  <c r="W22" i="2" s="1"/>
  <c r="U36" i="2"/>
  <c r="V36" i="2" s="1"/>
  <c r="W36" i="2" s="1"/>
  <c r="AE36" i="2" s="1"/>
  <c r="AI36" i="2" s="1" a="1"/>
  <c r="AI36" i="2" s="1"/>
  <c r="U43" i="2"/>
  <c r="V43" i="2" s="1"/>
  <c r="W24" i="2"/>
  <c r="U16" i="2"/>
  <c r="V16" i="2" s="1"/>
  <c r="W16" i="2" s="1"/>
  <c r="U51" i="2"/>
  <c r="V51" i="2" s="1"/>
  <c r="L19" i="9"/>
  <c r="M17" i="11"/>
  <c r="I10" i="11"/>
  <c r="L10" i="11"/>
  <c r="M16" i="11"/>
  <c r="G11" i="10"/>
  <c r="I11" i="10"/>
  <c r="J11" i="10"/>
  <c r="U11" i="10"/>
  <c r="N12" i="1"/>
  <c r="J22" i="9"/>
  <c r="L22" i="9"/>
  <c r="M22" i="9"/>
  <c r="M24" i="9"/>
  <c r="N24" i="9" s="1"/>
  <c r="G16" i="10"/>
  <c r="I16" i="10"/>
  <c r="J16" i="10"/>
  <c r="K23" i="11"/>
  <c r="L23" i="11"/>
  <c r="H6" i="11"/>
  <c r="K6" i="11" s="1"/>
  <c r="K9" i="11"/>
  <c r="K4" i="11"/>
  <c r="L4" i="11"/>
  <c r="I18" i="11"/>
  <c r="W9" i="11"/>
  <c r="W4" i="11"/>
  <c r="W6" i="11"/>
  <c r="W7" i="11"/>
  <c r="H7" i="11"/>
  <c r="K7" i="11" s="1"/>
  <c r="G10" i="10"/>
  <c r="I10" i="10"/>
  <c r="J10" i="10"/>
  <c r="U10" i="10"/>
  <c r="G9" i="10"/>
  <c r="I9" i="10"/>
  <c r="J9" i="10"/>
  <c r="U9" i="10"/>
  <c r="G12" i="10"/>
  <c r="I12" i="10"/>
  <c r="J12" i="10"/>
  <c r="U12" i="10"/>
  <c r="W8" i="11"/>
  <c r="W11" i="11"/>
  <c r="W5" i="11"/>
  <c r="W12" i="11"/>
  <c r="W14" i="11"/>
  <c r="W15" i="11"/>
  <c r="W18" i="11"/>
  <c r="W13" i="11"/>
  <c r="I11" i="11"/>
  <c r="K11" i="11"/>
  <c r="L11" i="11"/>
  <c r="I5" i="11"/>
  <c r="K5" i="11"/>
  <c r="L5" i="11"/>
  <c r="I12" i="11"/>
  <c r="K12" i="11"/>
  <c r="L12" i="11"/>
  <c r="I14" i="11"/>
  <c r="K14" i="11"/>
  <c r="L14" i="11"/>
  <c r="I15" i="11"/>
  <c r="K15" i="11"/>
  <c r="L15" i="11"/>
  <c r="K18" i="11"/>
  <c r="L18" i="11"/>
  <c r="I8" i="11"/>
  <c r="K8" i="11"/>
  <c r="L8" i="11"/>
  <c r="U13" i="10"/>
  <c r="U14" i="10"/>
  <c r="U8" i="10"/>
  <c r="U4" i="10"/>
  <c r="U5" i="10"/>
  <c r="U7" i="10"/>
  <c r="U6" i="10"/>
  <c r="G13" i="10"/>
  <c r="I13" i="10"/>
  <c r="J13" i="10"/>
  <c r="G14" i="10"/>
  <c r="I14" i="10"/>
  <c r="J14" i="10"/>
  <c r="G8" i="10"/>
  <c r="I8" i="10"/>
  <c r="J8" i="10"/>
  <c r="G4" i="10"/>
  <c r="I4" i="10"/>
  <c r="J4" i="10"/>
  <c r="G5" i="10"/>
  <c r="I5" i="10"/>
  <c r="J5" i="10"/>
  <c r="G7" i="10"/>
  <c r="I7" i="10"/>
  <c r="J7" i="10"/>
  <c r="G6" i="10"/>
  <c r="J6" i="10"/>
  <c r="AB27" i="3" a="1"/>
  <c r="AB27" i="3" s="1"/>
  <c r="AB25" i="3" a="1"/>
  <c r="AB25" i="3" s="1"/>
  <c r="AB26" i="3" a="1"/>
  <c r="AB26" i="3" s="1"/>
  <c r="O26" i="3"/>
  <c r="M26" i="3"/>
  <c r="Y18" i="2" l="1"/>
  <c r="AE18" i="2"/>
  <c r="AI18" i="2" s="1" a="1"/>
  <c r="AI18" i="2" s="1"/>
  <c r="Y21" i="2"/>
  <c r="AE21" i="2"/>
  <c r="AI21" i="2" s="1" a="1"/>
  <c r="AI21" i="2" s="1"/>
  <c r="AE9" i="2"/>
  <c r="AI9" i="2" s="1" a="1"/>
  <c r="AI9" i="2" s="1"/>
  <c r="Y9" i="2"/>
  <c r="Y14" i="2"/>
  <c r="AE14" i="2"/>
  <c r="AI14" i="2" s="1" a="1"/>
  <c r="AI14" i="2" s="1"/>
  <c r="W46" i="2"/>
  <c r="AE46" i="2" s="1"/>
  <c r="AI46" i="2" s="1" a="1"/>
  <c r="AI46" i="2" s="1"/>
  <c r="V10" i="2"/>
  <c r="W10" i="2" s="1"/>
  <c r="W35" i="2"/>
  <c r="AE35" i="2" s="1"/>
  <c r="AI35" i="2" s="1" a="1"/>
  <c r="AI35" i="2" s="1"/>
  <c r="AE20" i="2"/>
  <c r="AI20" i="2" s="1" a="1"/>
  <c r="AI20" i="2" s="1"/>
  <c r="Y20" i="2"/>
  <c r="Y7" i="2"/>
  <c r="AE7" i="2"/>
  <c r="AI7" i="2" s="1" a="1"/>
  <c r="AI7" i="2" s="1"/>
  <c r="AE12" i="2"/>
  <c r="AI12" i="2" s="1" a="1"/>
  <c r="AI12" i="2" s="1"/>
  <c r="Y12" i="2"/>
  <c r="Y19" i="2"/>
  <c r="AE19" i="2"/>
  <c r="AI19" i="2" s="1" a="1"/>
  <c r="AI19" i="2" s="1"/>
  <c r="V8" i="2"/>
  <c r="W8" i="2" s="1"/>
  <c r="W37" i="2"/>
  <c r="AE37" i="2" s="1"/>
  <c r="AI37" i="2" s="1" a="1"/>
  <c r="AI37" i="2" s="1"/>
  <c r="V44" i="2"/>
  <c r="W44" i="2" s="1"/>
  <c r="AE44" i="2" s="1"/>
  <c r="AI44" i="2" s="1" a="1"/>
  <c r="AI44" i="2" s="1"/>
  <c r="W39" i="2"/>
  <c r="AE39" i="2" s="1"/>
  <c r="AI39" i="2" s="1" a="1"/>
  <c r="AI39" i="2" s="1"/>
  <c r="W49" i="2"/>
  <c r="AE49" i="2" s="1"/>
  <c r="AI49" i="2" s="1" a="1"/>
  <c r="AI49" i="2" s="1"/>
  <c r="AE25" i="2"/>
  <c r="AI25" i="2" s="1" a="1"/>
  <c r="AI25" i="2" s="1"/>
  <c r="V30" i="2"/>
  <c r="W30" i="2" s="1"/>
  <c r="AE30" i="2" s="1"/>
  <c r="AI30" i="2" s="1" a="1"/>
  <c r="AI30" i="2" s="1"/>
  <c r="V42" i="2"/>
  <c r="W42" i="2" s="1"/>
  <c r="AE42" i="2" s="1"/>
  <c r="AI42" i="2" s="1" a="1"/>
  <c r="AI42" i="2" s="1"/>
  <c r="Y11" i="2"/>
  <c r="AE11" i="2"/>
  <c r="AI11" i="2" s="1" a="1"/>
  <c r="AI11" i="2" s="1"/>
  <c r="Y16" i="2"/>
  <c r="AE16" i="2"/>
  <c r="AI16" i="2" s="1" a="1"/>
  <c r="AI16" i="2" s="1"/>
  <c r="Y24" i="2"/>
  <c r="AE24" i="2"/>
  <c r="AI24" i="2" s="1" a="1"/>
  <c r="AI24" i="2" s="1"/>
  <c r="AE22" i="2"/>
  <c r="AI22" i="2" s="1" a="1"/>
  <c r="AI22" i="2" s="1"/>
  <c r="Y22" i="2"/>
  <c r="Y17" i="2"/>
  <c r="AE17" i="2"/>
  <c r="AI17" i="2" s="1" a="1"/>
  <c r="AI17" i="2" s="1"/>
  <c r="W5" i="2"/>
  <c r="Y6" i="2"/>
  <c r="AE6" i="2"/>
  <c r="AI6" i="2" s="1" a="1"/>
  <c r="AI6" i="2" s="1"/>
  <c r="W43" i="2"/>
  <c r="AE43" i="2" s="1"/>
  <c r="AI43" i="2" s="1" a="1"/>
  <c r="AI43" i="2" s="1"/>
  <c r="W15" i="2"/>
  <c r="K28" i="12" s="1"/>
  <c r="AE23" i="2"/>
  <c r="AI23" i="2" s="1" a="1"/>
  <c r="AI23" i="2" s="1"/>
  <c r="Y23" i="2"/>
  <c r="Y13" i="2"/>
  <c r="AE13" i="2"/>
  <c r="AI13" i="2" s="1" a="1"/>
  <c r="AI13" i="2" s="1"/>
  <c r="M10" i="11"/>
  <c r="K11" i="10"/>
  <c r="K6" i="10"/>
  <c r="I9" i="11"/>
  <c r="L7" i="11"/>
  <c r="I7" i="11"/>
  <c r="M4" i="11"/>
  <c r="K9" i="10"/>
  <c r="N22" i="9"/>
  <c r="T22" i="9" s="1"/>
  <c r="Y22" i="9" s="1"/>
  <c r="K10" i="10"/>
  <c r="K12" i="10"/>
  <c r="L6" i="11"/>
  <c r="I6" i="11"/>
  <c r="L9" i="11"/>
  <c r="M8" i="11"/>
  <c r="M18" i="11"/>
  <c r="M14" i="11"/>
  <c r="M5" i="11"/>
  <c r="M12" i="11"/>
  <c r="M15" i="11"/>
  <c r="M11" i="11"/>
  <c r="K5" i="10"/>
  <c r="K13" i="10"/>
  <c r="K7" i="10"/>
  <c r="K14" i="10"/>
  <c r="K4" i="10"/>
  <c r="K8" i="10"/>
  <c r="Q26" i="3"/>
  <c r="R26" i="3" s="1"/>
  <c r="J10" i="9"/>
  <c r="L14" i="9"/>
  <c r="M14" i="9"/>
  <c r="J11" i="9"/>
  <c r="L11" i="9"/>
  <c r="M11" i="9"/>
  <c r="J5" i="9"/>
  <c r="M19" i="9"/>
  <c r="N19" i="9" s="1"/>
  <c r="AE10" i="2" l="1"/>
  <c r="AI10" i="2" s="1" a="1"/>
  <c r="AI10" i="2" s="1"/>
  <c r="Y10" i="2"/>
  <c r="AE8" i="2"/>
  <c r="AI8" i="2" s="1" a="1"/>
  <c r="AI8" i="2" s="1"/>
  <c r="Y8" i="2"/>
  <c r="W51" i="2"/>
  <c r="AE51" i="2" s="1"/>
  <c r="Y5" i="2"/>
  <c r="AE5" i="2"/>
  <c r="AI5" i="2" s="1" a="1"/>
  <c r="AI5" i="2" s="1"/>
  <c r="Y15" i="2"/>
  <c r="AE15" i="2"/>
  <c r="AI15" i="2" s="1" a="1"/>
  <c r="AI15" i="2" s="1"/>
  <c r="M7" i="11"/>
  <c r="M9" i="11"/>
  <c r="K16" i="10"/>
  <c r="M6" i="11"/>
  <c r="N14" i="9"/>
  <c r="T14" i="9" s="1"/>
  <c r="Y14" i="9" s="1"/>
  <c r="N11" i="9"/>
  <c r="T11" i="9" s="1"/>
  <c r="Y11" i="9" s="1"/>
  <c r="M5" i="9"/>
  <c r="L5" i="9"/>
  <c r="T19" i="9" l="1"/>
  <c r="Y19" i="9" s="1"/>
  <c r="N5" i="9"/>
  <c r="T5" i="9" s="1"/>
  <c r="Y5" i="9" s="1"/>
  <c r="L16" i="9"/>
  <c r="M16" i="9"/>
  <c r="J16" i="9"/>
  <c r="J21" i="9"/>
  <c r="L21" i="9"/>
  <c r="M21" i="9"/>
  <c r="J12" i="9"/>
  <c r="L12" i="9"/>
  <c r="M12" i="9"/>
  <c r="M4" i="9"/>
  <c r="L4" i="9"/>
  <c r="N16" i="9" l="1"/>
  <c r="T16" i="9" s="1"/>
  <c r="Y16" i="9" s="1"/>
  <c r="N21" i="9"/>
  <c r="T21" i="9" s="1"/>
  <c r="Y21" i="9" s="1"/>
  <c r="N12" i="9"/>
  <c r="T12" i="9" s="1"/>
  <c r="Y12" i="9" s="1"/>
  <c r="D6" i="12"/>
  <c r="D9" i="12" s="1"/>
  <c r="D86" i="12" s="1"/>
  <c r="D116" i="12" s="1"/>
  <c r="M15" i="12"/>
  <c r="E15" i="12"/>
  <c r="F15" i="12"/>
  <c r="G15" i="12"/>
  <c r="H15" i="12"/>
  <c r="I15" i="12"/>
  <c r="J15" i="12"/>
  <c r="K15" i="12"/>
  <c r="L15" i="12"/>
  <c r="D15" i="12"/>
  <c r="E4" i="12"/>
  <c r="E6" i="12" s="1"/>
  <c r="E9" i="12" s="1"/>
  <c r="K92" i="12"/>
  <c r="K91" i="12"/>
  <c r="E89" i="12"/>
  <c r="J90" i="12"/>
  <c r="N90" i="12"/>
  <c r="F40" i="12"/>
  <c r="I40" i="12"/>
  <c r="C10" i="12"/>
  <c r="D7" i="12" l="1"/>
  <c r="D17" i="12" s="1"/>
  <c r="D18" i="12" s="1"/>
  <c r="E7" i="12"/>
  <c r="D8" i="12"/>
  <c r="D50" i="12" s="1"/>
  <c r="D51" i="12" s="1"/>
  <c r="D78" i="12" s="1"/>
  <c r="E8" i="12"/>
  <c r="E50" i="12" s="1"/>
  <c r="F4" i="12"/>
  <c r="F6" i="12" s="1"/>
  <c r="L13" i="11"/>
  <c r="K13" i="11"/>
  <c r="I13" i="11"/>
  <c r="L13" i="9"/>
  <c r="K13" i="9"/>
  <c r="J9" i="9"/>
  <c r="K9" i="9"/>
  <c r="L9" i="9"/>
  <c r="M9" i="9"/>
  <c r="J18" i="9"/>
  <c r="K18" i="9"/>
  <c r="L18" i="9"/>
  <c r="M18" i="9"/>
  <c r="J20" i="9"/>
  <c r="L6" i="9"/>
  <c r="L15" i="9"/>
  <c r="L10" i="9"/>
  <c r="L17" i="9"/>
  <c r="L7" i="9"/>
  <c r="L8" i="9"/>
  <c r="H7" i="9"/>
  <c r="M13" i="9"/>
  <c r="M6" i="9"/>
  <c r="M15" i="9"/>
  <c r="M10" i="9"/>
  <c r="M17" i="9"/>
  <c r="M7" i="9"/>
  <c r="J13" i="9"/>
  <c r="J17" i="9"/>
  <c r="J7" i="9"/>
  <c r="J4" i="9"/>
  <c r="N4" i="9" s="1"/>
  <c r="K17" i="9"/>
  <c r="K7" i="9"/>
  <c r="AB14" i="3" a="1"/>
  <c r="AB14" i="3" s="1"/>
  <c r="AB17" i="3" a="1"/>
  <c r="AB17" i="3" s="1"/>
  <c r="AB18" i="3" a="1"/>
  <c r="AB18" i="3" s="1"/>
  <c r="AB19" i="3" a="1"/>
  <c r="AB19" i="3" s="1"/>
  <c r="AB20" i="3" a="1"/>
  <c r="AB20" i="3" s="1"/>
  <c r="AB21" i="3" a="1"/>
  <c r="AB21" i="3" s="1"/>
  <c r="AB22" i="3" a="1"/>
  <c r="AB22" i="3" s="1"/>
  <c r="AB23" i="3" a="1"/>
  <c r="AB23" i="3" s="1"/>
  <c r="AB24" i="3" a="1"/>
  <c r="AB24" i="3" s="1"/>
  <c r="AB13" i="3" a="1"/>
  <c r="AB13" i="3" s="1"/>
  <c r="K13" i="3"/>
  <c r="P13" i="3" s="1"/>
  <c r="N13" i="3" s="1"/>
  <c r="P20" i="3"/>
  <c r="M20" i="3" s="1"/>
  <c r="O21" i="3"/>
  <c r="P18" i="3"/>
  <c r="N18" i="3" s="1"/>
  <c r="P19" i="3"/>
  <c r="N19" i="3" s="1"/>
  <c r="O24" i="3"/>
  <c r="P22" i="3"/>
  <c r="O22" i="3" s="1"/>
  <c r="P23" i="3"/>
  <c r="M23" i="3" s="1"/>
  <c r="T4" i="9" l="1"/>
  <c r="Y4" i="9" s="1"/>
  <c r="M13" i="11"/>
  <c r="M23" i="11" s="1"/>
  <c r="N10" i="9"/>
  <c r="T10" i="9" s="1"/>
  <c r="Y10" i="9" s="1"/>
  <c r="N17" i="9"/>
  <c r="T17" i="9" s="1"/>
  <c r="Y17" i="9" s="1"/>
  <c r="D10" i="12"/>
  <c r="E51" i="12"/>
  <c r="E78" i="12" s="1"/>
  <c r="F9" i="12"/>
  <c r="F8" i="12"/>
  <c r="F50" i="12" s="1"/>
  <c r="F7" i="12"/>
  <c r="F17" i="12" s="1"/>
  <c r="G4" i="12"/>
  <c r="E86" i="12"/>
  <c r="E116" i="12" s="1"/>
  <c r="E10" i="12"/>
  <c r="N9" i="9"/>
  <c r="T9" i="9" s="1"/>
  <c r="Y9" i="9" s="1"/>
  <c r="N18" i="9"/>
  <c r="T18" i="9" s="1"/>
  <c r="Y18" i="9" s="1"/>
  <c r="M20" i="9"/>
  <c r="L20" i="9"/>
  <c r="M8" i="9"/>
  <c r="N15" i="9"/>
  <c r="T15" i="9" s="1"/>
  <c r="Y15" i="9" s="1"/>
  <c r="N13" i="9"/>
  <c r="T13" i="9" s="1"/>
  <c r="Y13" i="9" s="1"/>
  <c r="N7" i="9"/>
  <c r="T7" i="9" s="1"/>
  <c r="Y7" i="9" s="1"/>
  <c r="N6" i="9"/>
  <c r="T6" i="9" s="1"/>
  <c r="Y6" i="9" s="1"/>
  <c r="O13" i="3"/>
  <c r="M13" i="3"/>
  <c r="O20" i="3"/>
  <c r="N20" i="3"/>
  <c r="M18" i="3"/>
  <c r="O18" i="3"/>
  <c r="N21" i="3"/>
  <c r="O23" i="3"/>
  <c r="M22" i="3"/>
  <c r="N24" i="3"/>
  <c r="M24" i="3"/>
  <c r="M19" i="3"/>
  <c r="O19" i="3"/>
  <c r="N22" i="3"/>
  <c r="N23" i="3"/>
  <c r="N8" i="9" l="1"/>
  <c r="T8" i="9" s="1"/>
  <c r="Y8" i="9" s="1"/>
  <c r="N20" i="9"/>
  <c r="T20" i="9" s="1"/>
  <c r="Y20" i="9" s="1"/>
  <c r="F51" i="12"/>
  <c r="H4" i="12"/>
  <c r="G6" i="12"/>
  <c r="F86" i="12"/>
  <c r="F10" i="12"/>
  <c r="R21" i="3"/>
  <c r="Q13" i="3"/>
  <c r="R13" i="3" s="1"/>
  <c r="G56" i="12" s="1"/>
  <c r="Q20" i="3"/>
  <c r="R20" i="3" s="1"/>
  <c r="R17" i="3"/>
  <c r="Q23" i="3"/>
  <c r="R23" i="3" s="1"/>
  <c r="Q22" i="3"/>
  <c r="R22" i="3" s="1"/>
  <c r="Q18" i="3"/>
  <c r="R18" i="3" s="1"/>
  <c r="Q24" i="3"/>
  <c r="R24" i="3" s="1"/>
  <c r="Q19" i="3"/>
  <c r="R19" i="3" s="1"/>
  <c r="G11" i="8" l="1"/>
  <c r="G9" i="8"/>
  <c r="R33" i="3"/>
  <c r="T24" i="9"/>
  <c r="G8" i="8"/>
  <c r="M57" i="12"/>
  <c r="G9" i="12"/>
  <c r="G8" i="12"/>
  <c r="G50" i="12" s="1"/>
  <c r="G7" i="12"/>
  <c r="I4" i="12"/>
  <c r="J4" i="12" s="1"/>
  <c r="H6" i="12"/>
  <c r="F116" i="12"/>
  <c r="F78" i="12"/>
  <c r="G10" i="8"/>
  <c r="G51" i="12" l="1"/>
  <c r="G78" i="12" s="1"/>
  <c r="G86" i="12"/>
  <c r="G116" i="12" s="1"/>
  <c r="I6" i="12"/>
  <c r="H7" i="12"/>
  <c r="H9" i="12"/>
  <c r="H8" i="12"/>
  <c r="H50" i="12" s="1"/>
  <c r="G17" i="12"/>
  <c r="G10" i="12"/>
  <c r="G13" i="8"/>
  <c r="H86" i="12" l="1"/>
  <c r="H116" i="12" s="1"/>
  <c r="I7" i="12"/>
  <c r="I8" i="12"/>
  <c r="I50" i="12" s="1"/>
  <c r="I9" i="12"/>
  <c r="K4" i="12"/>
  <c r="J6" i="12"/>
  <c r="H17" i="12"/>
  <c r="H10" i="12"/>
  <c r="H51" i="12"/>
  <c r="H78" i="12" s="1"/>
  <c r="I51" i="12" l="1"/>
  <c r="I86" i="12"/>
  <c r="I116" i="12" s="1"/>
  <c r="J8" i="12"/>
  <c r="J50" i="12" s="1"/>
  <c r="J7" i="12"/>
  <c r="J17" i="12" s="1"/>
  <c r="J9" i="12"/>
  <c r="L4" i="12"/>
  <c r="K6" i="12"/>
  <c r="I17" i="12"/>
  <c r="I10" i="12"/>
  <c r="I78" i="12"/>
  <c r="X17" i="1" a="1"/>
  <c r="X17" i="1" s="1"/>
  <c r="N17" i="1"/>
  <c r="X30" i="1" a="1"/>
  <c r="X30" i="1" s="1"/>
  <c r="N30" i="1"/>
  <c r="O30" i="1" s="1"/>
  <c r="X21" i="1" a="1"/>
  <c r="X21" i="1" s="1"/>
  <c r="N21" i="1"/>
  <c r="O21" i="1" s="1"/>
  <c r="X29" i="1" a="1"/>
  <c r="X29" i="1" s="1"/>
  <c r="N29" i="1"/>
  <c r="X28" i="1" a="1"/>
  <c r="X28" i="1" s="1"/>
  <c r="N28" i="1"/>
  <c r="X27" i="1" a="1"/>
  <c r="X27" i="1" s="1"/>
  <c r="N27" i="1"/>
  <c r="P27" i="1" s="1"/>
  <c r="X23" i="1" a="1"/>
  <c r="X23" i="1" s="1"/>
  <c r="N23" i="1"/>
  <c r="O23" i="1" s="1"/>
  <c r="X26" i="1" a="1"/>
  <c r="X26" i="1" s="1"/>
  <c r="N26" i="1"/>
  <c r="X20" i="1" a="1"/>
  <c r="X20" i="1" s="1"/>
  <c r="N20" i="1"/>
  <c r="X15" i="1" a="1"/>
  <c r="X15" i="1" s="1"/>
  <c r="N15" i="1"/>
  <c r="P15" i="1" s="1"/>
  <c r="X24" i="1" a="1"/>
  <c r="X24" i="1" s="1"/>
  <c r="N24" i="1"/>
  <c r="O24" i="1" s="1"/>
  <c r="X16" i="1" a="1"/>
  <c r="X16" i="1" s="1"/>
  <c r="N16" i="1"/>
  <c r="P16" i="1" s="1"/>
  <c r="X22" i="1" a="1"/>
  <c r="X22" i="1" s="1"/>
  <c r="N22" i="1"/>
  <c r="X12" i="1" a="1"/>
  <c r="X12" i="1" s="1"/>
  <c r="P12" i="1"/>
  <c r="X19" i="1" a="1"/>
  <c r="X19" i="1" s="1"/>
  <c r="N19" i="1"/>
  <c r="O19" i="1" s="1"/>
  <c r="X25" i="1" a="1"/>
  <c r="X25" i="1" s="1"/>
  <c r="N25" i="1"/>
  <c r="P25" i="1" s="1"/>
  <c r="X14" i="1" a="1"/>
  <c r="X14" i="1" s="1"/>
  <c r="N14" i="1"/>
  <c r="X13" i="1" a="1"/>
  <c r="X13" i="1" s="1"/>
  <c r="N13" i="1"/>
  <c r="P13" i="1" s="1"/>
  <c r="X18" i="1" a="1"/>
  <c r="X18" i="1" s="1"/>
  <c r="N18" i="1"/>
  <c r="O18" i="1" s="1"/>
  <c r="J86" i="12" l="1"/>
  <c r="J116" i="12" s="1"/>
  <c r="J51" i="12"/>
  <c r="J78" i="12" s="1"/>
  <c r="K9" i="12"/>
  <c r="K8" i="12"/>
  <c r="K50" i="12" s="1"/>
  <c r="K7" i="12"/>
  <c r="M4" i="12"/>
  <c r="M6" i="12" s="1"/>
  <c r="L6" i="12"/>
  <c r="J10" i="12"/>
  <c r="D21" i="12"/>
  <c r="P30" i="1"/>
  <c r="Q30" i="1" s="1"/>
  <c r="P19" i="1"/>
  <c r="Q19" i="1" s="1"/>
  <c r="P24" i="1"/>
  <c r="Q24" i="1" s="1"/>
  <c r="P18" i="1"/>
  <c r="Q18" i="1" s="1"/>
  <c r="P23" i="1"/>
  <c r="Q23" i="1" s="1"/>
  <c r="P21" i="1"/>
  <c r="Q21" i="1" s="1"/>
  <c r="O25" i="1"/>
  <c r="Q25" i="1" s="1"/>
  <c r="O16" i="1"/>
  <c r="Q16" i="1" s="1"/>
  <c r="O26" i="1"/>
  <c r="O29" i="1"/>
  <c r="P26" i="1"/>
  <c r="P29" i="1"/>
  <c r="O14" i="1"/>
  <c r="O22" i="1"/>
  <c r="O20" i="1"/>
  <c r="O28" i="1"/>
  <c r="O17" i="1"/>
  <c r="P14" i="1"/>
  <c r="P22" i="1"/>
  <c r="P17" i="1"/>
  <c r="P20" i="1"/>
  <c r="P28" i="1"/>
  <c r="O13" i="1"/>
  <c r="Q13" i="1" s="1"/>
  <c r="O12" i="1"/>
  <c r="Q12" i="1" s="1"/>
  <c r="O15" i="1"/>
  <c r="Q15" i="1" s="1"/>
  <c r="O27" i="1"/>
  <c r="Q27" i="1" s="1"/>
  <c r="N39" i="12" l="1"/>
  <c r="K86" i="12"/>
  <c r="K116" i="12" s="1"/>
  <c r="K51" i="12"/>
  <c r="K78" i="12" s="1"/>
  <c r="M9" i="12"/>
  <c r="M8" i="12"/>
  <c r="M50" i="12" s="1"/>
  <c r="M7" i="12"/>
  <c r="M17" i="12" s="1"/>
  <c r="L9" i="12"/>
  <c r="L8" i="12"/>
  <c r="L50" i="12" s="1"/>
  <c r="L7" i="12"/>
  <c r="K17" i="12"/>
  <c r="K10" i="12"/>
  <c r="Q29" i="1"/>
  <c r="Q14" i="1"/>
  <c r="Q22" i="1"/>
  <c r="H25" i="12"/>
  <c r="H40" i="12" s="1"/>
  <c r="Q20" i="1"/>
  <c r="Q17" i="1"/>
  <c r="Q28" i="1"/>
  <c r="Q26" i="1"/>
  <c r="L33" i="12" l="1"/>
  <c r="G16" i="8"/>
  <c r="K27" i="12"/>
  <c r="K30" i="12"/>
  <c r="L31" i="12"/>
  <c r="N37" i="12"/>
  <c r="M34" i="12"/>
  <c r="D40" i="12"/>
  <c r="D42" i="12" s="1"/>
  <c r="E18" i="12" s="1"/>
  <c r="G21" i="8"/>
  <c r="N38" i="12"/>
  <c r="G19" i="8"/>
  <c r="E22" i="12"/>
  <c r="E40" i="12" s="1"/>
  <c r="G24" i="12"/>
  <c r="G18" i="8"/>
  <c r="M36" i="12"/>
  <c r="L32" i="12"/>
  <c r="G20" i="8"/>
  <c r="J26" i="12"/>
  <c r="J40" i="12" s="1"/>
  <c r="G17" i="8"/>
  <c r="G22" i="8"/>
  <c r="L86" i="12"/>
  <c r="L116" i="12" s="1"/>
  <c r="M86" i="12" s="1"/>
  <c r="M116" i="12" s="1"/>
  <c r="M10" i="12"/>
  <c r="L51" i="12"/>
  <c r="L78" i="12" s="1"/>
  <c r="M51" i="12" s="1"/>
  <c r="N9" i="12"/>
  <c r="L17" i="12"/>
  <c r="L10" i="12"/>
  <c r="N7" i="12"/>
  <c r="N8" i="12"/>
  <c r="G23" i="12"/>
  <c r="M35" i="12" l="1"/>
  <c r="M40" i="12" s="1"/>
  <c r="L40" i="12"/>
  <c r="K29" i="12"/>
  <c r="K40" i="12" s="1"/>
  <c r="E42" i="12"/>
  <c r="F18" i="12" s="1"/>
  <c r="F42" i="12" s="1"/>
  <c r="G18" i="12" s="1"/>
  <c r="G40" i="12"/>
  <c r="N10" i="12"/>
  <c r="M78" i="12"/>
  <c r="G23" i="8"/>
  <c r="G42" i="12" l="1"/>
  <c r="H18" i="12" s="1"/>
  <c r="H42" i="12" s="1"/>
  <c r="I18" i="12" s="1"/>
  <c r="I42" i="12" s="1"/>
  <c r="J18" i="12" s="1"/>
  <c r="J42" i="12" s="1"/>
  <c r="K18" i="12" s="1"/>
  <c r="K42" i="12" s="1"/>
  <c r="L18" i="12" s="1"/>
  <c r="L42" i="12" s="1"/>
  <c r="M18" i="12" s="1"/>
  <c r="M4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tc={FCA016A4-62D8-4A0E-B97F-84EDEF2AC423}</author>
  </authors>
  <commentList>
    <comment ref="AR4" authorId="0" shapeId="0" xr:uid="{FCA016A4-62D8-4A0E-B97F-84EDEF2AC423}">
      <text>
        <t>[Threaded comment]
Your version of Excel allows you to read this threaded comment; however, any edits to it will get removed if the file is opened in a newer version of Excel. Learn more: https://go.microsoft.com/fwlink/?linkid=870924
Comment:
    Add criteria for interagency partnerships and redevelopment potential.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tc={AE9A7913-FD76-4E4F-8D65-D9D2CE91C732}</author>
  </authors>
  <commentList>
    <comment ref="AF3" authorId="0" shapeId="0" xr:uid="{AE9A7913-FD76-4E4F-8D65-D9D2CE91C732}">
      <text>
        <t>[Threaded comment]
Your version of Excel allows you to read this threaded comment; however, any edits to it will get removed if the file is opened in a newer version of Excel. Learn more: https://go.microsoft.com/fwlink/?linkid=870924
Comment:
    Consider number of amenities vs. single amenities.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Aaron Halverson</author>
  </authors>
  <commentList>
    <comment ref="G7" authorId="0" shapeId="0" xr:uid="{65B61A31-36FF-4EE1-8200-0E3C327E91E2}">
      <text>
        <r>
          <rPr>
            <sz val="11"/>
            <color theme="1"/>
            <rFont val="Calibri"/>
            <family val="2"/>
            <scheme val="minor"/>
          </rPr>
          <t>Aaron Halverson: Links t to cost estimates are not generating reliable estimates.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<sst xmlns="http://schemas.openxmlformats.org/spreadsheetml/2006/main" count="1288" uniqueCount="795">
  <si>
    <t>Capital Facilities Plan- Sidewalks</t>
  </si>
  <si>
    <t>Sidewalks - Scoring Criteria</t>
  </si>
  <si>
    <t>Project Number</t>
  </si>
  <si>
    <t>TBD Project List</t>
  </si>
  <si>
    <t>Roadway</t>
  </si>
  <si>
    <t>Start</t>
  </si>
  <si>
    <t>End</t>
  </si>
  <si>
    <t>Description</t>
  </si>
  <si>
    <t>Grant Award</t>
  </si>
  <si>
    <t>Grant Source</t>
  </si>
  <si>
    <t>Budget</t>
  </si>
  <si>
    <t>Sidewalk Length</t>
  </si>
  <si>
    <t>Cost/LF</t>
  </si>
  <si>
    <t>Multi-Use Path</t>
  </si>
  <si>
    <t>Cost/LF2</t>
  </si>
  <si>
    <t>Ramps</t>
  </si>
  <si>
    <t>Cost/Ea</t>
  </si>
  <si>
    <t>RRFB</t>
  </si>
  <si>
    <t>Cost/Each</t>
  </si>
  <si>
    <t>Const. Estimate</t>
  </si>
  <si>
    <t>Engineering</t>
  </si>
  <si>
    <t>ROW</t>
  </si>
  <si>
    <t>Contingency</t>
  </si>
  <si>
    <t>Total Cost</t>
  </si>
  <si>
    <t>2015 Cost Estimates</t>
  </si>
  <si>
    <t>Percent Change</t>
  </si>
  <si>
    <t>Zoning</t>
  </si>
  <si>
    <t>Zoning Score</t>
  </si>
  <si>
    <t>Functional Classification</t>
  </si>
  <si>
    <t>Vehicle on Ped Accident Data</t>
  </si>
  <si>
    <t>Facility within 1/4 Mile</t>
  </si>
  <si>
    <t>Cost</t>
  </si>
  <si>
    <t>Opportunity</t>
  </si>
  <si>
    <t>Grant Eligibility</t>
  </si>
  <si>
    <t>Dedicated Funding</t>
  </si>
  <si>
    <t>Average Score</t>
  </si>
  <si>
    <t>Priority</t>
  </si>
  <si>
    <t>Roadway Type</t>
  </si>
  <si>
    <t>Pedestrian/Bicycle Accidents</t>
  </si>
  <si>
    <t xml:space="preserve">Facility within 1/4 Mile </t>
  </si>
  <si>
    <t>CP-101</t>
  </si>
  <si>
    <t>TBD -01</t>
  </si>
  <si>
    <t>16th Street NE</t>
  </si>
  <si>
    <t>Main Street</t>
  </si>
  <si>
    <t>Machias Cutoff</t>
  </si>
  <si>
    <t xml:space="preserve">Construction of an MUP to connect downtown Lake Stevens to the Centennial Trail. </t>
  </si>
  <si>
    <t>Federal Capital Transportation</t>
  </si>
  <si>
    <t>Multi-Family</t>
  </si>
  <si>
    <t>High  = 3</t>
  </si>
  <si>
    <t>Commercial, incl. School</t>
  </si>
  <si>
    <t>Minor Arterial</t>
  </si>
  <si>
    <t>More than one Ped/Bicycle Accident</t>
  </si>
  <si>
    <t>Adjacent to a medical office</t>
  </si>
  <si>
    <t>&lt;$150,000</t>
  </si>
  <si>
    <t>Public &amp; Political Support is Strong</t>
  </si>
  <si>
    <t>Eligible for more than two grants</t>
  </si>
  <si>
    <t>Full Funding</t>
  </si>
  <si>
    <t>CP-102</t>
  </si>
  <si>
    <t>TBD-12</t>
  </si>
  <si>
    <t>123rd Ave NE</t>
  </si>
  <si>
    <t>22nd Street NE</t>
  </si>
  <si>
    <t>North Lakeshore Drive</t>
  </si>
  <si>
    <t>Commercial</t>
  </si>
  <si>
    <t>Collisions involving pedestrians</t>
  </si>
  <si>
    <t>Adjacent to services for the disabled</t>
  </si>
  <si>
    <t>CP-103</t>
  </si>
  <si>
    <t>TBD-11</t>
  </si>
  <si>
    <t>Hartford Drive</t>
  </si>
  <si>
    <t xml:space="preserve">20th St NE </t>
  </si>
  <si>
    <t>21st Street NE</t>
  </si>
  <si>
    <t>Streets with highway interchange</t>
  </si>
  <si>
    <t>Adjacent to a library</t>
  </si>
  <si>
    <t>CP-104</t>
  </si>
  <si>
    <t>TBD-10</t>
  </si>
  <si>
    <t>Grade Road</t>
  </si>
  <si>
    <t>Library</t>
  </si>
  <si>
    <t>Adjacent to a senior center or senior housing</t>
  </si>
  <si>
    <t>CP-105</t>
  </si>
  <si>
    <t>30th Street NE</t>
  </si>
  <si>
    <t>32nd Street NE</t>
  </si>
  <si>
    <t>Single Family</t>
  </si>
  <si>
    <t>Adjacent to a school</t>
  </si>
  <si>
    <t>CP-106</t>
  </si>
  <si>
    <t>Cedar Road</t>
  </si>
  <si>
    <t>20th Street NE</t>
  </si>
  <si>
    <t>Forest Road</t>
  </si>
  <si>
    <t>Adjacent to a high use transit stop</t>
  </si>
  <si>
    <t>CP-107</t>
  </si>
  <si>
    <t>TBD-04</t>
  </si>
  <si>
    <t>117th Ave NE</t>
  </si>
  <si>
    <t xml:space="preserve">20th Street NE </t>
  </si>
  <si>
    <t>26th Street NE</t>
  </si>
  <si>
    <t>TBD sidewalk along one side of 117th Ave NE between 20th St and26th St. Includes ROW and typical frontage improvements including stormwater.</t>
  </si>
  <si>
    <t>CP-108</t>
  </si>
  <si>
    <t>Lake View Drive</t>
  </si>
  <si>
    <t>112th DR NE</t>
  </si>
  <si>
    <t>Callow Road</t>
  </si>
  <si>
    <t>Medium  = 2</t>
  </si>
  <si>
    <t>Mixed Use</t>
  </si>
  <si>
    <t>Major Collector</t>
  </si>
  <si>
    <t>One Ped/Bicycle Accident</t>
  </si>
  <si>
    <t>Adjacent to a public office</t>
  </si>
  <si>
    <t>$150,001 to $500,000</t>
  </si>
  <si>
    <t>Public or Political Support Strong</t>
  </si>
  <si>
    <t>Eligible for one grant</t>
  </si>
  <si>
    <t>&gt;50% Funded</t>
  </si>
  <si>
    <t>CP-110</t>
  </si>
  <si>
    <t>28th Street NE</t>
  </si>
  <si>
    <t>Minor Collector</t>
  </si>
  <si>
    <t>CP-111</t>
  </si>
  <si>
    <t>Lake Drive</t>
  </si>
  <si>
    <t xml:space="preserve">Lundeen Parkway </t>
  </si>
  <si>
    <t>Adjacent to a park</t>
  </si>
  <si>
    <t>CP-112</t>
  </si>
  <si>
    <t>TBD-07</t>
  </si>
  <si>
    <t>Soper Hill</t>
  </si>
  <si>
    <t>RAB at SR9</t>
  </si>
  <si>
    <t>TBD sidewalk along one side of Soper Hill Rd between Lake Dr and SR9. Includes ROW and typical frontage improvements including stormwater.</t>
  </si>
  <si>
    <t>CP-116</t>
  </si>
  <si>
    <t>TBD-20</t>
  </si>
  <si>
    <t>4th Street NE</t>
  </si>
  <si>
    <t>97th Drive NE</t>
  </si>
  <si>
    <t>98th Drive NE</t>
  </si>
  <si>
    <t>CP-117</t>
  </si>
  <si>
    <t>99th Ave NE</t>
  </si>
  <si>
    <t>Lakemont Avenue</t>
  </si>
  <si>
    <t>3rd Street NE</t>
  </si>
  <si>
    <t>Low = 1</t>
  </si>
  <si>
    <t>Neighborhood</t>
  </si>
  <si>
    <t>No Record</t>
  </si>
  <si>
    <t>Connects or completes street(s)</t>
  </si>
  <si>
    <t>&gt;$500,000</t>
  </si>
  <si>
    <t xml:space="preserve">Support Not Known/Not Supportive </t>
  </si>
  <si>
    <t>Eligibility Unknown</t>
  </si>
  <si>
    <t>&lt;50% Funded</t>
  </si>
  <si>
    <t>CP-118</t>
  </si>
  <si>
    <t>TBD-14</t>
  </si>
  <si>
    <t>1st Street NE</t>
  </si>
  <si>
    <t>Chapel Hill Road</t>
  </si>
  <si>
    <t>Industrial</t>
  </si>
  <si>
    <t>CP-119</t>
  </si>
  <si>
    <t>Market Place</t>
  </si>
  <si>
    <t>4th Street SE</t>
  </si>
  <si>
    <t>CP-120</t>
  </si>
  <si>
    <t>99th Ave SE</t>
  </si>
  <si>
    <t>11th Place SE</t>
  </si>
  <si>
    <t>CP-121</t>
  </si>
  <si>
    <t>118th Drive NE</t>
  </si>
  <si>
    <t>CP-122</t>
  </si>
  <si>
    <t>8th Street SE</t>
  </si>
  <si>
    <t>79th Ave SE</t>
  </si>
  <si>
    <t>83rd Ave SE</t>
  </si>
  <si>
    <t>Adjacent is within 1/4 mile</t>
  </si>
  <si>
    <t>CP-123</t>
  </si>
  <si>
    <t>12th Street SE</t>
  </si>
  <si>
    <t>CP-124</t>
  </si>
  <si>
    <t>TBD-18</t>
  </si>
  <si>
    <t>S. Lake Stevens Road MUP Phase III</t>
  </si>
  <si>
    <t>East Lakeshore Drive
S Lake Stevens Rd</t>
  </si>
  <si>
    <t>123rd Street SE</t>
  </si>
  <si>
    <t>Construction of MUP to connect pedestrian generators to the existing trail.</t>
  </si>
  <si>
    <t>CP-125</t>
  </si>
  <si>
    <t>Vernon Road</t>
  </si>
  <si>
    <t>12th Place NE</t>
  </si>
  <si>
    <t>15th Street NE</t>
  </si>
  <si>
    <t>Sources</t>
  </si>
  <si>
    <t>CP-126S</t>
  </si>
  <si>
    <t>TBD-19</t>
  </si>
  <si>
    <t>20th Street SE</t>
  </si>
  <si>
    <t>S. Lake Stevens Road</t>
  </si>
  <si>
    <t>113th Drive SE</t>
  </si>
  <si>
    <t>2015 Sidewalk Master Plan</t>
  </si>
  <si>
    <t>CP-127S</t>
  </si>
  <si>
    <t>TBD-02</t>
  </si>
  <si>
    <t>91st Ave SE</t>
  </si>
  <si>
    <t>4th St. SE</t>
  </si>
  <si>
    <t>Market Street</t>
  </si>
  <si>
    <t>TBD sidewalk along the east side of 91st Ave SE between 4th and Market. Includes ROW and typical frontage improvements including stormwater.</t>
  </si>
  <si>
    <t>Subarea Plans</t>
  </si>
  <si>
    <t>CP-128S</t>
  </si>
  <si>
    <t>TBD-03</t>
  </si>
  <si>
    <t>TBD sidewalk along the east side of 91st Ave SE between 8th and 4th. Includes ROW and typical frontage improvements including stormwater.</t>
  </si>
  <si>
    <t>2022 - Local Road Safety Plan (Accident Data)</t>
  </si>
  <si>
    <t>CP-129S</t>
  </si>
  <si>
    <t>TBD-13</t>
  </si>
  <si>
    <t>83rd Ave NE</t>
  </si>
  <si>
    <t xml:space="preserve">20th Street SE </t>
  </si>
  <si>
    <t>17th Street SE</t>
  </si>
  <si>
    <t>WSDOT Functional Classification Web Portal</t>
  </si>
  <si>
    <t>CP-130S</t>
  </si>
  <si>
    <r>
      <t>103</t>
    </r>
    <r>
      <rPr>
        <vertAlign val="superscript"/>
        <sz val="11"/>
        <color theme="1"/>
        <rFont val="Calibri"/>
        <family val="2"/>
        <scheme val="minor"/>
      </rPr>
      <t>rd</t>
    </r>
    <r>
      <rPr>
        <sz val="11"/>
        <color theme="1"/>
        <rFont val="Calibri"/>
        <family val="2"/>
        <scheme val="minor"/>
      </rPr>
      <t xml:space="preserve"> Ave SE</t>
    </r>
  </si>
  <si>
    <t>South Lake Stevens Road</t>
  </si>
  <si>
    <t>StreetLogix</t>
  </si>
  <si>
    <t>CP-132S</t>
  </si>
  <si>
    <t>TBD-08</t>
  </si>
  <si>
    <r>
      <t>113</t>
    </r>
    <r>
      <rPr>
        <vertAlign val="superscript"/>
        <sz val="11"/>
        <color theme="1"/>
        <rFont val="Calibri"/>
        <family val="2"/>
        <scheme val="minor"/>
      </rPr>
      <t>th</t>
    </r>
    <r>
      <rPr>
        <sz val="11"/>
        <color theme="1"/>
        <rFont val="Calibri"/>
        <family val="2"/>
        <scheme val="minor"/>
      </rPr>
      <t xml:space="preserve"> Ave NE </t>
    </r>
  </si>
  <si>
    <t xml:space="preserve">32nd Street NE </t>
  </si>
  <si>
    <t>36th Street NE</t>
  </si>
  <si>
    <t>CP-133S</t>
  </si>
  <si>
    <r>
      <t>131</t>
    </r>
    <r>
      <rPr>
        <vertAlign val="superscript"/>
        <sz val="11"/>
        <color theme="1"/>
        <rFont val="Calibri"/>
        <family val="2"/>
        <scheme val="minor"/>
      </rPr>
      <t>st</t>
    </r>
    <r>
      <rPr>
        <sz val="11"/>
        <color theme="1"/>
        <rFont val="Calibri"/>
        <family val="2"/>
        <scheme val="minor"/>
      </rPr>
      <t xml:space="preserve"> Ave NE </t>
    </r>
  </si>
  <si>
    <t>Hartford Road</t>
  </si>
  <si>
    <t>CP-135S</t>
  </si>
  <si>
    <t>TBD-16</t>
  </si>
  <si>
    <r>
      <t>99</t>
    </r>
    <r>
      <rPr>
        <vertAlign val="superscript"/>
        <sz val="11"/>
        <color theme="1"/>
        <rFont val="Calibri"/>
        <family val="2"/>
        <scheme val="minor"/>
      </rPr>
      <t>th</t>
    </r>
    <r>
      <rPr>
        <sz val="11"/>
        <color theme="1"/>
        <rFont val="Calibri"/>
        <family val="2"/>
        <scheme val="minor"/>
      </rPr>
      <t xml:space="preserve"> Ave NE </t>
    </r>
  </si>
  <si>
    <t>Sunnycrest Elem.</t>
  </si>
  <si>
    <t>CP-136S</t>
  </si>
  <si>
    <r>
      <t>8</t>
    </r>
    <r>
      <rPr>
        <vertAlign val="superscript"/>
        <sz val="11"/>
        <color theme="1"/>
        <rFont val="Calibri"/>
        <family val="2"/>
        <scheme val="minor"/>
      </rPr>
      <t>th</t>
    </r>
    <r>
      <rPr>
        <sz val="11"/>
        <color theme="1"/>
        <rFont val="Calibri"/>
        <family val="2"/>
        <scheme val="minor"/>
      </rPr>
      <t xml:space="preserve"> Street SE </t>
    </r>
  </si>
  <si>
    <t>91st Avenue SE</t>
  </si>
  <si>
    <t>CP-137S</t>
  </si>
  <si>
    <r>
      <t>30</t>
    </r>
    <r>
      <rPr>
        <vertAlign val="superscript"/>
        <sz val="11"/>
        <color theme="1"/>
        <rFont val="Calibri"/>
        <family val="2"/>
        <scheme val="minor"/>
      </rPr>
      <t>th</t>
    </r>
    <r>
      <rPr>
        <sz val="11"/>
        <color theme="1"/>
        <rFont val="Calibri"/>
        <family val="2"/>
        <scheme val="minor"/>
      </rPr>
      <t xml:space="preserve"> Street NE </t>
    </r>
  </si>
  <si>
    <t>CP-138S</t>
  </si>
  <si>
    <t>20th St. NE</t>
  </si>
  <si>
    <t>CP-139S</t>
  </si>
  <si>
    <t>TBD-09</t>
  </si>
  <si>
    <t>131st Ave SE</t>
  </si>
  <si>
    <t>CP-140S</t>
  </si>
  <si>
    <t>S. Lake Stevens Road MUP Phase II</t>
  </si>
  <si>
    <t>18th St SE</t>
  </si>
  <si>
    <t>SR 9</t>
  </si>
  <si>
    <t>CP-141S</t>
  </si>
  <si>
    <t>TBD-06</t>
  </si>
  <si>
    <t>123rd Ave  NE</t>
  </si>
  <si>
    <t>TBD sidewalk along one side of N Lakeshore Dr between Main St and 123rd Ave.</t>
  </si>
  <si>
    <t>CP-142S</t>
  </si>
  <si>
    <t>TBD-15</t>
  </si>
  <si>
    <t>North Lakeshore Swim Beach</t>
  </si>
  <si>
    <t>CP-143S</t>
  </si>
  <si>
    <t>Mitchell Road</t>
  </si>
  <si>
    <t>114th Drive NE</t>
  </si>
  <si>
    <t>CP-144S</t>
  </si>
  <si>
    <t>16th Place SE</t>
  </si>
  <si>
    <t>14th Street SE</t>
  </si>
  <si>
    <t>CP-145S</t>
  </si>
  <si>
    <t>14th Street NE</t>
  </si>
  <si>
    <t>10th Street SE</t>
  </si>
  <si>
    <t>CP-146S</t>
  </si>
  <si>
    <t>Frontier Circle</t>
  </si>
  <si>
    <t>Frontier Circle East</t>
  </si>
  <si>
    <t>11th Street SE</t>
  </si>
  <si>
    <t>CP-147S</t>
  </si>
  <si>
    <t>131st Ave NE</t>
  </si>
  <si>
    <t>CP-148S</t>
  </si>
  <si>
    <t>118th Ave SE</t>
  </si>
  <si>
    <t xml:space="preserve">Machias </t>
  </si>
  <si>
    <t>Meridian</t>
  </si>
  <si>
    <t>CP-149S</t>
  </si>
  <si>
    <t>East Lakeshore</t>
  </si>
  <si>
    <t>Sunset Beach</t>
  </si>
  <si>
    <t>CP-150S</t>
  </si>
  <si>
    <t>TBD-17</t>
  </si>
  <si>
    <t>20th St. SE</t>
  </si>
  <si>
    <t>8th St. SE</t>
  </si>
  <si>
    <t>CP-151S</t>
  </si>
  <si>
    <t>TBD-05</t>
  </si>
  <si>
    <t>TBD sidewalk along the east side of 91st Ave SE between 20th St SE and 12th St. Includes ROW and typical frontage improvements including stormwater.</t>
  </si>
  <si>
    <t>CP-152S</t>
  </si>
  <si>
    <t>Lake Side Multi-Use Path Feasiblity Study</t>
  </si>
  <si>
    <t xml:space="preserve">Feasibility study/alternatives analysis for multimodal route around the lake in order to complete an active transportation route. While this is already an identified goal, this study would investigate availability and feasibility of procuring ROW along the primary road, and determine if/where alternative routes, connections, or modified designs (for example, sections of neckdowns to single vehicle lanes or sharrows where there is insufficient ROW) would be needed or recommended to complete the path. Public outreach would be an important component of the alternatives analysis. </t>
  </si>
  <si>
    <t>Total</t>
  </si>
  <si>
    <t>3200/LF</t>
  </si>
  <si>
    <t>Collector</t>
  </si>
  <si>
    <t>2400/LF</t>
  </si>
  <si>
    <t>Local Access</t>
  </si>
  <si>
    <t>1600/LF</t>
  </si>
  <si>
    <t>Capital Facilities Plan - Roadways</t>
  </si>
  <si>
    <t>Project Name</t>
  </si>
  <si>
    <t>2022 Budget</t>
  </si>
  <si>
    <t>Length  (LF)</t>
  </si>
  <si>
    <t>Project Planning</t>
  </si>
  <si>
    <t xml:space="preserve">PE </t>
  </si>
  <si>
    <t>Construction</t>
  </si>
  <si>
    <t>Highest Land Use Type Within 1/2 Mile</t>
  </si>
  <si>
    <t>Accident Data</t>
  </si>
  <si>
    <t>Facility within 1/2 mile</t>
  </si>
  <si>
    <t>Roadway - Evaluation Criteria</t>
  </si>
  <si>
    <t>RD-100</t>
  </si>
  <si>
    <t>79th Ave SE Access Road</t>
  </si>
  <si>
    <t>Construct new roadway including 7' bike lane, two 11' travel lanes, 5' landscape strips and 5' sidewalks for through road to Cavalero Mid-High School</t>
  </si>
  <si>
    <t>RD-101</t>
  </si>
  <si>
    <t>Main Street Improvements (16th St NE to 20th St NE)</t>
  </si>
  <si>
    <t>Multi-use path, street frontage improvements along Main Street between 16th St to 20th St.</t>
  </si>
  <si>
    <t>PSRC (Federal)</t>
  </si>
  <si>
    <t>Fatal Accident</t>
  </si>
  <si>
    <t>&lt;$1,000,000</t>
  </si>
  <si>
    <t>Public Support is Strong</t>
  </si>
  <si>
    <t>RD-113</t>
  </si>
  <si>
    <t>20th St NE and Main Street Improvements</t>
  </si>
  <si>
    <t>Construct roundabout and frontage improvements per the downtown subarea plan.</t>
  </si>
  <si>
    <t>Federal Earmark</t>
  </si>
  <si>
    <t>Vehicle on Ped Accident</t>
  </si>
  <si>
    <t>Political Support is Strong</t>
  </si>
  <si>
    <t>RD-102I</t>
  </si>
  <si>
    <t>91st Ave NE Commercial Revitalization Phase I</t>
  </si>
  <si>
    <t>Upgrade road to minor arterial road standard. Potential for roundabout at midblock for circulation into commercial areas.</t>
  </si>
  <si>
    <t>91st Street NE</t>
  </si>
  <si>
    <t>SR 204</t>
  </si>
  <si>
    <t>RD-102II</t>
  </si>
  <si>
    <t>91st Ave NE Commercial Revitalization</t>
  </si>
  <si>
    <t>RD-103</t>
  </si>
  <si>
    <t xml:space="preserve">99th Ave NE - Boulevard </t>
  </si>
  <si>
    <t>Upgrade road to minor arterial road standard including multi-use path or sidewalk with 7' bike lane, 11' travel lanes and 12' center lane with landscape islands. Potential for roundabout at midblock for circulation into commercial areas</t>
  </si>
  <si>
    <t xml:space="preserve">Market Place </t>
  </si>
  <si>
    <t>RD-104</t>
  </si>
  <si>
    <t>Grade Road - Boulevard</t>
  </si>
  <si>
    <t>Upgrade road to minor arterial road standard including multi-use path or sidewalk with 7' bike lane, 11' travel lanes and 12' center lane with landscape islands.</t>
  </si>
  <si>
    <t>Hartford</t>
  </si>
  <si>
    <t>Catherine Drive</t>
  </si>
  <si>
    <t>RD-105</t>
  </si>
  <si>
    <t>125th Ave NE/18th St NE/20th St NE Downtown Roadway Improvements</t>
  </si>
  <si>
    <t xml:space="preserve">Upgrade road to two 10' travel lanes, 8' parking on both sides, 5' planters and 5' sidewalks. </t>
  </si>
  <si>
    <t>125th Ave NE/18th St NE/20th St</t>
  </si>
  <si>
    <t>Main Street/18th St. NE Intersection</t>
  </si>
  <si>
    <t>Main Street/20th St. NE Intersection</t>
  </si>
  <si>
    <t>RD-106</t>
  </si>
  <si>
    <t>79th Ave SE &amp; 8th St SE Intersection Improvements</t>
  </si>
  <si>
    <t xml:space="preserve">Improve the intersection at 79th Ave SE and 8th Street SE. Implement safety improvements at adjacent intersections along corridor. </t>
  </si>
  <si>
    <t>79th Ave SE/8th St. SE Intersection</t>
  </si>
  <si>
    <t>10th St SE</t>
  </si>
  <si>
    <t>Serious Injury Accident</t>
  </si>
  <si>
    <t>1,000,001- 5,000,000</t>
  </si>
  <si>
    <t>RD-107</t>
  </si>
  <si>
    <t>Madrona Drive</t>
  </si>
  <si>
    <t>Convert half road to reduced standard local access road section including two 10' travel lanes and a sidewalk on a single side of the road.</t>
  </si>
  <si>
    <t>End of Road</t>
  </si>
  <si>
    <t>Adjacent to services to the disabled</t>
  </si>
  <si>
    <t>RD-108</t>
  </si>
  <si>
    <t>Alder Road</t>
  </si>
  <si>
    <t>RD-109</t>
  </si>
  <si>
    <t>101st Ave NE</t>
  </si>
  <si>
    <t>Lundeen Parkway</t>
  </si>
  <si>
    <t>RD-110</t>
  </si>
  <si>
    <t>99th/20th U-turn Channelization</t>
  </si>
  <si>
    <t>Rechannelize 20th Street SE to allow for U-turns at the intersection of 20th Street SE and 99th Ave SE.</t>
  </si>
  <si>
    <t>RD-111</t>
  </si>
  <si>
    <t>12th St. SE/87th Ave SE Road Realignment</t>
  </si>
  <si>
    <t xml:space="preserve">The intersection at 87th Street SE and 12th Street SE is not aligned to provide adequate sight distances for vehicles. Project will realign the intersection and construct additional roadway surface. </t>
  </si>
  <si>
    <t>RD-112</t>
  </si>
  <si>
    <t>91st Ave SE/24th Street SE/S. Lake Stevens Road</t>
  </si>
  <si>
    <t xml:space="preserve">Construction of minor arterial south of 20th Street SE that provides an additional connection to SR 9. </t>
  </si>
  <si>
    <t>24th St. SE</t>
  </si>
  <si>
    <t>TIB</t>
  </si>
  <si>
    <t>Other</t>
  </si>
  <si>
    <t>&gt;5,000,001</t>
  </si>
  <si>
    <t>Not eligible for grants</t>
  </si>
  <si>
    <t>Mill Spur Traffic Calming</t>
  </si>
  <si>
    <t>A study and implementation of traffic calming at Mill Spur</t>
  </si>
  <si>
    <t>RD-114</t>
  </si>
  <si>
    <t>Lundeen Parkway Splitter Island Concrete Replacement</t>
  </si>
  <si>
    <t xml:space="preserve">The rock-lined approaches at the Lundeen Parkway roundabouts requires that the PW crew perform regular and time-consuming maintenances to ensure weeds do not grow. </t>
  </si>
  <si>
    <t>RD-115</t>
  </si>
  <si>
    <t>Replace Speed Feedback Signs</t>
  </si>
  <si>
    <t>Current speed feedback signs in the City are not supported from the manufacture and the majority of them are failing and need to be replaced. Speed feedback signs have been proven to help reduce traffic speeds.</t>
  </si>
  <si>
    <t>RD-116</t>
  </si>
  <si>
    <t>EDDS Update</t>
  </si>
  <si>
    <t xml:space="preserve">Update Chapter 5-9 and publish </t>
  </si>
  <si>
    <t>RD-117</t>
  </si>
  <si>
    <t>Traffic Safety Cameras Program and Equipment</t>
  </si>
  <si>
    <t xml:space="preserve">City Council has authorized the ordinance to install traffic safety cameras. This ordinance grants the ability to put into place a program. The budget request reflects the need to do a traffic analysis in the City in the locations proposed to install the cameras. This budget amount also includes the installation of the cameras. _x000D_
_x000D_
Each camera is approximately $65,000 per camera. The goal is to install 2 cameras each in 3 locations. The additional budget will cover consultant costs to perform the traffic analysis and justification required to install the cameras. </t>
  </si>
  <si>
    <t>Capital Facilities Plan - Parks</t>
  </si>
  <si>
    <t>Parks - Scoring Criteria</t>
  </si>
  <si>
    <t>Project Number2</t>
  </si>
  <si>
    <t>Location</t>
  </si>
  <si>
    <t>Construction Estimate</t>
  </si>
  <si>
    <t>A&amp;E</t>
  </si>
  <si>
    <t>ROW/Property</t>
  </si>
  <si>
    <t>Construction Management</t>
  </si>
  <si>
    <t>Park Service Type/ Classification</t>
  </si>
  <si>
    <t>Park Distribution</t>
  </si>
  <si>
    <t>Park Amenities</t>
  </si>
  <si>
    <t>Partnership Opportunity</t>
  </si>
  <si>
    <t>Park Service Type/Classification</t>
  </si>
  <si>
    <t>PR-100</t>
  </si>
  <si>
    <t>Frontier Heights Phase II</t>
  </si>
  <si>
    <t xml:space="preserve"> 48.005875, -122.111164</t>
  </si>
  <si>
    <t>Design and construction of a multiuse athletic field, drainage and parking lot improvements and pickleball courts.</t>
  </si>
  <si>
    <t>WWRP ($500K), YAF ($350K)</t>
  </si>
  <si>
    <t>Public/Semi-Public</t>
  </si>
  <si>
    <t>Community Park (&gt;10 acres)</t>
  </si>
  <si>
    <t>Community park that fills 2.5 mile distribution gap to residential zone</t>
  </si>
  <si>
    <t>Playfields</t>
  </si>
  <si>
    <t>Public Support is Strong and Political Support is Strong</t>
  </si>
  <si>
    <t xml:space="preserve">Agreement in place </t>
  </si>
  <si>
    <t>PR-101</t>
  </si>
  <si>
    <t>Mill Spur Concession/Restroom</t>
  </si>
  <si>
    <t>Construct a restroom and concession building on Mill Spur</t>
  </si>
  <si>
    <t>Trail &gt;1 Mile</t>
  </si>
  <si>
    <t>Neighborhood park that fills 1 mile distribution gap to residential zone</t>
  </si>
  <si>
    <t>Community Center</t>
  </si>
  <si>
    <t>PR-102</t>
  </si>
  <si>
    <t>Eagle Ridge Park Phase II</t>
  </si>
  <si>
    <t>48.018446, -122.106445</t>
  </si>
  <si>
    <t>Design and construct an amphitheater, playground, restrooms, parking and frontage improvements.</t>
  </si>
  <si>
    <t>RCO</t>
  </si>
  <si>
    <t>Mini-park that fills  0.5 mile distribution gap to residential areas</t>
  </si>
  <si>
    <t>Playgrounds and Restroom</t>
  </si>
  <si>
    <t>PR-103</t>
  </si>
  <si>
    <t>North Cove Dock Boat Slips</t>
  </si>
  <si>
    <t xml:space="preserve">Add up to six boat slips to the west side of the pier. </t>
  </si>
  <si>
    <t>Multi Family</t>
  </si>
  <si>
    <t>Dock/Pier and Swim Beach</t>
  </si>
  <si>
    <t>PR-104</t>
  </si>
  <si>
    <t>Cedarwood Recreation Center</t>
  </si>
  <si>
    <t xml:space="preserve">Construct a community center/recreation space by renovating an existing building that previously served this purpose. </t>
  </si>
  <si>
    <t>PR-105</t>
  </si>
  <si>
    <t>North Cove Pedestrian Bridge</t>
  </si>
  <si>
    <t>Construct abutments and place previously purchased pedestrian bridge over the Lake Stevens outlet channel between North Cove Park and North Lakeshore Drive.</t>
  </si>
  <si>
    <t>PR-106</t>
  </si>
  <si>
    <t>Sunset Park Phase II</t>
  </si>
  <si>
    <t xml:space="preserve">Pave parking lot, drainage improvements, ADA path with overlook deck. </t>
  </si>
  <si>
    <t>RCO (Pending)</t>
  </si>
  <si>
    <t>PR-107</t>
  </si>
  <si>
    <t>North Cove Docks @ Boat Launch</t>
  </si>
  <si>
    <t xml:space="preserve">Repair/Replace boat launch dock and slips. </t>
  </si>
  <si>
    <t>PR-108</t>
  </si>
  <si>
    <t>Frontier Heights Phase III</t>
  </si>
  <si>
    <t>Construction of a labyrinth exercise equipment and a sensory garden with associated pedestrian connections.</t>
  </si>
  <si>
    <t>Neighborhood Park (&lt;10 acres)</t>
  </si>
  <si>
    <t>Community park that fills &lt;2.5 mile to 1 mile distribution gap</t>
  </si>
  <si>
    <t>Trail/Pathway (&gt;0.5 miles)</t>
  </si>
  <si>
    <t>Agreement is pending with support</t>
  </si>
  <si>
    <t>PR-109</t>
  </si>
  <si>
    <t>20th St. SE Ballfields/Powerline Trail Phase I</t>
  </si>
  <si>
    <t>47.979151, -122.113690</t>
  </si>
  <si>
    <t>Construct paved parking lot adjacent to 20th Street SE and 3,800 linear feet of multi-use path between 20th Street SE and 8th Street SE.</t>
  </si>
  <si>
    <t>Pandemic Recovery (500K), Park Mitigation (1.1 million)</t>
  </si>
  <si>
    <t>Trail &gt;0.5 Mile</t>
  </si>
  <si>
    <t>Neighborhood park that fills &lt;1 to 0.5 mile distribution gap to residential zone</t>
  </si>
  <si>
    <t>PR-110</t>
  </si>
  <si>
    <t>Eagle Ridge Property Acquisition</t>
  </si>
  <si>
    <t>Acquire residential property adjacent to Eagle Ridge Park</t>
  </si>
  <si>
    <t>Swim Beach</t>
  </si>
  <si>
    <t>PR-111</t>
  </si>
  <si>
    <t>Sunset Park Phase I</t>
  </si>
  <si>
    <t>Stabilize dock and shoreline. Improve landscaping.</t>
  </si>
  <si>
    <t>County Grant</t>
  </si>
  <si>
    <t>PR-112</t>
  </si>
  <si>
    <t>Neighborhood Park Acquisition</t>
  </si>
  <si>
    <t>Varies</t>
  </si>
  <si>
    <t>Identify locations for and acquire lands for a neighborhood level park in the southeastern part of the City.</t>
  </si>
  <si>
    <t>Mini-Park (&lt;1 acre)</t>
  </si>
  <si>
    <t>Community park that fills &lt;1 mile distribution gap</t>
  </si>
  <si>
    <t>View Corridor</t>
  </si>
  <si>
    <t>No agreement in place or pending</t>
  </si>
  <si>
    <t>PR-113</t>
  </si>
  <si>
    <t>Davies Beach Pier Restoration</t>
  </si>
  <si>
    <t xml:space="preserve">Restore the pier with new decking, piling repairs as needed, add three boat slips with lifts for emergency responder boats. Pier area is 5,500 sq. ft. </t>
  </si>
  <si>
    <t>Open Space</t>
  </si>
  <si>
    <t>Neighborhood park that fills &lt;0.5 mile distribution gap to residential zone</t>
  </si>
  <si>
    <t>PR-114</t>
  </si>
  <si>
    <t>Future - Pump Track and Climbing Wall</t>
  </si>
  <si>
    <t>Improve trails, construct a pump track and climbing walls.</t>
  </si>
  <si>
    <t>Park Mitigation</t>
  </si>
  <si>
    <t>Trail &lt;0.5 Mile</t>
  </si>
  <si>
    <t>Mini-park that fills &lt;0.5 mile distribution gap to residential areas</t>
  </si>
  <si>
    <t>Trail/Pathway (&lt;0.5 miles)</t>
  </si>
  <si>
    <t>PR-115</t>
  </si>
  <si>
    <t>Bayview Trail Phase 2</t>
  </si>
  <si>
    <t xml:space="preserve">Construct 4,000 linear feet of multi-use path between 8th St. SE and Market Place. </t>
  </si>
  <si>
    <t>PR-116</t>
  </si>
  <si>
    <t>Bonneville Ballfields</t>
  </si>
  <si>
    <t>Replace the field surface and renovate the athletic field amenities.</t>
  </si>
  <si>
    <t>-</t>
  </si>
  <si>
    <t>PR-117</t>
  </si>
  <si>
    <t>Mini-Park Restoration</t>
  </si>
  <si>
    <t xml:space="preserve">Restoration program for mini-parks throughout the City. Mini-parks typically have playgrounds that need to be replaced or repaired. This is recurring annual funding. </t>
  </si>
  <si>
    <t>R-1148</t>
  </si>
  <si>
    <t>North Cove Parking Lot</t>
  </si>
  <si>
    <t xml:space="preserve">Remove administrative buildings and construct new parking lot. </t>
  </si>
  <si>
    <t>R-119</t>
  </si>
  <si>
    <t>Bayview Trail Phase 1a</t>
  </si>
  <si>
    <t>Construct 1,000 linear feet of multi-use trail from 12th St. SE and 8th St. SE</t>
  </si>
  <si>
    <t>R-120</t>
  </si>
  <si>
    <t>Bayview Trail Phase 3</t>
  </si>
  <si>
    <t>Construct 3200 linear feet of multi-use trail from Market Place to Frontier CIrcle</t>
  </si>
  <si>
    <t>R-121</t>
  </si>
  <si>
    <t>NC Playground Concrete Seat Wall Adjustment</t>
  </si>
  <si>
    <t>This project consists of hiring a contractor to cut a portion of the vertical concrete wall and patching the ground around it.</t>
  </si>
  <si>
    <t>R-122</t>
  </si>
  <si>
    <t>WeatherTrak Irrigation System Addition</t>
  </si>
  <si>
    <t>4 parks - North Cove, Davies, Lundeen and Oak. This is a smart irrigation controller that uses weather data to adjust watering schedules</t>
  </si>
  <si>
    <t>R-123</t>
  </si>
  <si>
    <t>Extend Railing - NC Observation Deck</t>
  </si>
  <si>
    <t>The North Cove Observation Deck has a railing with cable system around half of it. A step will be added to the west side (grass hill) of the observation deck and continue the fencing around the North side of the Observation Deck.</t>
  </si>
  <si>
    <t>R-124</t>
  </si>
  <si>
    <t>Utility/Storage Building - Cavalero</t>
  </si>
  <si>
    <t>A 10x20 concrete block building at Cavalero Park for storage of materials and supplies needed for parks maintenance</t>
  </si>
  <si>
    <t>R-125</t>
  </si>
  <si>
    <t>Cavalero Community/Sports Center - Design</t>
  </si>
  <si>
    <t>Design and Engineering. 80-100k Community &amp; Sports Center - Partnership with TBD</t>
  </si>
  <si>
    <t>R-126</t>
  </si>
  <si>
    <t>R-127</t>
  </si>
  <si>
    <t>Water Deduct Meter Installation</t>
  </si>
  <si>
    <t>Irrigation or water lines may need to be modified to reroute water. Each deduct meter will cost approximately $1300 to purchase, staff will install.</t>
  </si>
  <si>
    <t>R-128</t>
  </si>
  <si>
    <t>Security Cameras - Cavalero</t>
  </si>
  <si>
    <t>Security cameras for Cavalero Park.</t>
  </si>
  <si>
    <t>R-129</t>
  </si>
  <si>
    <t>Monument/Entrance Sign - Cavalero</t>
  </si>
  <si>
    <t>The City will be acquiring Cavalero Park from the County. This park will need a City entry sign to match our standards, which consists of a base and blue sign displaying the park name and address.</t>
  </si>
  <si>
    <t>R-130</t>
  </si>
  <si>
    <t>North Cove Parking Lot &amp; Recreation Building Design</t>
  </si>
  <si>
    <t>Design and Engineering. Remove one of the administrative buildings, repurpose the other and construct new parking lot</t>
  </si>
  <si>
    <t>Capital Facilities Plan - Stormwater</t>
  </si>
  <si>
    <t>Land Use</t>
  </si>
  <si>
    <t>Flood Mitigation Benefit/Risk Mitigation</t>
  </si>
  <si>
    <t>Environmental/ Sustainability</t>
  </si>
  <si>
    <t>Operational/ Budget Impact</t>
  </si>
  <si>
    <t>Surface Water - Scoring Criteria</t>
  </si>
  <si>
    <t>SW-105</t>
  </si>
  <si>
    <t>20th Street NE Culvert Replacement/Channel realignment</t>
  </si>
  <si>
    <t>Phase II - Downtown Flood Mitigation: Replacement of the 20th Street NE culvert with a bridge to reduce the severity and occurrence of flooding in the downtown area. This project includes channel realignment.</t>
  </si>
  <si>
    <t>SW-106</t>
  </si>
  <si>
    <t>Hartford Crossing - New and Channel realignment</t>
  </si>
  <si>
    <t xml:space="preserve">Phase III - Downtown Flood Mitigation: Replacement of two culverts on Hartford Drive with bridges and channel restoration through the wetland west of Hartford. </t>
  </si>
  <si>
    <t>&gt;5 Structures Mitigated</t>
  </si>
  <si>
    <t>Total Fish Barrier Restored</t>
  </si>
  <si>
    <t>Substantial reduction in operational costs</t>
  </si>
  <si>
    <t>SW-101</t>
  </si>
  <si>
    <t>Weir Replacement</t>
  </si>
  <si>
    <t xml:space="preserve">Phase I - Downtown Flood Mitigation: Replacement of the weir at the outlet of Lake Stevens with a control structure that provides fish passage and automated control of the lake level. </t>
  </si>
  <si>
    <t>Stream Daylighted</t>
  </si>
  <si>
    <t>Substantial reduction in financial risk</t>
  </si>
  <si>
    <t>Infrastructure will be damaged if project is ont constructed</t>
  </si>
  <si>
    <t>SW-107</t>
  </si>
  <si>
    <t>18th Street NE Culvert Replacement/ realignment</t>
  </si>
  <si>
    <t xml:space="preserve">Phase IV - Downtown Flood Mitigation: Replacement of the 18th Street NE with a bridge. </t>
  </si>
  <si>
    <t>Sole Access</t>
  </si>
  <si>
    <t>Project Improves TMDL</t>
  </si>
  <si>
    <t>SW-104</t>
  </si>
  <si>
    <t>Bridge 06 Replacement - 36th Street NE</t>
  </si>
  <si>
    <t xml:space="preserve">Bridge 06 requires a quarterly inspection due to structural concerns. This bridge should be replaced to ensure commercial traffic can access the Hartford Industrial area of the City. </t>
  </si>
  <si>
    <t>SW-109</t>
  </si>
  <si>
    <t>Regional Stormwater Facility Downtown</t>
  </si>
  <si>
    <t xml:space="preserve">Construct a regional stormwater facility in downtown Lake Stevens to encourage commercial growth. </t>
  </si>
  <si>
    <t>SW-110</t>
  </si>
  <si>
    <t>Regional Stormwater Facility Hartford Industrial</t>
  </si>
  <si>
    <t>Construct a regional stormwater facility in adjacent to Hartford Drive to encourage industrial growth.</t>
  </si>
  <si>
    <t>SW-111</t>
  </si>
  <si>
    <t>Catherine Creek/Hartford Crossing Replacement</t>
  </si>
  <si>
    <t>Sur</t>
  </si>
  <si>
    <t>36th Street Culvert Replacement  - Fish Passable</t>
  </si>
  <si>
    <t>Replace the culvert at 36th Street NE that conveys a tributary to Catherine Creek.</t>
  </si>
  <si>
    <t>SW-102</t>
  </si>
  <si>
    <t>10th/79th Storm Line Replacement</t>
  </si>
  <si>
    <t xml:space="preserve">Replacement of inadequately sized stormwater pipes and structures with structures/pipes to convey the significant quantity of water in this area. </t>
  </si>
  <si>
    <t>SW-103</t>
  </si>
  <si>
    <t>99th Ave SE/4th St. SE Culvert Feasibility</t>
  </si>
  <si>
    <t xml:space="preserve">Design/feasibility of a culvert replacement project at 99th Ave SE/4th St. SE. </t>
  </si>
  <si>
    <t>&gt;3 Structures Mitigated</t>
  </si>
  <si>
    <t>Partial Fish Barrier Restored</t>
  </si>
  <si>
    <t>Moderate reduction in operational costs</t>
  </si>
  <si>
    <t>SW-112</t>
  </si>
  <si>
    <t>SWM Fee - Rate Study and Fee Adoption</t>
  </si>
  <si>
    <t>This project is to hire a consultant to set surface water utility rates. 
Assess the stormwater management fee structure to ensure fair distribution of costs, compliance with regulations, and financial sustainability. This study should include staff needs, NPDES requirements, integrate actions from the basins plan, EMP, SMAP, and CCTV projects.
The surface water utility fees have been set through 2027. The last rate study for the City took place in 2018. Since 2018, the City has inspected and inventoried all stormwater facility assets, set condition ratings for more than half of the stormwater conveyance infrastructure, identified capital projects, and completed long-range plan to address water quality by assessing enhanced maintenance standards, retrofits to existing infrastructure, and new capital projects. All of this information will be used in a new study to set utility rates.</t>
  </si>
  <si>
    <t>Major/Minor Collector</t>
  </si>
  <si>
    <t>Restoration of Wetlands/Wetland reconnection</t>
  </si>
  <si>
    <t>Moderate reduction in financial risk</t>
  </si>
  <si>
    <t>Infrastructure impacts are likely.</t>
  </si>
  <si>
    <t>Improves Water Quality</t>
  </si>
  <si>
    <t>&lt;2 Structures Mitigated</t>
  </si>
  <si>
    <t>No Fish Barrier Restored</t>
  </si>
  <si>
    <t>Minor operational cost reduction</t>
  </si>
  <si>
    <t>Neighborhood Roadway</t>
  </si>
  <si>
    <t>No Wetland Reconnection</t>
  </si>
  <si>
    <t>Minor financial risk reduction</t>
  </si>
  <si>
    <t>Impacts are unknown.</t>
  </si>
  <si>
    <t>No Water Quality Improvement</t>
  </si>
  <si>
    <t>Capital Facilities Plan - Facilities</t>
  </si>
  <si>
    <t>Critical Facility</t>
  </si>
  <si>
    <t>Public Health and Safety</t>
  </si>
  <si>
    <t>Facilities - Scoring Criteria</t>
  </si>
  <si>
    <t>FC-111</t>
  </si>
  <si>
    <t>Additional PW Shop Building Feasibility/Preliminary Design</t>
  </si>
  <si>
    <t xml:space="preserve">Prepare feasibility report and preliminary design for additional public works shop building at current shop location. </t>
  </si>
  <si>
    <t>FC-103</t>
  </si>
  <si>
    <t>Police Station HVAC</t>
  </si>
  <si>
    <t>LSPD facility was purchased in 2019 and remodeled. The life span on the current HVAC and air conditioning units have met their lifespan and are failing in the Administration/Operations Building. The training center systems were replaced shortly after occupancy. Project includes four AC units and four furnaces.</t>
  </si>
  <si>
    <t>Police Station</t>
  </si>
  <si>
    <t>Reduces debt service and operational costs</t>
  </si>
  <si>
    <t>Reduces utility costs and improves energy/resource consumption.</t>
  </si>
  <si>
    <t>Significantly improves the public health and safety</t>
  </si>
  <si>
    <t>FC-109</t>
  </si>
  <si>
    <t>Refueling Station Cover and Structure</t>
  </si>
  <si>
    <t xml:space="preserve">Construct a ~1,200 square foot roof/cover structure over the refueling station at the PW Shop. This is a requirement of the City's NPDES permit.  </t>
  </si>
  <si>
    <t>City Hall</t>
  </si>
  <si>
    <t>Reduces reliance on fossil fuels.</t>
  </si>
  <si>
    <t>Improves employee public health and safety.</t>
  </si>
  <si>
    <t>FC-110</t>
  </si>
  <si>
    <t>Decant Facility and PW Yard Materials Storage Bins Cover</t>
  </si>
  <si>
    <t>Construct roof/cover structures over the four materials bins at the public works yard and four bins at the decant facility.  Total area to cover is 4,700 square feet.</t>
  </si>
  <si>
    <t>Public Works Shop</t>
  </si>
  <si>
    <t>Reduces use of hazardous materials.</t>
  </si>
  <si>
    <t>FC-108</t>
  </si>
  <si>
    <t>Security Cameras</t>
  </si>
  <si>
    <t>Procure and install cameras on municipal facilities to improve security.</t>
  </si>
  <si>
    <t>FC-112</t>
  </si>
  <si>
    <t>131st Ave NE Sewer Extension</t>
  </si>
  <si>
    <t>Construct ~550 linear feet of sewer main beneath 131st Ave NE and connect public works shop to public sewer. Costs will be shared with the Lake Stevens Sewer District. This cost estimate is 50% share.</t>
  </si>
  <si>
    <t>FC-114</t>
  </si>
  <si>
    <t>Machias Sewer Connection</t>
  </si>
  <si>
    <t xml:space="preserve">Construct ~480 linear feet of sewer main along City property, between 131st Ave NE and Machias Rd. </t>
  </si>
  <si>
    <t>FC-102</t>
  </si>
  <si>
    <t>Relocate City Hall from North Cove Park to an alternative location</t>
  </si>
  <si>
    <t>FC-104</t>
  </si>
  <si>
    <t>Library HVAC and Paint</t>
  </si>
  <si>
    <t>Replace the HVAC system and paint the city-owned building that is occupied by Sno-Isle Library.</t>
  </si>
  <si>
    <t>FC-101</t>
  </si>
  <si>
    <t>Museum</t>
  </si>
  <si>
    <t>Design and construct a museum building on Mill Spur adjacent to the Grimm House.</t>
  </si>
  <si>
    <t>Museum Grant ($744K), Mill Spur Property Sale ($500K), ARPA ($656K)</t>
  </si>
  <si>
    <t>FC-105</t>
  </si>
  <si>
    <t>Eagle Ridge Storage Building</t>
  </si>
  <si>
    <t xml:space="preserve">Restore/remodel the storage facility at Eagle Ridge Park for use by the Parks Department. </t>
  </si>
  <si>
    <t>Other Government Buildings</t>
  </si>
  <si>
    <t>Reduces debt service or operating costs</t>
  </si>
  <si>
    <t>Reduces vehicle trips</t>
  </si>
  <si>
    <t>Moderate improvement to public health/safety</t>
  </si>
  <si>
    <t>FC-106</t>
  </si>
  <si>
    <t>Lundeen Park Recreation Building Remodel</t>
  </si>
  <si>
    <t xml:space="preserve">Remodel the Lundeen Park recreation building for use by vendors and the Parks Department. This project includes security and IT upgrades. </t>
  </si>
  <si>
    <t>Reduces Energy Consumption</t>
  </si>
  <si>
    <t>Moderate improvement to employee health/safety</t>
  </si>
  <si>
    <t>FC-113</t>
  </si>
  <si>
    <t>Mill Spur Downtown Parking Lot</t>
  </si>
  <si>
    <t xml:space="preserve">The city has identified potential parking locations in downtown Lake Stevens.  Public parking is a goal of the downtown Lake Stevens Subarea Plan.  The first site is designed and will be ready to construct in 2023.  The second location is dependent on coordination and an agreement with the property owner.  </t>
  </si>
  <si>
    <t>FC-115</t>
  </si>
  <si>
    <t>Water Main Extension - 20th Street SE between 91st Street SE and 79th Street SE</t>
  </si>
  <si>
    <t>Installation of ~4,000 linear feet water main on the south side of 20th Street SE providing water service for commercial and residental customers. Water main will reduce roadway cuts across recently improved road. 2023 funding will be used for feasibility.</t>
  </si>
  <si>
    <t>FC-107</t>
  </si>
  <si>
    <t>1819 South Lake Stevens Road - Commercial Building Paint and  Remodel</t>
  </si>
  <si>
    <t xml:space="preserve">Paint the exterior of the building. Minor remodel of the building including replacement/repair of aging HVAC system and other appliances. This project includes replacement of the eastern fire escape stairway. </t>
  </si>
  <si>
    <t>Improves well-being of employees</t>
  </si>
  <si>
    <t>FC-116</t>
  </si>
  <si>
    <t>AC Register in Chief's conference room</t>
  </si>
  <si>
    <t>AC Register in Chief's conference room. When the door is closed the room temperature increases quickly about 20 degrees and is VERY uncomfortable.</t>
  </si>
  <si>
    <t>FC-117</t>
  </si>
  <si>
    <t>Flagpole Landscaping</t>
  </si>
  <si>
    <t>Flagpole Landscaping to increase the beautification of the flagpole area for ceremonial events and recgonition.</t>
  </si>
  <si>
    <t>FC-118</t>
  </si>
  <si>
    <t>FOB reader on pedestrian gate</t>
  </si>
  <si>
    <t>FOB reader on pedestrian gate to access the PD training room and parking lot from walking path between buildings</t>
  </si>
  <si>
    <t>FC-119</t>
  </si>
  <si>
    <t>2nd Story to training center for additional office space</t>
  </si>
  <si>
    <t>2nd Story to training center for additional office space - 2035 This is for future growth and expansion. PW director provided prelimenary discussion</t>
  </si>
  <si>
    <t>Non-Government Buildings</t>
  </si>
  <si>
    <t>No effect on debt service or operating costs</t>
  </si>
  <si>
    <t>No known environment/ sustainability benefit</t>
  </si>
  <si>
    <t>No known benefit</t>
  </si>
  <si>
    <t>Date:</t>
  </si>
  <si>
    <t>Prepared by:</t>
  </si>
  <si>
    <t>Aaron Halverson, Public Works Director</t>
  </si>
  <si>
    <t>Transportation Benefit District (TBD) Projects</t>
  </si>
  <si>
    <t>Roadway Projects</t>
  </si>
  <si>
    <t>Project</t>
  </si>
  <si>
    <t>Primary Road</t>
  </si>
  <si>
    <t>Cost Estimate</t>
  </si>
  <si>
    <t>Main Street Redevelopment</t>
  </si>
  <si>
    <t>Multi-use path, street frontage improvements and roundabout at Main Street &amp; 20th St NE intersection.</t>
  </si>
  <si>
    <t>99th Ave NE Redevelopment</t>
  </si>
  <si>
    <t>Pavement Preservation</t>
  </si>
  <si>
    <t xml:space="preserve">Maintain existing roadways to 80% pavement condition rating. </t>
  </si>
  <si>
    <t>Annual Expense</t>
  </si>
  <si>
    <t>Sidewalk Projects</t>
  </si>
  <si>
    <t>91st Street SE  - School Sidewalk Connections</t>
  </si>
  <si>
    <t xml:space="preserve">Construct 5,000 linear feet of sidewalk with landscape strip buffer, install 18 ADA compliant ramps and install lighted crosswalk signs on 91st Street SE from 20th Street SE to Market Street. There are three schools in the project area and several sections without sidewalks or compliant ADA ramps. </t>
  </si>
  <si>
    <t>91st Street SE</t>
  </si>
  <si>
    <t>16th Street NE Centennial Trail Connector</t>
  </si>
  <si>
    <t>Construct 1,900 linear feet of multi-use path and 4 ADA compliance ramps on 16th Street NE between Main Street and the Centennial Trail. This will complete the bicycle and pedestrian connection from the Centennial Trail at Hartford Drive, through downtown Lake Stevens, back to the Centennial Trail.</t>
  </si>
  <si>
    <t>Centennial Trial</t>
  </si>
  <si>
    <t>North Lakeshore Swim Beach Connection to Downtown</t>
  </si>
  <si>
    <t xml:space="preserve">Construct a sidewalk on North Lakeshore Drive between downtown Lake Stevens and North Lake Shore Swim Beach. </t>
  </si>
  <si>
    <t>117th Street NE - High School Sidewalk Connection</t>
  </si>
  <si>
    <t>Construct 2,100 linear feet of sidewalks and 8 ADA compliant ramps on 117th Street NE between 20th Street NE and 26th Street NE.</t>
  </si>
  <si>
    <t>117th Street NE</t>
  </si>
  <si>
    <t>Soper Hill Road Pedestrian Connection to Lundeen Parkway</t>
  </si>
  <si>
    <t>Construct 3,000 linear feet of sidewalk, 4 ADA compliant ramps and two lighted crosswalk signs on Soper Hill Road from Lundeen Parkway to SR 9. This project will connect pedestrians from Lundeen Parkway to Eagle Ridge Park, the Senior Center and the Soper Hill Commercial area.</t>
  </si>
  <si>
    <t>Soper Hill Road</t>
  </si>
  <si>
    <t>SR9</t>
  </si>
  <si>
    <t>99th Ave NE - Sunnycrest Elementary to 30th St. NE</t>
  </si>
  <si>
    <t xml:space="preserve">Construct 1,300 linear feet of sidewalk and two ADA compliant ramps between Sunnycrest Elementary south and 30th St. NE.  This project will provide pedestrian access between the residential areas to the south and the school. </t>
  </si>
  <si>
    <t>Sunnycrest Elementary</t>
  </si>
  <si>
    <t>79th Ave SE  - Sidewalk Connections</t>
  </si>
  <si>
    <t xml:space="preserve">Connect several sections of sidewalks on 79th Street SE between 8th Street SE and 20th Street SE. </t>
  </si>
  <si>
    <t>79th Street SE</t>
  </si>
  <si>
    <t>Evaluation Criteria</t>
  </si>
  <si>
    <t>5 - State Route</t>
  </si>
  <si>
    <t>5 - (0-0.25 Miles)</t>
  </si>
  <si>
    <t>5 -Commercial/Mixed Use</t>
  </si>
  <si>
    <t>5 - 1,251</t>
  </si>
  <si>
    <t>5 - &lt;100,000</t>
  </si>
  <si>
    <t xml:space="preserve">5 - Full Funding </t>
  </si>
  <si>
    <t>4 - Minor Arterial</t>
  </si>
  <si>
    <t>4 - (0.25-0.5 Miles)</t>
  </si>
  <si>
    <t>4 - Mixed Use</t>
  </si>
  <si>
    <t>4 - 1001 to 1,250</t>
  </si>
  <si>
    <t>4 - 100,001 to 500,000</t>
  </si>
  <si>
    <t>4 - 75-99%</t>
  </si>
  <si>
    <t>3 - Major Collector</t>
  </si>
  <si>
    <t>3 - (0.5-1 Miles)</t>
  </si>
  <si>
    <t>3 - Multi Family</t>
  </si>
  <si>
    <t>3 - 751 to 1000</t>
  </si>
  <si>
    <t>3 - 500,001 to 750,000</t>
  </si>
  <si>
    <t xml:space="preserve">3 - 50-74% </t>
  </si>
  <si>
    <t>2 - Minor Collector</t>
  </si>
  <si>
    <t>2 - (1-1.5 Miles)</t>
  </si>
  <si>
    <t>2 - Single Family</t>
  </si>
  <si>
    <t>2 - 501 to 750</t>
  </si>
  <si>
    <t>2 - 750,001 to 1,000,000</t>
  </si>
  <si>
    <t xml:space="preserve">2 - 25-49% </t>
  </si>
  <si>
    <t>1 - Neighborhood</t>
  </si>
  <si>
    <t>1 - (1.5-2 Miles)</t>
  </si>
  <si>
    <t>1 - Industrial</t>
  </si>
  <si>
    <t>1 - 0 to 500</t>
  </si>
  <si>
    <t>1 - 1,000,001 to 1,500,000</t>
  </si>
  <si>
    <t xml:space="preserve">1 - 0-24% </t>
  </si>
  <si>
    <t>Lake Stevens - School Sidewalk Project Analysis</t>
  </si>
  <si>
    <t>Nearest School</t>
  </si>
  <si>
    <t>Number of Students</t>
  </si>
  <si>
    <t>Roadway Classification</t>
  </si>
  <si>
    <t>Proximity to School</t>
  </si>
  <si>
    <t>Highest Land Use Type Within 0.5 Miles</t>
  </si>
  <si>
    <r>
      <t>79</t>
    </r>
    <r>
      <rPr>
        <vertAlign val="superscript"/>
        <sz val="11"/>
        <color theme="1"/>
        <rFont val="Calibri"/>
        <family val="2"/>
        <scheme val="minor"/>
      </rPr>
      <t>th</t>
    </r>
    <r>
      <rPr>
        <sz val="11"/>
        <color theme="1"/>
        <rFont val="Calibri"/>
        <family val="2"/>
        <scheme val="minor"/>
      </rPr>
      <t xml:space="preserve"> Ave SE </t>
    </r>
  </si>
  <si>
    <t>Cavalero Mid High School</t>
  </si>
  <si>
    <r>
      <t>83</t>
    </r>
    <r>
      <rPr>
        <vertAlign val="superscript"/>
        <sz val="11"/>
        <color theme="1"/>
        <rFont val="Calibri"/>
        <family val="2"/>
        <scheme val="minor"/>
      </rPr>
      <t>rd</t>
    </r>
    <r>
      <rPr>
        <sz val="11"/>
        <color theme="1"/>
        <rFont val="Calibri"/>
        <family val="2"/>
        <scheme val="minor"/>
      </rPr>
      <t xml:space="preserve"> Ave SE </t>
    </r>
  </si>
  <si>
    <t xml:space="preserve">Cavalero Mid High School </t>
  </si>
  <si>
    <t>Glenwood Elementary</t>
  </si>
  <si>
    <t>Glennwood Elementary</t>
  </si>
  <si>
    <r>
      <t>20</t>
    </r>
    <r>
      <rPr>
        <vertAlign val="superscript"/>
        <sz val="11"/>
        <color theme="1"/>
        <rFont val="Calibri"/>
        <family val="2"/>
        <scheme val="minor"/>
      </rPr>
      <t>th</t>
    </r>
    <r>
      <rPr>
        <sz val="11"/>
        <color theme="1"/>
        <rFont val="Calibri"/>
        <family val="2"/>
        <scheme val="minor"/>
      </rPr>
      <t xml:space="preserve"> Street SE </t>
    </r>
  </si>
  <si>
    <t>Highland Elementary School</t>
  </si>
  <si>
    <t xml:space="preserve">Highland Elementary School </t>
  </si>
  <si>
    <r>
      <t>91</t>
    </r>
    <r>
      <rPr>
        <vertAlign val="superscript"/>
        <sz val="11"/>
        <color theme="1"/>
        <rFont val="Calibri"/>
        <family val="2"/>
        <scheme val="minor"/>
      </rPr>
      <t>st</t>
    </r>
    <r>
      <rPr>
        <sz val="11"/>
        <color theme="1"/>
        <rFont val="Calibri"/>
        <family val="2"/>
        <scheme val="minor"/>
      </rPr>
      <t xml:space="preserve"> Ave SE </t>
    </r>
  </si>
  <si>
    <t xml:space="preserve">Hillcrest Elementary School/Lake Stevens Middle School/Skyline Elementary </t>
  </si>
  <si>
    <r>
      <t>91</t>
    </r>
    <r>
      <rPr>
        <vertAlign val="superscript"/>
        <sz val="11"/>
        <color theme="1"/>
        <rFont val="Calibri"/>
        <family val="2"/>
        <scheme val="minor"/>
      </rPr>
      <t>st</t>
    </r>
    <r>
      <rPr>
        <sz val="11"/>
        <color theme="1"/>
        <rFont val="Calibri"/>
        <family val="2"/>
        <scheme val="minor"/>
      </rPr>
      <t xml:space="preserve"> Ave SE</t>
    </r>
  </si>
  <si>
    <t>12th Place SE</t>
  </si>
  <si>
    <t xml:space="preserve">117th Street NE </t>
  </si>
  <si>
    <t xml:space="preserve">Lake Stevens High School </t>
  </si>
  <si>
    <r>
      <t>20</t>
    </r>
    <r>
      <rPr>
        <vertAlign val="superscript"/>
        <sz val="11"/>
        <color theme="1"/>
        <rFont val="Calibri"/>
        <family val="2"/>
        <scheme val="minor"/>
      </rPr>
      <t>th</t>
    </r>
    <r>
      <rPr>
        <sz val="11"/>
        <color theme="1"/>
        <rFont val="Calibri"/>
        <family val="2"/>
        <scheme val="minor"/>
      </rPr>
      <t xml:space="preserve"> Street NE </t>
    </r>
  </si>
  <si>
    <t xml:space="preserve">Mt. Pilchuck Elementary </t>
  </si>
  <si>
    <t xml:space="preserve">Grade Road </t>
  </si>
  <si>
    <t xml:space="preserve">22nd Street NE </t>
  </si>
  <si>
    <t>Lake Stevens Library</t>
  </si>
  <si>
    <t xml:space="preserve">North Lake Middle School </t>
  </si>
  <si>
    <r>
      <t>123</t>
    </r>
    <r>
      <rPr>
        <vertAlign val="superscript"/>
        <sz val="11"/>
        <color theme="1"/>
        <rFont val="Calibri"/>
        <family val="2"/>
        <scheme val="minor"/>
      </rPr>
      <t>rd</t>
    </r>
    <r>
      <rPr>
        <sz val="11"/>
        <color theme="1"/>
        <rFont val="Calibri"/>
        <family val="2"/>
        <scheme val="minor"/>
      </rPr>
      <t xml:space="preserve"> Avenue NE</t>
    </r>
  </si>
  <si>
    <t xml:space="preserve">Lake View Drive </t>
  </si>
  <si>
    <t>29th Street NE</t>
  </si>
  <si>
    <t>Stevens Creek Elementary</t>
  </si>
  <si>
    <t xml:space="preserve">Stevens Creek Elementary </t>
  </si>
  <si>
    <t xml:space="preserve">Sunnycrest Elementary </t>
  </si>
  <si>
    <t>TBD Analysis</t>
  </si>
  <si>
    <t>Survey Response Share</t>
  </si>
  <si>
    <t>Revenue Projection (Sales Tax)</t>
  </si>
  <si>
    <t xml:space="preserve">Overlays </t>
  </si>
  <si>
    <t>Sidewalk</t>
  </si>
  <si>
    <t>Street/Road</t>
  </si>
  <si>
    <t>Trail/Pathway</t>
  </si>
  <si>
    <t>Inflation</t>
  </si>
  <si>
    <t>Year</t>
  </si>
  <si>
    <t>Sidewalk Fund</t>
  </si>
  <si>
    <t>TBD Contribution</t>
  </si>
  <si>
    <t>Beginning Fund Balance</t>
  </si>
  <si>
    <t>91st Ave SE (4th to Market)</t>
  </si>
  <si>
    <t>91st Ave SE (8th to 4th St SE)</t>
  </si>
  <si>
    <t>117th Ave NE (20th to 26th St NE)</t>
  </si>
  <si>
    <t>North Lakeshore Dr. (Main Street to 123rd Ave NE)</t>
  </si>
  <si>
    <t>Soper Hill (Lake Drive to SR9)</t>
  </si>
  <si>
    <t>91st Ave SE (20th to 12th St. SE)</t>
  </si>
  <si>
    <t>Hartford Drive (20th to 21st St. NE)</t>
  </si>
  <si>
    <t>Grade Road (Hartford to Library)</t>
  </si>
  <si>
    <t>113th Ave NE (32nd to 36th NE)</t>
  </si>
  <si>
    <t>20th St NE (Main Street to 131st Ave SE</t>
  </si>
  <si>
    <t>123rd Ave NE(22nd to N. Lakeshore)</t>
  </si>
  <si>
    <t>99th Ave NE (1st to Chapel Hill)</t>
  </si>
  <si>
    <t>83rd Ave NE (20th to 17th St. SE)</t>
  </si>
  <si>
    <t>103rd Ave SE (32nd to S. Lake Stevens)</t>
  </si>
  <si>
    <t>North Lakeshore Drive (123rd to Swim Beach)</t>
  </si>
  <si>
    <t>99th Ave NE (Sunnycrest Elem to 30th St. NE)</t>
  </si>
  <si>
    <t>Unfunded</t>
  </si>
  <si>
    <t>99th Ave SE (20th to 8th St. SE)</t>
  </si>
  <si>
    <t>4th St. NE (97th to 98th Drive NE)</t>
  </si>
  <si>
    <t>20th St. SE (S.Lake Stevens Road to 113th Drive SE)</t>
  </si>
  <si>
    <t>Project Cost Total</t>
  </si>
  <si>
    <t>Ending Fund Balance</t>
  </si>
  <si>
    <t>Overlay Budget</t>
  </si>
  <si>
    <t>Current Annual Overlay</t>
  </si>
  <si>
    <t>Annual Overlay Additional</t>
  </si>
  <si>
    <t>Main Street (16th St NE to 20th St. NE) - 20% Match</t>
  </si>
  <si>
    <t>79th Ave SE Access Road (20th St. SE to 83rd Ave SE)</t>
  </si>
  <si>
    <t>91st Ave NE (Market Place to SR 204)</t>
  </si>
  <si>
    <t>Trail Projects</t>
  </si>
  <si>
    <t>Comprehensive Plan Estimate - 2022</t>
  </si>
  <si>
    <t>2022 Budget ($475K)</t>
  </si>
  <si>
    <t>Powerline Trail Phase I (20th St. SE to 8th St. SE)</t>
  </si>
  <si>
    <t>Powerline Trail Phase II (8th St. SE to Market Place)</t>
  </si>
  <si>
    <t>Hartford Road Walking Path</t>
  </si>
  <si>
    <t>Catherine Creek and Centennial Woods Trail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</si>
</sst>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_(* #,##0.0_);_(* \(#,##0.0\);_(* &quot;-&quot;?_);_(@_)"/>
  </numFmts>
  <fonts count="13">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vertAlign val="superscript"/>
      <sz val="11"/>
      <color theme="1"/>
      <name val="Calibri"/>
      <family val="2"/>
      <scheme val="minor"/>
    </font>
    <font>
      <sz val="8"/>
      <name val="Calibri"/>
      <family val="2"/>
      <scheme val="minor"/>
    </font>
    <font>
      <b/>
      <sz val="14"/>
      <color theme="1"/>
      <name val="Calibri"/>
      <family val="2"/>
      <scheme val="minor"/>
    </font>
    <font>
      <b/>
      <sz val="18"/>
      <color theme="1"/>
      <name val="Calibri"/>
      <family val="2"/>
      <scheme val="minor"/>
    </font>
    <font>
      <sz val="18"/>
      <color theme="1"/>
      <name val="Calibri"/>
      <family val="2"/>
      <scheme val="minor"/>
    </font>
    <font>
      <sz val="14"/>
      <color theme="1"/>
      <name val="Calibri"/>
      <family val="2"/>
      <scheme val="minor"/>
    </font>
    <font>
      <sz val="11"/>
      <color rgb="FF000000"/>
      <name val="Aptos Narrow"/>
      <charset val="1"/>
    </font>
    <font>
      <sz val="11"/>
      <color rgb="FF242424"/>
      <name val="Aptos Narrow"/>
      <charset val="1"/>
    </font>
    <font>
      <sz val="11"/>
      <color rgb="FF000000"/>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theme="9" tint="0.79998168889431442"/>
      </patternFill>
    </fill>
    <fill>
      <patternFill patternType="solid">
        <fgColor rgb="FFFFC000"/>
        <bgColor indexed="64"/>
      </patternFill>
    </fill>
    <fill>
      <patternFill patternType="solid">
        <fgColor rgb="FFBBE1E6"/>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bottom/>
      <diagonal/>
    </border>
    <border>
      <left style="hair">
        <color indexed="64"/>
      </left>
      <right/>
      <top style="hair">
        <color indexed="64"/>
      </top>
      <bottom style="thin">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theme="9" tint="0.39997558519241921"/>
      </top>
      <bottom style="thin">
        <color theme="9" tint="0.39997558519241921"/>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right style="hair">
        <color indexed="64"/>
      </right>
      <top/>
      <bottom/>
      <diagonal/>
    </border>
    <border>
      <left/>
      <right/>
      <top style="thin">
        <color theme="9" tint="0.39997558519241921"/>
      </top>
      <bottom/>
      <diagonal/>
    </border>
    <border>
      <left style="thin">
        <color indexed="64"/>
      </left>
      <right/>
      <top style="thin">
        <color indexed="64"/>
      </top>
      <bottom/>
      <diagonal/>
    </border>
    <border>
      <left style="hair">
        <color indexed="64"/>
      </left>
      <right/>
      <top/>
      <bottom/>
      <diagonal/>
    </border>
    <border>
      <left style="hair">
        <color indexed="64"/>
      </left>
      <right style="thin">
        <color indexed="64"/>
      </right>
      <top/>
      <bottom/>
      <diagonal/>
    </border>
    <border>
      <left/>
      <right style="thin">
        <color indexed="64"/>
      </right>
      <top style="thin">
        <color indexed="64"/>
      </top>
      <bottom/>
      <diagonal/>
    </border>
  </borders>
  <cellStyleXfs count="5">
    <xf numFmtId="0" fontId="0" fillId="0" borderId="0"/>
    <xf numFmtId="44" fontId="1" fillId="0" borderId="0" applyFont="0" applyFill="0" applyBorder="0" applyAlignment="0" applyProtection="0"/>
    <xf numFmtId="0" fontId="3"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414">
    <xf numFmtId="0" fontId="0" fillId="0" borderId="0" xfId="0"/>
    <xf numFmtId="0" fontId="0" fillId="0" borderId="0" xfId="0" applyAlignment="1">
      <alignment wrapText="1"/>
    </xf>
    <xf numFmtId="0" fontId="2" fillId="0" borderId="0" xfId="0" applyFont="1" applyAlignment="1">
      <alignment vertical="center"/>
    </xf>
    <xf numFmtId="0" fontId="2" fillId="0" borderId="0" xfId="0" applyFont="1" applyAlignment="1">
      <alignment horizontal="center" vertical="center" wrapText="1"/>
    </xf>
    <xf numFmtId="0" fontId="3" fillId="0" borderId="0" xfId="2" applyAlignment="1">
      <alignment horizontal="center" vertical="center" wrapText="1"/>
    </xf>
    <xf numFmtId="0" fontId="0" fillId="0" borderId="0" xfId="0" applyAlignment="1">
      <alignment vertical="center"/>
    </xf>
    <xf numFmtId="0" fontId="0" fillId="0" borderId="0" xfId="0" applyAlignment="1">
      <alignment vertical="center" wrapText="1"/>
    </xf>
    <xf numFmtId="3" fontId="0" fillId="0" borderId="0" xfId="1" applyNumberFormat="1" applyFont="1" applyAlignment="1"/>
    <xf numFmtId="3" fontId="0" fillId="0" borderId="0" xfId="0" applyNumberFormat="1"/>
    <xf numFmtId="2" fontId="0" fillId="0" borderId="0" xfId="0" applyNumberFormat="1"/>
    <xf numFmtId="0" fontId="0" fillId="0" borderId="0" xfId="0" applyAlignment="1">
      <alignment vertical="top"/>
    </xf>
    <xf numFmtId="0" fontId="2" fillId="0" borderId="0" xfId="0" applyFont="1" applyAlignment="1">
      <alignment wrapText="1"/>
    </xf>
    <xf numFmtId="0" fontId="2" fillId="0" borderId="2" xfId="0" applyFont="1" applyBorder="1" applyAlignment="1">
      <alignment horizontal="center" vertical="center" wrapText="1"/>
    </xf>
    <xf numFmtId="3" fontId="0" fillId="0" borderId="0" xfId="1" applyNumberFormat="1" applyFont="1" applyBorder="1" applyAlignment="1"/>
    <xf numFmtId="2" fontId="0" fillId="0" borderId="4" xfId="0" applyNumberFormat="1" applyBorder="1"/>
    <xf numFmtId="0" fontId="0" fillId="0" borderId="6" xfId="0" applyBorder="1" applyAlignment="1">
      <alignment vertical="center"/>
    </xf>
    <xf numFmtId="0" fontId="0" fillId="0" borderId="6" xfId="0" applyBorder="1"/>
    <xf numFmtId="3" fontId="0" fillId="0" borderId="6" xfId="1" applyNumberFormat="1" applyFont="1" applyBorder="1" applyAlignment="1"/>
    <xf numFmtId="3" fontId="0" fillId="0" borderId="6" xfId="0" applyNumberFormat="1" applyBorder="1"/>
    <xf numFmtId="2" fontId="0" fillId="0" borderId="7" xfId="0" applyNumberFormat="1" applyBorder="1"/>
    <xf numFmtId="0" fontId="0" fillId="0" borderId="6" xfId="0" applyBorder="1" applyAlignment="1">
      <alignment vertical="center" wrapText="1"/>
    </xf>
    <xf numFmtId="0" fontId="0" fillId="2" borderId="9" xfId="0" applyFill="1" applyBorder="1" applyAlignment="1">
      <alignment wrapText="1"/>
    </xf>
    <xf numFmtId="0" fontId="0" fillId="0" borderId="9" xfId="0" applyBorder="1" applyAlignment="1">
      <alignment wrapText="1"/>
    </xf>
    <xf numFmtId="0" fontId="0" fillId="3" borderId="9" xfId="0" applyFill="1" applyBorder="1" applyAlignment="1">
      <alignment wrapText="1"/>
    </xf>
    <xf numFmtId="0" fontId="0" fillId="4" borderId="9" xfId="0" applyFill="1" applyBorder="1" applyAlignment="1">
      <alignment wrapText="1"/>
    </xf>
    <xf numFmtId="0" fontId="0" fillId="2" borderId="15" xfId="0" applyFill="1" applyBorder="1" applyAlignment="1">
      <alignment wrapText="1"/>
    </xf>
    <xf numFmtId="0" fontId="2" fillId="0" borderId="12" xfId="0" applyFont="1" applyBorder="1" applyAlignment="1">
      <alignment horizontal="center" wrapText="1"/>
    </xf>
    <xf numFmtId="0" fontId="0" fillId="2" borderId="16" xfId="0" applyFill="1" applyBorder="1" applyAlignment="1">
      <alignment wrapText="1"/>
    </xf>
    <xf numFmtId="0" fontId="0" fillId="2" borderId="10" xfId="0" applyFill="1" applyBorder="1" applyAlignment="1">
      <alignment wrapText="1"/>
    </xf>
    <xf numFmtId="0" fontId="0" fillId="0" borderId="10" xfId="0" applyBorder="1" applyAlignment="1">
      <alignment wrapText="1"/>
    </xf>
    <xf numFmtId="0" fontId="0" fillId="3" borderId="10" xfId="0" applyFill="1" applyBorder="1" applyAlignment="1">
      <alignment wrapText="1"/>
    </xf>
    <xf numFmtId="0" fontId="0" fillId="4" borderId="10" xfId="0" applyFill="1" applyBorder="1" applyAlignment="1">
      <alignment wrapText="1"/>
    </xf>
    <xf numFmtId="0" fontId="2" fillId="0" borderId="11" xfId="0" applyFont="1" applyBorder="1" applyAlignment="1">
      <alignment horizontal="center" wrapText="1"/>
    </xf>
    <xf numFmtId="0" fontId="2" fillId="0" borderId="13" xfId="0" applyFont="1" applyBorder="1" applyAlignment="1">
      <alignment horizontal="center" wrapText="1"/>
    </xf>
    <xf numFmtId="0" fontId="0" fillId="0" borderId="8" xfId="0" applyBorder="1" applyAlignment="1">
      <alignment wrapText="1"/>
    </xf>
    <xf numFmtId="0" fontId="0" fillId="0" borderId="3" xfId="0" applyBorder="1" applyAlignment="1">
      <alignment horizontal="left" vertical="center"/>
    </xf>
    <xf numFmtId="9" fontId="0" fillId="0" borderId="0" xfId="3" applyFont="1" applyBorder="1"/>
    <xf numFmtId="0" fontId="0" fillId="4" borderId="9" xfId="0" applyFill="1" applyBorder="1"/>
    <xf numFmtId="0" fontId="0" fillId="4" borderId="10" xfId="0" applyFill="1" applyBorder="1"/>
    <xf numFmtId="0" fontId="0" fillId="0" borderId="9" xfId="0" applyBorder="1" applyAlignment="1">
      <alignment vertical="center"/>
    </xf>
    <xf numFmtId="0" fontId="0" fillId="0" borderId="9" xfId="0" applyBorder="1" applyAlignment="1">
      <alignment vertical="center" wrapText="1"/>
    </xf>
    <xf numFmtId="0" fontId="0" fillId="0" borderId="9" xfId="0" applyBorder="1"/>
    <xf numFmtId="0" fontId="2" fillId="0" borderId="25" xfId="0" applyFont="1" applyBorder="1" applyAlignment="1">
      <alignment horizontal="center" vertical="center"/>
    </xf>
    <xf numFmtId="0" fontId="2" fillId="0" borderId="25" xfId="0" applyFont="1" applyBorder="1" applyAlignment="1">
      <alignment horizontal="center" vertical="center" wrapText="1"/>
    </xf>
    <xf numFmtId="0" fontId="0" fillId="0" borderId="0" xfId="0" applyAlignment="1">
      <alignment horizontal="center"/>
    </xf>
    <xf numFmtId="0" fontId="0" fillId="0" borderId="5" xfId="0" applyBorder="1" applyAlignment="1">
      <alignment horizontal="left" vertical="center"/>
    </xf>
    <xf numFmtId="0" fontId="0" fillId="0" borderId="0" xfId="0" applyAlignment="1">
      <alignment horizontal="center" vertical="center"/>
    </xf>
    <xf numFmtId="164" fontId="0" fillId="0" borderId="9" xfId="4" applyNumberFormat="1" applyFont="1" applyBorder="1"/>
    <xf numFmtId="164" fontId="0" fillId="0" borderId="0" xfId="0" applyNumberFormat="1"/>
    <xf numFmtId="0" fontId="2" fillId="0" borderId="28" xfId="0" applyFont="1" applyBorder="1" applyAlignment="1">
      <alignment horizontal="center" wrapText="1"/>
    </xf>
    <xf numFmtId="0" fontId="0" fillId="2" borderId="29" xfId="0" applyFill="1" applyBorder="1" applyAlignment="1">
      <alignment wrapText="1"/>
    </xf>
    <xf numFmtId="0" fontId="0" fillId="2" borderId="30" xfId="0" applyFill="1" applyBorder="1" applyAlignment="1">
      <alignment wrapText="1"/>
    </xf>
    <xf numFmtId="0" fontId="0" fillId="0" borderId="30" xfId="0" applyBorder="1" applyAlignment="1">
      <alignment wrapText="1"/>
    </xf>
    <xf numFmtId="0" fontId="0" fillId="3" borderId="30" xfId="0" applyFill="1" applyBorder="1" applyAlignment="1">
      <alignment wrapText="1"/>
    </xf>
    <xf numFmtId="0" fontId="0" fillId="4" borderId="30" xfId="0" applyFill="1" applyBorder="1" applyAlignment="1">
      <alignment wrapText="1"/>
    </xf>
    <xf numFmtId="0" fontId="0" fillId="4" borderId="30" xfId="0" applyFill="1" applyBorder="1"/>
    <xf numFmtId="0" fontId="2" fillId="0" borderId="31" xfId="0" applyFont="1" applyBorder="1" applyAlignment="1">
      <alignment horizontal="center" wrapText="1"/>
    </xf>
    <xf numFmtId="0" fontId="2" fillId="0" borderId="32" xfId="0" applyFont="1" applyBorder="1" applyAlignment="1">
      <alignment horizontal="center" wrapText="1"/>
    </xf>
    <xf numFmtId="0" fontId="2" fillId="0" borderId="33" xfId="0" applyFont="1" applyBorder="1" applyAlignment="1">
      <alignment horizontal="center" wrapText="1"/>
    </xf>
    <xf numFmtId="164" fontId="0" fillId="0" borderId="9" xfId="4" applyNumberFormat="1" applyFont="1" applyFill="1" applyBorder="1"/>
    <xf numFmtId="164" fontId="0" fillId="0" borderId="0" xfId="4" applyNumberFormat="1" applyFont="1" applyFill="1" applyBorder="1"/>
    <xf numFmtId="0" fontId="0" fillId="0" borderId="27" xfId="0" applyBorder="1" applyAlignment="1">
      <alignment vertical="center" wrapText="1"/>
    </xf>
    <xf numFmtId="0" fontId="0" fillId="0" borderId="27" xfId="0" applyBorder="1" applyAlignment="1">
      <alignment vertical="center"/>
    </xf>
    <xf numFmtId="164" fontId="0" fillId="0" borderId="27" xfId="4" applyNumberFormat="1" applyFont="1" applyBorder="1"/>
    <xf numFmtId="164" fontId="0" fillId="0" borderId="0" xfId="4" applyNumberFormat="1" applyFont="1" applyBorder="1"/>
    <xf numFmtId="0" fontId="0" fillId="0" borderId="0" xfId="0" applyAlignment="1">
      <alignment horizontal="right"/>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right" vertical="center"/>
    </xf>
    <xf numFmtId="164" fontId="0" fillId="0" borderId="1" xfId="0" applyNumberFormat="1" applyBorder="1"/>
    <xf numFmtId="14" fontId="0" fillId="0" borderId="0" xfId="0" applyNumberFormat="1"/>
    <xf numFmtId="14" fontId="0" fillId="0" borderId="0" xfId="0" applyNumberFormat="1" applyAlignment="1">
      <alignment wrapText="1"/>
    </xf>
    <xf numFmtId="165" fontId="0" fillId="0" borderId="1" xfId="1" applyNumberFormat="1" applyFont="1" applyBorder="1"/>
    <xf numFmtId="0" fontId="2" fillId="0" borderId="2" xfId="0" applyFont="1" applyBorder="1" applyAlignment="1">
      <alignment horizontal="center" vertical="center"/>
    </xf>
    <xf numFmtId="164" fontId="0" fillId="0" borderId="0" xfId="4" applyNumberFormat="1" applyFont="1" applyBorder="1" applyAlignment="1">
      <alignment vertical="center"/>
    </xf>
    <xf numFmtId="164" fontId="0" fillId="0" borderId="0" xfId="4" applyNumberFormat="1" applyFont="1" applyAlignment="1">
      <alignment vertical="center"/>
    </xf>
    <xf numFmtId="0" fontId="0" fillId="0" borderId="9" xfId="0" applyBorder="1" applyAlignment="1">
      <alignment horizontal="center" vertical="center"/>
    </xf>
    <xf numFmtId="0" fontId="0" fillId="0" borderId="9" xfId="0" applyBorder="1" applyAlignment="1">
      <alignment horizontal="center" vertical="center" wrapText="1"/>
    </xf>
    <xf numFmtId="0" fontId="0" fillId="0" borderId="27" xfId="0" applyBorder="1" applyAlignment="1">
      <alignment horizontal="center" vertical="center"/>
    </xf>
    <xf numFmtId="164" fontId="0" fillId="0" borderId="9" xfId="4" applyNumberFormat="1" applyFont="1" applyBorder="1" applyAlignment="1">
      <alignment vertical="center"/>
    </xf>
    <xf numFmtId="0" fontId="0" fillId="0" borderId="9" xfId="0" applyBorder="1" applyAlignment="1">
      <alignment horizontal="left" vertical="center"/>
    </xf>
    <xf numFmtId="0" fontId="0" fillId="0" borderId="9" xfId="0" applyBorder="1" applyAlignment="1">
      <alignment horizontal="left" vertical="center" wrapText="1"/>
    </xf>
    <xf numFmtId="0" fontId="0" fillId="5" borderId="0" xfId="0" applyFill="1" applyAlignment="1">
      <alignment vertical="center"/>
    </xf>
    <xf numFmtId="0" fontId="7" fillId="0" borderId="11" xfId="0" applyFont="1" applyBorder="1" applyAlignment="1">
      <alignment horizontal="center" wrapText="1"/>
    </xf>
    <xf numFmtId="0" fontId="7" fillId="0" borderId="12" xfId="0" applyFont="1" applyBorder="1" applyAlignment="1">
      <alignment horizontal="center" wrapText="1"/>
    </xf>
    <xf numFmtId="0" fontId="7" fillId="0" borderId="28" xfId="0" applyFont="1" applyBorder="1" applyAlignment="1">
      <alignment horizontal="center" wrapText="1"/>
    </xf>
    <xf numFmtId="0" fontId="7" fillId="0" borderId="13" xfId="0" applyFont="1" applyBorder="1" applyAlignment="1">
      <alignment horizontal="center" wrapText="1"/>
    </xf>
    <xf numFmtId="0" fontId="8" fillId="2" borderId="15" xfId="0" applyFont="1" applyFill="1" applyBorder="1" applyAlignment="1">
      <alignment wrapText="1"/>
    </xf>
    <xf numFmtId="0" fontId="8" fillId="2" borderId="29" xfId="0" applyFont="1" applyFill="1" applyBorder="1" applyAlignment="1">
      <alignment wrapText="1"/>
    </xf>
    <xf numFmtId="0" fontId="8" fillId="2" borderId="16" xfId="0" applyFont="1" applyFill="1" applyBorder="1" applyAlignment="1">
      <alignment wrapText="1"/>
    </xf>
    <xf numFmtId="0" fontId="8" fillId="2" borderId="9" xfId="0" applyFont="1" applyFill="1" applyBorder="1" applyAlignment="1">
      <alignment wrapText="1"/>
    </xf>
    <xf numFmtId="0" fontId="8" fillId="2" borderId="30" xfId="0" applyFont="1" applyFill="1" applyBorder="1" applyAlignment="1">
      <alignment wrapText="1"/>
    </xf>
    <xf numFmtId="0" fontId="8" fillId="2" borderId="10" xfId="0" applyFont="1" applyFill="1" applyBorder="1" applyAlignment="1">
      <alignment wrapText="1"/>
    </xf>
    <xf numFmtId="0" fontId="8" fillId="0" borderId="8" xfId="0" applyFont="1" applyBorder="1" applyAlignment="1">
      <alignment wrapText="1"/>
    </xf>
    <xf numFmtId="0" fontId="8" fillId="0" borderId="9" xfId="0" applyFont="1" applyBorder="1" applyAlignment="1">
      <alignment wrapText="1"/>
    </xf>
    <xf numFmtId="0" fontId="8" fillId="0" borderId="30" xfId="0" applyFont="1" applyBorder="1" applyAlignment="1">
      <alignment wrapText="1"/>
    </xf>
    <xf numFmtId="0" fontId="8" fillId="0" borderId="10" xfId="0" applyFont="1" applyBorder="1" applyAlignment="1">
      <alignment wrapText="1"/>
    </xf>
    <xf numFmtId="0" fontId="8" fillId="3" borderId="9" xfId="0" applyFont="1" applyFill="1" applyBorder="1" applyAlignment="1">
      <alignment wrapText="1"/>
    </xf>
    <xf numFmtId="0" fontId="8" fillId="3" borderId="30" xfId="0" applyFont="1" applyFill="1" applyBorder="1" applyAlignment="1">
      <alignment wrapText="1"/>
    </xf>
    <xf numFmtId="0" fontId="8" fillId="3" borderId="10" xfId="0" applyFont="1" applyFill="1" applyBorder="1" applyAlignment="1">
      <alignment wrapText="1"/>
    </xf>
    <xf numFmtId="0" fontId="8" fillId="0" borderId="8" xfId="0" applyFont="1" applyBorder="1" applyAlignment="1">
      <alignment vertical="center" textRotation="90" wrapText="1"/>
    </xf>
    <xf numFmtId="0" fontId="8" fillId="4" borderId="9" xfId="0" applyFont="1" applyFill="1" applyBorder="1" applyAlignment="1">
      <alignment wrapText="1"/>
    </xf>
    <xf numFmtId="0" fontId="8" fillId="4" borderId="30" xfId="0" applyFont="1" applyFill="1" applyBorder="1" applyAlignment="1">
      <alignment wrapText="1"/>
    </xf>
    <xf numFmtId="0" fontId="8" fillId="4" borderId="10" xfId="0" applyFont="1" applyFill="1" applyBorder="1" applyAlignment="1">
      <alignment wrapText="1"/>
    </xf>
    <xf numFmtId="0" fontId="8" fillId="4" borderId="9" xfId="0" applyFont="1" applyFill="1" applyBorder="1"/>
    <xf numFmtId="0" fontId="8" fillId="4" borderId="30" xfId="0" applyFont="1" applyFill="1" applyBorder="1"/>
    <xf numFmtId="0" fontId="8" fillId="4" borderId="10" xfId="0" applyFont="1" applyFill="1" applyBorder="1"/>
    <xf numFmtId="0" fontId="8" fillId="4" borderId="12" xfId="0" applyFont="1" applyFill="1" applyBorder="1" applyAlignment="1">
      <alignment wrapText="1"/>
    </xf>
    <xf numFmtId="0" fontId="8" fillId="4" borderId="28" xfId="0" applyFont="1" applyFill="1" applyBorder="1" applyAlignment="1">
      <alignment wrapText="1"/>
    </xf>
    <xf numFmtId="0" fontId="8" fillId="4" borderId="13" xfId="0" applyFont="1" applyFill="1" applyBorder="1" applyAlignment="1">
      <alignment wrapText="1"/>
    </xf>
    <xf numFmtId="0" fontId="0" fillId="0" borderId="8" xfId="0" applyBorder="1"/>
    <xf numFmtId="0" fontId="0" fillId="0" borderId="10" xfId="0" applyBorder="1"/>
    <xf numFmtId="165" fontId="0" fillId="0" borderId="9" xfId="0" applyNumberFormat="1" applyBorder="1"/>
    <xf numFmtId="165" fontId="0" fillId="0" borderId="10" xfId="0" applyNumberFormat="1" applyBorder="1"/>
    <xf numFmtId="0" fontId="0" fillId="0" borderId="11" xfId="0" applyBorder="1"/>
    <xf numFmtId="165" fontId="0" fillId="0" borderId="12" xfId="0" applyNumberFormat="1" applyBorder="1"/>
    <xf numFmtId="165" fontId="0" fillId="0" borderId="13" xfId="0" applyNumberFormat="1" applyBorder="1"/>
    <xf numFmtId="164" fontId="0" fillId="0" borderId="10" xfId="4" applyNumberFormat="1" applyFont="1" applyBorder="1"/>
    <xf numFmtId="0" fontId="0" fillId="0" borderId="12" xfId="0" applyBorder="1" applyAlignment="1">
      <alignment wrapText="1"/>
    </xf>
    <xf numFmtId="0" fontId="2" fillId="0" borderId="8" xfId="0" applyFont="1" applyBorder="1"/>
    <xf numFmtId="0" fontId="2" fillId="0" borderId="9" xfId="0" applyFont="1" applyBorder="1" applyAlignment="1">
      <alignment wrapText="1"/>
    </xf>
    <xf numFmtId="0" fontId="2" fillId="0" borderId="9" xfId="0" applyFont="1" applyBorder="1"/>
    <xf numFmtId="0" fontId="2" fillId="0" borderId="10" xfId="0" applyFont="1" applyBorder="1"/>
    <xf numFmtId="164" fontId="0" fillId="0" borderId="6" xfId="4" applyNumberFormat="1" applyFont="1" applyBorder="1" applyAlignment="1">
      <alignment vertical="center"/>
    </xf>
    <xf numFmtId="0" fontId="0" fillId="0" borderId="6" xfId="0" applyBorder="1" applyAlignment="1">
      <alignment horizontal="right"/>
    </xf>
    <xf numFmtId="0" fontId="2" fillId="0" borderId="9" xfId="0" applyFont="1" applyBorder="1" applyAlignment="1">
      <alignment horizontal="right" wrapText="1"/>
    </xf>
    <xf numFmtId="165" fontId="0" fillId="0" borderId="9" xfId="1" applyNumberFormat="1" applyFont="1" applyBorder="1"/>
    <xf numFmtId="0" fontId="0" fillId="0" borderId="9" xfId="0" applyBorder="1" applyAlignment="1">
      <alignment horizontal="left" wrapText="1"/>
    </xf>
    <xf numFmtId="166" fontId="0" fillId="0" borderId="0" xfId="0" applyNumberFormat="1"/>
    <xf numFmtId="164" fontId="0" fillId="0" borderId="9" xfId="0" applyNumberFormat="1" applyBorder="1"/>
    <xf numFmtId="164" fontId="0" fillId="0" borderId="10" xfId="0" applyNumberFormat="1" applyBorder="1"/>
    <xf numFmtId="0" fontId="2" fillId="0" borderId="25" xfId="0" applyFont="1" applyBorder="1" applyAlignment="1">
      <alignment horizontal="right" wrapText="1"/>
    </xf>
    <xf numFmtId="0" fontId="2" fillId="0" borderId="12" xfId="0" applyFont="1" applyBorder="1" applyAlignment="1">
      <alignment horizontal="right" wrapText="1"/>
    </xf>
    <xf numFmtId="165" fontId="1" fillId="0" borderId="9" xfId="1" applyNumberFormat="1" applyFont="1" applyBorder="1"/>
    <xf numFmtId="0" fontId="2" fillId="0" borderId="39" xfId="0" applyFont="1" applyBorder="1" applyAlignment="1">
      <alignment horizontal="right" wrapText="1"/>
    </xf>
    <xf numFmtId="165" fontId="0" fillId="0" borderId="25" xfId="0" applyNumberFormat="1" applyBorder="1"/>
    <xf numFmtId="165" fontId="0" fillId="0" borderId="39" xfId="0" applyNumberFormat="1" applyBorder="1"/>
    <xf numFmtId="165" fontId="0" fillId="0" borderId="40" xfId="0" applyNumberFormat="1" applyBorder="1"/>
    <xf numFmtId="165" fontId="0" fillId="0" borderId="26" xfId="0" applyNumberFormat="1" applyBorder="1"/>
    <xf numFmtId="0" fontId="0" fillId="0" borderId="42" xfId="0" applyBorder="1"/>
    <xf numFmtId="43" fontId="0" fillId="0" borderId="42" xfId="4" applyFont="1" applyBorder="1"/>
    <xf numFmtId="43" fontId="0" fillId="0" borderId="43" xfId="4" applyFont="1" applyBorder="1"/>
    <xf numFmtId="0" fontId="2" fillId="0" borderId="8" xfId="0" applyFont="1" applyBorder="1" applyAlignment="1">
      <alignment horizontal="center"/>
    </xf>
    <xf numFmtId="0" fontId="2" fillId="0" borderId="9" xfId="0" applyFont="1" applyBorder="1" applyAlignment="1">
      <alignment horizontal="right"/>
    </xf>
    <xf numFmtId="9" fontId="2" fillId="0" borderId="9" xfId="0" applyNumberFormat="1" applyFont="1" applyBorder="1" applyAlignment="1">
      <alignment horizontal="center"/>
    </xf>
    <xf numFmtId="9" fontId="2" fillId="0" borderId="9" xfId="3" applyFont="1" applyBorder="1" applyAlignment="1">
      <alignment horizontal="center"/>
    </xf>
    <xf numFmtId="9" fontId="2" fillId="0" borderId="10" xfId="3" applyFont="1" applyBorder="1" applyAlignment="1">
      <alignment horizontal="center"/>
    </xf>
    <xf numFmtId="164" fontId="2" fillId="0" borderId="9" xfId="4" applyNumberFormat="1" applyFont="1" applyBorder="1" applyAlignment="1">
      <alignment horizontal="center"/>
    </xf>
    <xf numFmtId="164" fontId="2" fillId="0" borderId="10" xfId="4" applyNumberFormat="1" applyFont="1" applyBorder="1" applyAlignment="1">
      <alignment horizontal="center"/>
    </xf>
    <xf numFmtId="165" fontId="1" fillId="0" borderId="10" xfId="1" applyNumberFormat="1" applyFont="1" applyBorder="1"/>
    <xf numFmtId="165" fontId="0" fillId="0" borderId="10" xfId="1" applyNumberFormat="1" applyFont="1" applyBorder="1"/>
    <xf numFmtId="0" fontId="2" fillId="0" borderId="20" xfId="0" applyFont="1" applyBorder="1"/>
    <xf numFmtId="0" fontId="2" fillId="0" borderId="24" xfId="0" applyFont="1" applyBorder="1"/>
    <xf numFmtId="0" fontId="0" fillId="0" borderId="2" xfId="0" applyBorder="1"/>
    <xf numFmtId="0" fontId="0" fillId="0" borderId="2" xfId="0" applyBorder="1" applyAlignment="1">
      <alignment wrapText="1"/>
    </xf>
    <xf numFmtId="0" fontId="0" fillId="0" borderId="6" xfId="0" applyBorder="1" applyAlignment="1">
      <alignment wrapText="1"/>
    </xf>
    <xf numFmtId="3" fontId="2" fillId="0" borderId="38" xfId="0" applyNumberFormat="1" applyFont="1" applyBorder="1" applyAlignment="1">
      <alignment horizontal="center"/>
    </xf>
    <xf numFmtId="3" fontId="0" fillId="0" borderId="41" xfId="0" applyNumberFormat="1" applyBorder="1"/>
    <xf numFmtId="3" fontId="0" fillId="0" borderId="37" xfId="0" applyNumberFormat="1" applyBorder="1"/>
    <xf numFmtId="0" fontId="2" fillId="0" borderId="9" xfId="0" applyFont="1" applyBorder="1" applyAlignment="1">
      <alignment horizontal="center" wrapText="1"/>
    </xf>
    <xf numFmtId="0" fontId="2" fillId="2" borderId="9" xfId="0" applyFont="1" applyFill="1" applyBorder="1" applyAlignment="1">
      <alignment horizontal="center" wrapText="1"/>
    </xf>
    <xf numFmtId="165" fontId="0" fillId="2" borderId="9" xfId="1" applyNumberFormat="1" applyFont="1" applyFill="1" applyBorder="1"/>
    <xf numFmtId="0" fontId="0" fillId="6" borderId="0" xfId="0" applyFill="1"/>
    <xf numFmtId="0" fontId="0" fillId="6" borderId="24" xfId="0" applyFill="1" applyBorder="1"/>
    <xf numFmtId="0" fontId="0" fillId="6" borderId="8" xfId="0" applyFill="1" applyBorder="1"/>
    <xf numFmtId="0" fontId="2" fillId="6" borderId="9" xfId="0" applyFont="1" applyFill="1" applyBorder="1" applyAlignment="1">
      <alignment horizontal="center"/>
    </xf>
    <xf numFmtId="165" fontId="0" fillId="6" borderId="9" xfId="1" applyNumberFormat="1" applyFont="1" applyFill="1" applyBorder="1"/>
    <xf numFmtId="165" fontId="0" fillId="6" borderId="10" xfId="0" applyNumberFormat="1" applyFill="1" applyBorder="1"/>
    <xf numFmtId="0" fontId="2" fillId="6" borderId="8" xfId="0" applyFont="1" applyFill="1" applyBorder="1" applyAlignment="1">
      <alignment horizontal="right"/>
    </xf>
    <xf numFmtId="9" fontId="0" fillId="6" borderId="9" xfId="0" applyNumberFormat="1" applyFill="1" applyBorder="1" applyAlignment="1">
      <alignment wrapText="1"/>
    </xf>
    <xf numFmtId="0" fontId="2" fillId="6" borderId="11" xfId="0" applyFont="1" applyFill="1" applyBorder="1" applyAlignment="1">
      <alignment horizontal="right"/>
    </xf>
    <xf numFmtId="9" fontId="0" fillId="6" borderId="12" xfId="3" applyFont="1" applyFill="1" applyBorder="1" applyAlignment="1">
      <alignment wrapText="1"/>
    </xf>
    <xf numFmtId="165" fontId="0" fillId="6" borderId="12" xfId="1" applyNumberFormat="1" applyFont="1" applyFill="1" applyBorder="1"/>
    <xf numFmtId="165" fontId="0" fillId="6" borderId="13" xfId="0" applyNumberFormat="1" applyFill="1" applyBorder="1"/>
    <xf numFmtId="0" fontId="2" fillId="6" borderId="23" xfId="0" applyFont="1" applyFill="1" applyBorder="1" applyAlignment="1">
      <alignment horizontal="right"/>
    </xf>
    <xf numFmtId="9" fontId="0" fillId="6" borderId="31" xfId="0" applyNumberFormat="1" applyFill="1" applyBorder="1" applyAlignment="1">
      <alignment wrapText="1"/>
    </xf>
    <xf numFmtId="165" fontId="0" fillId="6" borderId="31" xfId="0" applyNumberFormat="1" applyFill="1" applyBorder="1"/>
    <xf numFmtId="165" fontId="0" fillId="6" borderId="33" xfId="0" applyNumberFormat="1" applyFill="1" applyBorder="1"/>
    <xf numFmtId="0" fontId="2" fillId="0" borderId="0" xfId="0" applyFont="1" applyAlignment="1">
      <alignment vertical="center" wrapText="1"/>
    </xf>
    <xf numFmtId="0" fontId="0" fillId="0" borderId="0" xfId="0" applyAlignment="1">
      <alignment horizontal="left" vertical="center"/>
    </xf>
    <xf numFmtId="164" fontId="2" fillId="0" borderId="0" xfId="4" applyNumberFormat="1" applyFont="1" applyBorder="1"/>
    <xf numFmtId="0" fontId="0" fillId="0" borderId="3" xfId="0" applyBorder="1"/>
    <xf numFmtId="164" fontId="0" fillId="0" borderId="6" xfId="4" applyNumberFormat="1" applyFont="1" applyFill="1" applyBorder="1"/>
    <xf numFmtId="164" fontId="0" fillId="0" borderId="6" xfId="4" applyNumberFormat="1" applyFont="1" applyBorder="1"/>
    <xf numFmtId="164" fontId="2" fillId="0" borderId="6" xfId="4" applyNumberFormat="1" applyFont="1" applyBorder="1"/>
    <xf numFmtId="0" fontId="0" fillId="0" borderId="5" xfId="0" applyBorder="1"/>
    <xf numFmtId="0" fontId="2" fillId="0" borderId="3" xfId="0" applyFont="1" applyBorder="1" applyAlignment="1">
      <alignment horizontal="center" vertical="center" wrapText="1"/>
    </xf>
    <xf numFmtId="0" fontId="2" fillId="0" borderId="0" xfId="0" applyFont="1" applyAlignment="1">
      <alignment horizontal="center" vertical="center"/>
    </xf>
    <xf numFmtId="0" fontId="2" fillId="0" borderId="4" xfId="0" applyFont="1" applyBorder="1" applyAlignment="1">
      <alignment horizontal="center" vertical="center" wrapText="1"/>
    </xf>
    <xf numFmtId="0" fontId="2" fillId="0" borderId="3" xfId="0" applyFont="1" applyBorder="1" applyAlignment="1">
      <alignment vertical="center" wrapText="1"/>
    </xf>
    <xf numFmtId="3" fontId="2" fillId="0" borderId="0" xfId="0" applyNumberFormat="1" applyFont="1"/>
    <xf numFmtId="3" fontId="2" fillId="0" borderId="6" xfId="0" applyNumberFormat="1" applyFont="1" applyBorder="1"/>
    <xf numFmtId="0" fontId="2" fillId="0" borderId="45" xfId="0" applyFont="1" applyBorder="1" applyAlignment="1">
      <alignment horizontal="center" vertical="center" wrapText="1"/>
    </xf>
    <xf numFmtId="0" fontId="0" fillId="0" borderId="46" xfId="0" applyBorder="1" applyAlignment="1">
      <alignment horizontal="center" vertical="center"/>
    </xf>
    <xf numFmtId="0" fontId="2" fillId="0" borderId="48" xfId="0" applyFont="1" applyBorder="1" applyAlignment="1">
      <alignment horizontal="center" vertical="center" wrapText="1"/>
    </xf>
    <xf numFmtId="43" fontId="0" fillId="0" borderId="30" xfId="4" applyFont="1" applyFill="1" applyBorder="1"/>
    <xf numFmtId="0" fontId="0" fillId="0" borderId="49" xfId="0" applyBorder="1" applyAlignment="1">
      <alignment horizontal="center" vertical="center"/>
    </xf>
    <xf numFmtId="43" fontId="0" fillId="0" borderId="29" xfId="4" applyFont="1" applyFill="1" applyBorder="1"/>
    <xf numFmtId="43" fontId="0" fillId="0" borderId="28" xfId="4" applyFont="1" applyFill="1" applyBorder="1"/>
    <xf numFmtId="43" fontId="0" fillId="0" borderId="0" xfId="4" applyFont="1"/>
    <xf numFmtId="164" fontId="0" fillId="0" borderId="0" xfId="4" applyNumberFormat="1" applyFont="1"/>
    <xf numFmtId="164" fontId="0" fillId="0" borderId="44" xfId="4" applyNumberFormat="1" applyFont="1" applyFill="1" applyBorder="1"/>
    <xf numFmtId="164" fontId="2" fillId="0" borderId="44" xfId="4" applyNumberFormat="1" applyFont="1" applyFill="1" applyBorder="1"/>
    <xf numFmtId="164" fontId="0" fillId="0" borderId="50" xfId="4" applyNumberFormat="1" applyFont="1" applyFill="1" applyBorder="1"/>
    <xf numFmtId="164" fontId="2" fillId="0" borderId="50" xfId="4" applyNumberFormat="1" applyFont="1" applyFill="1" applyBorder="1"/>
    <xf numFmtId="43" fontId="0" fillId="0" borderId="4" xfId="4" applyFont="1" applyBorder="1"/>
    <xf numFmtId="43" fontId="2" fillId="0" borderId="4" xfId="4" applyFont="1" applyBorder="1" applyAlignment="1">
      <alignment horizontal="center" vertical="center" wrapText="1"/>
    </xf>
    <xf numFmtId="0" fontId="2" fillId="0" borderId="0" xfId="0" applyFont="1" applyAlignment="1">
      <alignment horizontal="center" wrapText="1"/>
    </xf>
    <xf numFmtId="164" fontId="2" fillId="0" borderId="0" xfId="4" applyNumberFormat="1" applyFont="1" applyBorder="1" applyAlignment="1">
      <alignment horizontal="center" wrapText="1"/>
    </xf>
    <xf numFmtId="164" fontId="2" fillId="0" borderId="32" xfId="4" applyNumberFormat="1" applyFont="1" applyBorder="1" applyAlignment="1">
      <alignment horizontal="center" wrapText="1"/>
    </xf>
    <xf numFmtId="0" fontId="6" fillId="0" borderId="11" xfId="0" applyFont="1" applyBorder="1" applyAlignment="1">
      <alignment horizontal="center" wrapText="1"/>
    </xf>
    <xf numFmtId="0" fontId="6" fillId="0" borderId="12" xfId="0" applyFont="1" applyBorder="1" applyAlignment="1">
      <alignment horizontal="center" wrapText="1"/>
    </xf>
    <xf numFmtId="0" fontId="6" fillId="0" borderId="28" xfId="0" applyFont="1" applyBorder="1" applyAlignment="1">
      <alignment horizontal="center" wrapText="1"/>
    </xf>
    <xf numFmtId="0" fontId="6" fillId="0" borderId="13" xfId="0" applyFont="1" applyBorder="1" applyAlignment="1">
      <alignment horizontal="center" wrapText="1"/>
    </xf>
    <xf numFmtId="0" fontId="9" fillId="2" borderId="15" xfId="0" applyFont="1" applyFill="1" applyBorder="1" applyAlignment="1">
      <alignment wrapText="1"/>
    </xf>
    <xf numFmtId="0" fontId="9" fillId="2" borderId="29" xfId="0" applyFont="1" applyFill="1" applyBorder="1" applyAlignment="1">
      <alignment wrapText="1"/>
    </xf>
    <xf numFmtId="0" fontId="9" fillId="2" borderId="16" xfId="0" applyFont="1" applyFill="1" applyBorder="1" applyAlignment="1">
      <alignment wrapText="1"/>
    </xf>
    <xf numFmtId="0" fontId="9" fillId="2" borderId="9" xfId="0" applyFont="1" applyFill="1" applyBorder="1" applyAlignment="1">
      <alignment wrapText="1"/>
    </xf>
    <xf numFmtId="0" fontId="9" fillId="2" borderId="30" xfId="0" applyFont="1" applyFill="1" applyBorder="1" applyAlignment="1">
      <alignment wrapText="1"/>
    </xf>
    <xf numFmtId="0" fontId="9" fillId="2" borderId="10" xfId="0" applyFont="1" applyFill="1" applyBorder="1" applyAlignment="1">
      <alignment wrapText="1"/>
    </xf>
    <xf numFmtId="0" fontId="9" fillId="0" borderId="8" xfId="0" applyFont="1" applyBorder="1" applyAlignment="1">
      <alignment wrapText="1"/>
    </xf>
    <xf numFmtId="0" fontId="9" fillId="0" borderId="9" xfId="0" applyFont="1" applyBorder="1" applyAlignment="1">
      <alignment wrapText="1"/>
    </xf>
    <xf numFmtId="0" fontId="9" fillId="0" borderId="30" xfId="0" applyFont="1" applyBorder="1" applyAlignment="1">
      <alignment wrapText="1"/>
    </xf>
    <xf numFmtId="0" fontId="9" fillId="0" borderId="10" xfId="0" applyFont="1" applyBorder="1" applyAlignment="1">
      <alignment wrapText="1"/>
    </xf>
    <xf numFmtId="0" fontId="9" fillId="3" borderId="9" xfId="0" applyFont="1" applyFill="1" applyBorder="1" applyAlignment="1">
      <alignment wrapText="1"/>
    </xf>
    <xf numFmtId="0" fontId="9" fillId="3" borderId="30" xfId="0" applyFont="1" applyFill="1" applyBorder="1" applyAlignment="1">
      <alignment wrapText="1"/>
    </xf>
    <xf numFmtId="0" fontId="9" fillId="3" borderId="10" xfId="0" applyFont="1" applyFill="1" applyBorder="1" applyAlignment="1">
      <alignment wrapText="1"/>
    </xf>
    <xf numFmtId="0" fontId="9" fillId="4" borderId="9" xfId="0" applyFont="1" applyFill="1" applyBorder="1" applyAlignment="1">
      <alignment wrapText="1"/>
    </xf>
    <xf numFmtId="0" fontId="9" fillId="4" borderId="30" xfId="0" applyFont="1" applyFill="1" applyBorder="1" applyAlignment="1">
      <alignment wrapText="1"/>
    </xf>
    <xf numFmtId="0" fontId="9" fillId="4" borderId="10" xfId="0" applyFont="1" applyFill="1" applyBorder="1" applyAlignment="1">
      <alignment wrapText="1"/>
    </xf>
    <xf numFmtId="0" fontId="9" fillId="4" borderId="9" xfId="0" applyFont="1" applyFill="1" applyBorder="1"/>
    <xf numFmtId="0" fontId="9" fillId="4" borderId="30" xfId="0" applyFont="1" applyFill="1" applyBorder="1"/>
    <xf numFmtId="0" fontId="9" fillId="4" borderId="10" xfId="0" applyFont="1" applyFill="1" applyBorder="1"/>
    <xf numFmtId="0" fontId="0" fillId="0" borderId="46" xfId="0" applyBorder="1" applyAlignment="1">
      <alignment wrapText="1"/>
    </xf>
    <xf numFmtId="164" fontId="0" fillId="0" borderId="0" xfId="4" applyNumberFormat="1" applyFont="1" applyFill="1" applyBorder="1" applyAlignment="1">
      <alignment vertical="center"/>
    </xf>
    <xf numFmtId="0" fontId="2" fillId="0" borderId="27" xfId="0" applyFont="1" applyBorder="1" applyAlignment="1">
      <alignment horizontal="center" vertical="center" wrapText="1"/>
    </xf>
    <xf numFmtId="164" fontId="2" fillId="0" borderId="27" xfId="4" applyNumberFormat="1" applyFont="1" applyBorder="1" applyAlignment="1">
      <alignment horizontal="center" vertical="center" wrapText="1"/>
    </xf>
    <xf numFmtId="0" fontId="2" fillId="0" borderId="52" xfId="0" applyFont="1" applyBorder="1" applyAlignment="1">
      <alignment horizontal="center" vertical="center" wrapText="1"/>
    </xf>
    <xf numFmtId="164" fontId="2" fillId="0" borderId="53" xfId="4" applyNumberFormat="1" applyFont="1" applyBorder="1" applyAlignment="1">
      <alignment horizontal="center" vertical="center" wrapText="1"/>
    </xf>
    <xf numFmtId="0" fontId="0" fillId="0" borderId="51" xfId="0" applyBorder="1" applyAlignment="1">
      <alignment horizontal="left" vertical="center"/>
    </xf>
    <xf numFmtId="0" fontId="0" fillId="0" borderId="2" xfId="0" applyBorder="1" applyAlignment="1">
      <alignment vertical="center" wrapText="1"/>
    </xf>
    <xf numFmtId="0" fontId="0" fillId="0" borderId="2" xfId="0" applyBorder="1" applyAlignment="1">
      <alignment vertical="center"/>
    </xf>
    <xf numFmtId="164" fontId="0" fillId="0" borderId="2" xfId="4" applyNumberFormat="1" applyFont="1" applyBorder="1"/>
    <xf numFmtId="164" fontId="0" fillId="0" borderId="2" xfId="4" applyNumberFormat="1" applyFont="1" applyFill="1" applyBorder="1"/>
    <xf numFmtId="164" fontId="2" fillId="0" borderId="2" xfId="4" applyNumberFormat="1" applyFont="1" applyBorder="1"/>
    <xf numFmtId="3" fontId="0" fillId="0" borderId="2" xfId="0" applyNumberFormat="1" applyBorder="1"/>
    <xf numFmtId="43" fontId="0" fillId="0" borderId="54" xfId="4" applyFont="1" applyFill="1" applyBorder="1" applyAlignment="1">
      <alignment wrapText="1"/>
    </xf>
    <xf numFmtId="43" fontId="0" fillId="0" borderId="4" xfId="4" applyFont="1" applyFill="1" applyBorder="1" applyAlignment="1">
      <alignment wrapText="1"/>
    </xf>
    <xf numFmtId="43" fontId="0" fillId="0" borderId="7" xfId="4" applyFont="1" applyFill="1" applyBorder="1" applyAlignment="1">
      <alignment wrapText="1"/>
    </xf>
    <xf numFmtId="164" fontId="2" fillId="0" borderId="2" xfId="4" applyNumberFormat="1" applyFont="1" applyFill="1" applyBorder="1"/>
    <xf numFmtId="0" fontId="2" fillId="0" borderId="51" xfId="0" applyFont="1" applyBorder="1" applyAlignment="1">
      <alignment horizontal="left" vertical="center"/>
    </xf>
    <xf numFmtId="0" fontId="2" fillId="0" borderId="2" xfId="0" applyFont="1" applyBorder="1" applyAlignment="1">
      <alignment vertical="center" wrapText="1"/>
    </xf>
    <xf numFmtId="0" fontId="2" fillId="0" borderId="2" xfId="0" applyFont="1" applyBorder="1" applyAlignment="1">
      <alignment horizontal="right" wrapText="1"/>
    </xf>
    <xf numFmtId="164" fontId="2" fillId="0" borderId="2" xfId="4" applyNumberFormat="1" applyFont="1" applyFill="1" applyBorder="1" applyAlignment="1">
      <alignment vertical="center"/>
    </xf>
    <xf numFmtId="3" fontId="2" fillId="0" borderId="2" xfId="1" applyNumberFormat="1" applyFont="1" applyBorder="1" applyAlignment="1"/>
    <xf numFmtId="3" fontId="2" fillId="0" borderId="2" xfId="0" applyNumberFormat="1" applyFont="1" applyBorder="1"/>
    <xf numFmtId="2" fontId="2" fillId="0" borderId="54" xfId="0" applyNumberFormat="1" applyFont="1" applyBorder="1"/>
    <xf numFmtId="0" fontId="0" fillId="0" borderId="34" xfId="0" applyBorder="1" applyAlignment="1">
      <alignment horizontal="left" vertical="center"/>
    </xf>
    <xf numFmtId="0" fontId="0" fillId="0" borderId="35" xfId="0" applyBorder="1" applyAlignment="1">
      <alignment vertical="center" wrapText="1"/>
    </xf>
    <xf numFmtId="0" fontId="0" fillId="0" borderId="35" xfId="0" applyBorder="1" applyAlignment="1">
      <alignment vertical="center"/>
    </xf>
    <xf numFmtId="164" fontId="0" fillId="0" borderId="35" xfId="4" applyNumberFormat="1" applyFont="1" applyBorder="1" applyAlignment="1">
      <alignment vertical="center"/>
    </xf>
    <xf numFmtId="0" fontId="0" fillId="0" borderId="35" xfId="0" applyBorder="1"/>
    <xf numFmtId="164" fontId="0" fillId="0" borderId="35" xfId="4" applyNumberFormat="1" applyFont="1" applyBorder="1"/>
    <xf numFmtId="164" fontId="0" fillId="0" borderId="35" xfId="4" applyNumberFormat="1" applyFont="1" applyFill="1" applyBorder="1"/>
    <xf numFmtId="0" fontId="0" fillId="0" borderId="34" xfId="0" applyBorder="1"/>
    <xf numFmtId="0" fontId="0" fillId="0" borderId="35" xfId="0" applyBorder="1" applyAlignment="1">
      <alignment horizontal="right"/>
    </xf>
    <xf numFmtId="2" fontId="0" fillId="0" borderId="36" xfId="0" applyNumberFormat="1" applyBorder="1"/>
    <xf numFmtId="0" fontId="2" fillId="0" borderId="27" xfId="0" applyFont="1" applyBorder="1" applyAlignment="1">
      <alignment vertical="center"/>
    </xf>
    <xf numFmtId="0" fontId="2" fillId="0" borderId="27" xfId="0" applyFont="1" applyBorder="1" applyAlignment="1">
      <alignment horizontal="right"/>
    </xf>
    <xf numFmtId="0" fontId="2" fillId="0" borderId="27" xfId="0" applyFont="1" applyBorder="1" applyAlignment="1">
      <alignment vertical="center" wrapText="1"/>
    </xf>
    <xf numFmtId="164" fontId="2" fillId="0" borderId="27" xfId="4" applyNumberFormat="1" applyFont="1" applyBorder="1"/>
    <xf numFmtId="0" fontId="2" fillId="0" borderId="27" xfId="0" applyFont="1" applyBorder="1" applyAlignment="1">
      <alignment horizontal="center" vertical="center"/>
    </xf>
    <xf numFmtId="0" fontId="2" fillId="0" borderId="27" xfId="0" applyFont="1" applyBorder="1"/>
    <xf numFmtId="3" fontId="2" fillId="0" borderId="27" xfId="0" applyNumberFormat="1" applyFont="1" applyBorder="1"/>
    <xf numFmtId="3" fontId="0" fillId="0" borderId="0" xfId="0" applyNumberFormat="1" applyAlignment="1">
      <alignment wrapText="1"/>
    </xf>
    <xf numFmtId="3" fontId="2" fillId="0" borderId="0" xfId="0" applyNumberFormat="1" applyFont="1" applyAlignment="1">
      <alignment wrapText="1"/>
    </xf>
    <xf numFmtId="9" fontId="0" fillId="0" borderId="0" xfId="3" applyFont="1" applyAlignment="1">
      <alignment wrapText="1"/>
    </xf>
    <xf numFmtId="2" fontId="0" fillId="0" borderId="0" xfId="0" applyNumberFormat="1" applyAlignment="1">
      <alignment wrapText="1"/>
    </xf>
    <xf numFmtId="0" fontId="2" fillId="0" borderId="0" xfId="0" applyFont="1" applyAlignment="1">
      <alignment horizontal="right"/>
    </xf>
    <xf numFmtId="0" fontId="8" fillId="4" borderId="39" xfId="0" applyFont="1" applyFill="1" applyBorder="1" applyAlignment="1">
      <alignment wrapText="1"/>
    </xf>
    <xf numFmtId="0" fontId="8" fillId="4" borderId="15" xfId="0" applyFont="1" applyFill="1" applyBorder="1" applyAlignment="1">
      <alignment wrapText="1"/>
    </xf>
    <xf numFmtId="0" fontId="0" fillId="0" borderId="20" xfId="0" applyBorder="1" applyAlignment="1">
      <alignment wrapText="1"/>
    </xf>
    <xf numFmtId="0" fontId="0" fillId="0" borderId="27" xfId="0" applyBorder="1" applyAlignment="1">
      <alignment horizontal="left" vertical="center"/>
    </xf>
    <xf numFmtId="165" fontId="0" fillId="0" borderId="1" xfId="1" applyNumberFormat="1" applyFont="1" applyFill="1" applyBorder="1"/>
    <xf numFmtId="0" fontId="0" fillId="7" borderId="47" xfId="0" applyFill="1" applyBorder="1" applyAlignment="1">
      <alignment horizontal="center" vertical="center"/>
    </xf>
    <xf numFmtId="0" fontId="0" fillId="7" borderId="12" xfId="0" applyFill="1" applyBorder="1" applyAlignment="1">
      <alignment horizontal="left" vertical="center" wrapText="1"/>
    </xf>
    <xf numFmtId="0" fontId="0" fillId="7" borderId="12" xfId="0" applyFill="1" applyBorder="1" applyAlignment="1">
      <alignment vertical="top" wrapText="1"/>
    </xf>
    <xf numFmtId="0" fontId="0" fillId="7" borderId="12" xfId="0" applyFill="1" applyBorder="1" applyAlignment="1">
      <alignment vertical="center" wrapText="1"/>
    </xf>
    <xf numFmtId="0" fontId="0" fillId="7" borderId="12" xfId="0" applyFill="1" applyBorder="1" applyAlignment="1">
      <alignment vertical="center"/>
    </xf>
    <xf numFmtId="164" fontId="0" fillId="7" borderId="12" xfId="4" applyNumberFormat="1" applyFont="1" applyFill="1" applyBorder="1"/>
    <xf numFmtId="0" fontId="0" fillId="7" borderId="12" xfId="0" applyFill="1" applyBorder="1" applyAlignment="1">
      <alignment horizontal="center" vertical="center"/>
    </xf>
    <xf numFmtId="164" fontId="0" fillId="0" borderId="27" xfId="4" applyNumberFormat="1" applyFont="1" applyFill="1" applyBorder="1"/>
    <xf numFmtId="0" fontId="0" fillId="7" borderId="12" xfId="0" applyFill="1" applyBorder="1"/>
    <xf numFmtId="0" fontId="0" fillId="0" borderId="27" xfId="0" applyBorder="1"/>
    <xf numFmtId="0" fontId="0" fillId="5" borderId="0" xfId="0" applyFill="1" applyAlignment="1">
      <alignment horizontal="left" vertical="center"/>
    </xf>
    <xf numFmtId="0" fontId="0" fillId="5" borderId="3" xfId="0" applyFill="1" applyBorder="1" applyAlignment="1">
      <alignment horizontal="left" vertical="center"/>
    </xf>
    <xf numFmtId="0" fontId="0" fillId="5" borderId="46" xfId="0" applyFill="1" applyBorder="1" applyAlignment="1">
      <alignment horizontal="center" vertical="center"/>
    </xf>
    <xf numFmtId="0" fontId="8" fillId="0" borderId="34" xfId="0" applyFont="1" applyBorder="1" applyAlignment="1">
      <alignment horizontal="center" wrapText="1"/>
    </xf>
    <xf numFmtId="0" fontId="8" fillId="0" borderId="35" xfId="0" applyFont="1" applyBorder="1" applyAlignment="1">
      <alignment horizontal="center" wrapText="1"/>
    </xf>
    <xf numFmtId="0" fontId="8" fillId="0" borderId="36" xfId="0" applyFont="1" applyBorder="1" applyAlignment="1">
      <alignment horizontal="center" wrapText="1"/>
    </xf>
    <xf numFmtId="0" fontId="0" fillId="5" borderId="0" xfId="0" applyFill="1" applyAlignment="1">
      <alignment vertical="center" wrapText="1"/>
    </xf>
    <xf numFmtId="164" fontId="0" fillId="5" borderId="0" xfId="4" applyNumberFormat="1" applyFont="1" applyFill="1" applyBorder="1" applyAlignment="1">
      <alignment vertical="center"/>
    </xf>
    <xf numFmtId="164" fontId="0" fillId="5" borderId="0" xfId="4" applyNumberFormat="1" applyFont="1" applyFill="1" applyBorder="1"/>
    <xf numFmtId="164" fontId="2" fillId="5" borderId="0" xfId="4" applyNumberFormat="1" applyFont="1" applyFill="1" applyBorder="1"/>
    <xf numFmtId="0" fontId="0" fillId="5" borderId="3" xfId="0" applyFill="1" applyBorder="1"/>
    <xf numFmtId="0" fontId="0" fillId="5" borderId="0" xfId="0" applyFill="1"/>
    <xf numFmtId="0" fontId="0" fillId="5" borderId="0" xfId="0" applyFill="1" applyAlignment="1">
      <alignment horizontal="right"/>
    </xf>
    <xf numFmtId="2" fontId="0" fillId="5" borderId="4" xfId="0" applyNumberFormat="1" applyFill="1" applyBorder="1"/>
    <xf numFmtId="164" fontId="0" fillId="5" borderId="0" xfId="0" applyNumberFormat="1" applyFill="1"/>
    <xf numFmtId="0" fontId="0" fillId="8" borderId="3" xfId="0" applyFill="1" applyBorder="1" applyAlignment="1">
      <alignment horizontal="left" vertical="center"/>
    </xf>
    <xf numFmtId="0" fontId="0" fillId="0" borderId="35" xfId="0" applyBorder="1" applyAlignment="1">
      <alignment horizontal="left" vertical="center" wrapText="1"/>
    </xf>
    <xf numFmtId="0" fontId="0" fillId="0" borderId="0" xfId="0"/>
    <xf numFmtId="0" fontId="0" fillId="0" borderId="0" xfId="0" applyBorder="1"/>
    <xf numFmtId="0" fontId="0" fillId="0" borderId="0" xfId="0" applyBorder="1" applyAlignment="1">
      <alignment horizontal="left" vertical="center"/>
    </xf>
    <xf numFmtId="0" fontId="0" fillId="5" borderId="6" xfId="0" applyFill="1" applyBorder="1" applyAlignment="1">
      <alignment horizontal="left" vertical="center"/>
    </xf>
    <xf numFmtId="0" fontId="0" fillId="0" borderId="0" xfId="0" applyBorder="1" applyAlignment="1">
      <alignment vertical="center" wrapText="1"/>
    </xf>
    <xf numFmtId="0" fontId="0" fillId="0" borderId="0" xfId="0" applyBorder="1" applyAlignment="1">
      <alignment vertical="center"/>
    </xf>
    <xf numFmtId="3" fontId="0" fillId="0" borderId="0" xfId="0" applyNumberFormat="1" applyBorder="1"/>
    <xf numFmtId="3" fontId="2" fillId="0" borderId="0" xfId="0" applyNumberFormat="1" applyFont="1" applyBorder="1"/>
    <xf numFmtId="0" fontId="0" fillId="0" borderId="0" xfId="0" applyBorder="1" applyAlignment="1">
      <alignment horizontal="right"/>
    </xf>
    <xf numFmtId="0" fontId="2" fillId="0" borderId="0" xfId="0" applyFont="1" applyAlignment="1">
      <alignment horizontal="center"/>
    </xf>
    <xf numFmtId="0" fontId="0" fillId="3" borderId="14" xfId="0" applyFill="1" applyBorder="1" applyAlignment="1">
      <alignment horizontal="center" vertical="center" textRotation="90" wrapText="1"/>
    </xf>
    <xf numFmtId="0" fontId="2" fillId="0" borderId="1" xfId="0" applyFont="1" applyBorder="1" applyAlignment="1">
      <alignment horizontal="center"/>
    </xf>
    <xf numFmtId="0" fontId="0" fillId="7" borderId="27" xfId="0" applyFill="1" applyBorder="1" applyAlignment="1">
      <alignment vertical="top" wrapText="1"/>
    </xf>
    <xf numFmtId="164" fontId="0" fillId="7" borderId="27" xfId="4" applyNumberFormat="1" applyFont="1" applyFill="1" applyBorder="1"/>
    <xf numFmtId="0" fontId="0" fillId="7" borderId="27" xfId="0" applyFill="1" applyBorder="1"/>
    <xf numFmtId="43" fontId="0" fillId="0" borderId="52" xfId="4" applyFont="1" applyFill="1" applyBorder="1"/>
    <xf numFmtId="0" fontId="0" fillId="7" borderId="46" xfId="0" applyFill="1" applyBorder="1" applyAlignment="1">
      <alignment horizontal="center" vertical="center"/>
    </xf>
    <xf numFmtId="0" fontId="0" fillId="7" borderId="9" xfId="0" applyFill="1" applyBorder="1" applyAlignment="1">
      <alignment vertical="center" wrapText="1"/>
    </xf>
    <xf numFmtId="0" fontId="0" fillId="7" borderId="9" xfId="0" applyFill="1" applyBorder="1" applyAlignment="1">
      <alignment vertical="center"/>
    </xf>
    <xf numFmtId="0" fontId="0" fillId="7" borderId="9" xfId="0" applyFill="1" applyBorder="1" applyAlignment="1">
      <alignment horizontal="center" vertical="center"/>
    </xf>
    <xf numFmtId="0" fontId="10" fillId="0" borderId="0" xfId="0" applyFont="1" applyAlignment="1">
      <alignment horizontal="left" vertical="center" wrapText="1"/>
    </xf>
    <xf numFmtId="0" fontId="10" fillId="0" borderId="0" xfId="0" applyFont="1" applyAlignment="1">
      <alignment vertical="center" wrapText="1"/>
    </xf>
    <xf numFmtId="0" fontId="0" fillId="0" borderId="46" xfId="0" applyFill="1" applyBorder="1" applyAlignment="1">
      <alignment horizontal="center" vertical="center"/>
    </xf>
    <xf numFmtId="0" fontId="0" fillId="0" borderId="27" xfId="0" applyFill="1" applyBorder="1" applyAlignment="1">
      <alignment horizontal="left" vertical="center" wrapText="1"/>
    </xf>
    <xf numFmtId="0" fontId="0" fillId="0" borderId="27" xfId="0" applyFill="1" applyBorder="1" applyAlignment="1">
      <alignment vertical="top" wrapText="1"/>
    </xf>
    <xf numFmtId="0" fontId="0" fillId="0" borderId="9" xfId="0" applyFill="1" applyBorder="1" applyAlignment="1">
      <alignment vertical="center" wrapText="1"/>
    </xf>
    <xf numFmtId="0" fontId="0" fillId="0" borderId="9" xfId="0" applyFill="1" applyBorder="1" applyAlignment="1">
      <alignment vertical="center"/>
    </xf>
    <xf numFmtId="0" fontId="0" fillId="0" borderId="9" xfId="0" applyFill="1" applyBorder="1" applyAlignment="1">
      <alignment horizontal="center" vertical="center"/>
    </xf>
    <xf numFmtId="0" fontId="0" fillId="0" borderId="27" xfId="0" applyFill="1" applyBorder="1"/>
    <xf numFmtId="0" fontId="0" fillId="0" borderId="0" xfId="0" applyFill="1"/>
    <xf numFmtId="0" fontId="8" fillId="9" borderId="9" xfId="0" applyFont="1" applyFill="1" applyBorder="1" applyAlignment="1">
      <alignment wrapText="1"/>
    </xf>
    <xf numFmtId="0" fontId="8" fillId="9" borderId="30" xfId="0" applyFont="1" applyFill="1" applyBorder="1" applyAlignment="1">
      <alignment wrapText="1"/>
    </xf>
    <xf numFmtId="0" fontId="8" fillId="9" borderId="10" xfId="0" applyFont="1" applyFill="1" applyBorder="1" applyAlignment="1">
      <alignment wrapText="1"/>
    </xf>
    <xf numFmtId="0" fontId="10" fillId="0" borderId="0" xfId="0" applyFont="1" applyFill="1" applyAlignment="1">
      <alignment vertical="center" wrapText="1"/>
    </xf>
    <xf numFmtId="0" fontId="0" fillId="8" borderId="0" xfId="0" applyFill="1" applyBorder="1" applyAlignment="1">
      <alignment vertical="center" wrapText="1"/>
    </xf>
    <xf numFmtId="0" fontId="0" fillId="8" borderId="0" xfId="0" applyFill="1" applyBorder="1" applyAlignment="1">
      <alignment vertical="center"/>
    </xf>
    <xf numFmtId="0" fontId="6" fillId="0" borderId="1" xfId="0" applyFont="1" applyBorder="1" applyAlignment="1">
      <alignment horizontal="center"/>
    </xf>
    <xf numFmtId="0" fontId="0" fillId="0" borderId="0" xfId="0" applyAlignment="1"/>
    <xf numFmtId="0" fontId="8" fillId="2" borderId="22" xfId="0" applyFont="1" applyFill="1" applyBorder="1" applyAlignment="1">
      <alignment horizontal="center" vertical="center" textRotation="90" wrapText="1"/>
    </xf>
    <xf numFmtId="0" fontId="8" fillId="2" borderId="21" xfId="0" applyFont="1" applyFill="1" applyBorder="1" applyAlignment="1">
      <alignment horizontal="center" vertical="center" textRotation="90" wrapText="1"/>
    </xf>
    <xf numFmtId="0" fontId="8" fillId="2" borderId="14" xfId="0" applyFont="1" applyFill="1" applyBorder="1" applyAlignment="1">
      <alignment horizontal="center" vertical="center" textRotation="90" wrapText="1"/>
    </xf>
    <xf numFmtId="0" fontId="7" fillId="0" borderId="17" xfId="0" applyFont="1" applyBorder="1" applyAlignment="1">
      <alignment horizontal="center" wrapText="1"/>
    </xf>
    <xf numFmtId="0" fontId="7" fillId="0" borderId="18" xfId="0" applyFont="1" applyBorder="1" applyAlignment="1">
      <alignment horizontal="center" wrapText="1"/>
    </xf>
    <xf numFmtId="0" fontId="7" fillId="0" borderId="19" xfId="0" applyFont="1" applyBorder="1" applyAlignment="1">
      <alignment horizontal="center" wrapText="1"/>
    </xf>
    <xf numFmtId="0" fontId="3" fillId="0" borderId="0" xfId="2" applyAlignment="1">
      <alignment horizontal="left"/>
    </xf>
    <xf numFmtId="0" fontId="0" fillId="0" borderId="1" xfId="0" applyBorder="1" applyAlignment="1">
      <alignment horizontal="center" wrapText="1"/>
    </xf>
    <xf numFmtId="0" fontId="8" fillId="4" borderId="20" xfId="0" applyFont="1" applyFill="1" applyBorder="1" applyAlignment="1">
      <alignment horizontal="center" vertical="center" textRotation="90" wrapText="1"/>
    </xf>
    <xf numFmtId="0" fontId="8" fillId="4" borderId="21" xfId="0" applyFont="1" applyFill="1" applyBorder="1" applyAlignment="1">
      <alignment horizontal="center" vertical="center" textRotation="90" wrapText="1"/>
    </xf>
    <xf numFmtId="0" fontId="8" fillId="4" borderId="23" xfId="0" applyFont="1" applyFill="1" applyBorder="1" applyAlignment="1">
      <alignment horizontal="center" vertical="center" textRotation="90" wrapText="1"/>
    </xf>
    <xf numFmtId="0" fontId="8" fillId="3" borderId="20" xfId="0" applyFont="1" applyFill="1" applyBorder="1" applyAlignment="1">
      <alignment horizontal="center" vertical="center" textRotation="90" wrapText="1"/>
    </xf>
    <xf numFmtId="0" fontId="8" fillId="3" borderId="21" xfId="0" applyFont="1" applyFill="1" applyBorder="1" applyAlignment="1">
      <alignment horizontal="center" vertical="center" textRotation="90" wrapText="1"/>
    </xf>
    <xf numFmtId="0" fontId="8" fillId="3" borderId="14" xfId="0" applyFont="1" applyFill="1" applyBorder="1" applyAlignment="1">
      <alignment horizontal="center" vertical="center" textRotation="90" wrapText="1"/>
    </xf>
    <xf numFmtId="0" fontId="2" fillId="0" borderId="0" xfId="0" applyFont="1" applyAlignment="1">
      <alignment horizontal="center"/>
    </xf>
    <xf numFmtId="0" fontId="9" fillId="4" borderId="20" xfId="0" applyFont="1" applyFill="1" applyBorder="1" applyAlignment="1">
      <alignment horizontal="center" vertical="center" textRotation="90" wrapText="1"/>
    </xf>
    <xf numFmtId="0" fontId="9" fillId="4" borderId="21" xfId="0" applyFont="1" applyFill="1" applyBorder="1" applyAlignment="1">
      <alignment horizontal="center" vertical="center" textRotation="90" wrapText="1"/>
    </xf>
    <xf numFmtId="0" fontId="6" fillId="0" borderId="17" xfId="0" applyFont="1" applyBorder="1" applyAlignment="1">
      <alignment horizontal="center" wrapText="1"/>
    </xf>
    <xf numFmtId="0" fontId="6" fillId="0" borderId="18" xfId="0" applyFont="1" applyBorder="1" applyAlignment="1">
      <alignment horizontal="center" wrapText="1"/>
    </xf>
    <xf numFmtId="0" fontId="6" fillId="0" borderId="19" xfId="0" applyFont="1" applyBorder="1" applyAlignment="1">
      <alignment horizontal="center" wrapText="1"/>
    </xf>
    <xf numFmtId="0" fontId="9" fillId="2" borderId="22" xfId="0" applyFont="1" applyFill="1" applyBorder="1" applyAlignment="1">
      <alignment horizontal="center" vertical="center" textRotation="90" wrapText="1"/>
    </xf>
    <xf numFmtId="0" fontId="9" fillId="2" borderId="21" xfId="0" applyFont="1" applyFill="1" applyBorder="1" applyAlignment="1">
      <alignment horizontal="center" vertical="center" textRotation="90" wrapText="1"/>
    </xf>
    <xf numFmtId="0" fontId="9" fillId="3" borderId="20" xfId="0" applyFont="1" applyFill="1" applyBorder="1" applyAlignment="1">
      <alignment horizontal="center" vertical="center" textRotation="90" wrapText="1"/>
    </xf>
    <xf numFmtId="0" fontId="9" fillId="3" borderId="21" xfId="0" applyFont="1" applyFill="1" applyBorder="1" applyAlignment="1">
      <alignment horizontal="center" vertical="center" textRotation="90" wrapText="1"/>
    </xf>
    <xf numFmtId="0" fontId="9" fillId="3" borderId="14" xfId="0" applyFont="1" applyFill="1" applyBorder="1" applyAlignment="1">
      <alignment horizontal="center" vertical="center" textRotation="90" wrapText="1"/>
    </xf>
    <xf numFmtId="0" fontId="0" fillId="4" borderId="20" xfId="0" applyFill="1" applyBorder="1" applyAlignment="1">
      <alignment horizontal="center" vertical="center" textRotation="90" wrapText="1"/>
    </xf>
    <xf numFmtId="0" fontId="0" fillId="4" borderId="21" xfId="0" applyFill="1" applyBorder="1" applyAlignment="1">
      <alignment horizontal="center" vertical="center" textRotation="90" wrapText="1"/>
    </xf>
    <xf numFmtId="0" fontId="2" fillId="0" borderId="17" xfId="0" applyFont="1" applyBorder="1" applyAlignment="1">
      <alignment horizontal="center" wrapText="1"/>
    </xf>
    <xf numFmtId="0" fontId="2" fillId="0" borderId="18" xfId="0" applyFont="1" applyBorder="1" applyAlignment="1">
      <alignment horizontal="center" wrapText="1"/>
    </xf>
    <xf numFmtId="0" fontId="2" fillId="0" borderId="19" xfId="0" applyFont="1" applyBorder="1" applyAlignment="1">
      <alignment horizontal="center" wrapText="1"/>
    </xf>
    <xf numFmtId="0" fontId="0" fillId="2" borderId="22" xfId="0" applyFill="1" applyBorder="1" applyAlignment="1">
      <alignment horizontal="center" vertical="center" textRotation="90" wrapText="1"/>
    </xf>
    <xf numFmtId="0" fontId="0" fillId="2" borderId="21" xfId="0" applyFill="1" applyBorder="1" applyAlignment="1">
      <alignment horizontal="center" vertical="center" textRotation="90" wrapText="1"/>
    </xf>
    <xf numFmtId="0" fontId="0" fillId="3" borderId="20" xfId="0" applyFill="1" applyBorder="1" applyAlignment="1">
      <alignment horizontal="center" vertical="center" textRotation="90" wrapText="1"/>
    </xf>
    <xf numFmtId="0" fontId="0" fillId="3" borderId="21" xfId="0" applyFill="1" applyBorder="1" applyAlignment="1">
      <alignment horizontal="center" vertical="center" textRotation="90" wrapText="1"/>
    </xf>
    <xf numFmtId="0" fontId="0" fillId="3" borderId="14" xfId="0" applyFill="1" applyBorder="1" applyAlignment="1">
      <alignment horizontal="center" vertical="center" textRotation="90" wrapText="1"/>
    </xf>
    <xf numFmtId="0" fontId="6" fillId="0" borderId="34" xfId="0" applyFont="1" applyBorder="1" applyAlignment="1">
      <alignment horizontal="center"/>
    </xf>
    <xf numFmtId="0" fontId="6" fillId="0" borderId="35" xfId="0" applyFont="1" applyBorder="1" applyAlignment="1">
      <alignment horizontal="center"/>
    </xf>
    <xf numFmtId="0" fontId="6" fillId="0" borderId="36" xfId="0" applyFont="1" applyBorder="1" applyAlignment="1">
      <alignment horizontal="center"/>
    </xf>
    <xf numFmtId="0" fontId="2" fillId="0" borderId="1" xfId="0" applyFont="1" applyBorder="1" applyAlignment="1">
      <alignment horizontal="center"/>
    </xf>
    <xf numFmtId="0" fontId="6" fillId="0" borderId="6" xfId="0" applyFont="1" applyBorder="1" applyAlignment="1">
      <alignment horizont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6" fillId="6" borderId="0" xfId="0" applyFont="1" applyFill="1" applyAlignment="1">
      <alignment horizontal="center"/>
    </xf>
    <xf numFmtId="0" fontId="2" fillId="6" borderId="25" xfId="0" applyFont="1" applyFill="1" applyBorder="1" applyAlignment="1">
      <alignment horizontal="center"/>
    </xf>
    <xf numFmtId="0" fontId="2" fillId="0" borderId="42" xfId="0" applyFont="1" applyBorder="1" applyAlignment="1">
      <alignment horizontal="center" wrapText="1"/>
    </xf>
    <xf numFmtId="0" fontId="2" fillId="0" borderId="24"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2" fillId="6" borderId="26" xfId="0" applyFont="1" applyFill="1" applyBorder="1" applyAlignment="1">
      <alignment horizontal="center"/>
    </xf>
    <xf numFmtId="0" fontId="2" fillId="6" borderId="10" xfId="0" applyFont="1" applyFill="1" applyBorder="1" applyAlignment="1">
      <alignment horizontal="center"/>
    </xf>
    <xf numFmtId="0" fontId="2" fillId="6" borderId="25" xfId="0" applyFont="1" applyFill="1" applyBorder="1" applyAlignment="1">
      <alignment horizontal="center" wrapText="1"/>
    </xf>
    <xf numFmtId="0" fontId="2" fillId="6" borderId="9" xfId="0" applyFont="1" applyFill="1" applyBorder="1" applyAlignment="1">
      <alignment horizontal="center" wrapText="1"/>
    </xf>
    <xf numFmtId="2" fontId="0" fillId="0" borderId="0" xfId="0" applyNumberFormat="1" applyBorder="1"/>
    <xf numFmtId="0" fontId="0" fillId="0" borderId="0" xfId="0" applyFill="1" applyBorder="1"/>
    <xf numFmtId="0" fontId="0" fillId="0" borderId="0" xfId="0" applyFill="1" applyBorder="1" applyAlignment="1">
      <alignment horizontal="right"/>
    </xf>
    <xf numFmtId="0" fontId="10" fillId="0" borderId="0" xfId="0" applyFont="1"/>
    <xf numFmtId="0" fontId="10" fillId="0" borderId="0" xfId="0" applyFont="1" applyAlignment="1">
      <alignment wrapText="1"/>
    </xf>
    <xf numFmtId="0" fontId="0" fillId="0" borderId="0" xfId="0" applyBorder="1" applyAlignment="1">
      <alignment wrapText="1"/>
    </xf>
    <xf numFmtId="0" fontId="2" fillId="0" borderId="0" xfId="0" applyFont="1" applyBorder="1" applyAlignment="1">
      <alignment horizontal="right" vertical="center" wrapText="1"/>
    </xf>
    <xf numFmtId="3" fontId="0" fillId="0" borderId="0" xfId="0" applyNumberFormat="1" applyFill="1" applyBorder="1"/>
    <xf numFmtId="0" fontId="11" fillId="0" borderId="0" xfId="0" applyFont="1" applyAlignment="1">
      <alignment wrapText="1"/>
    </xf>
    <xf numFmtId="3" fontId="0" fillId="0" borderId="0" xfId="0" applyNumberFormat="1" applyFill="1"/>
    <xf numFmtId="0" fontId="10" fillId="0" borderId="0" xfId="0" applyFont="1" applyAlignment="1">
      <alignment vertical="center"/>
    </xf>
    <xf numFmtId="0" fontId="12" fillId="0" borderId="27" xfId="0" applyFont="1" applyFill="1" applyBorder="1" applyAlignment="1">
      <alignment vertical="top" wrapText="1"/>
    </xf>
  </cellXfs>
  <cellStyles count="5">
    <cellStyle name="Comma" xfId="4" builtinId="3"/>
    <cellStyle name="Currency" xfId="1" builtinId="4"/>
    <cellStyle name="Hyperlink" xfId="2" builtinId="8"/>
    <cellStyle name="Normal" xfId="0" builtinId="0"/>
    <cellStyle name="Percent" xfId="3" builtinId="5"/>
  </cellStyles>
  <dxfs count="138">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dxf>
    <dxf>
      <numFmt numFmtId="3" formatCode="#,##0"/>
      <fill>
        <patternFill patternType="none">
          <fgColor indexed="64"/>
          <bgColor indexed="65"/>
        </patternFill>
      </fill>
    </dxf>
    <dxf>
      <numFmt numFmtId="3" formatCode="#,##0"/>
      <fill>
        <patternFill patternType="none">
          <fgColor indexed="64"/>
          <bgColor indexed="65"/>
        </patternFill>
      </fill>
    </dxf>
    <dxf>
      <numFmt numFmtId="3" formatCode="#,##0"/>
      <fill>
        <patternFill patternType="none">
          <fgColor indexed="64"/>
          <bgColor indexed="65"/>
        </patternFill>
      </fill>
    </dxf>
    <dxf>
      <numFmt numFmtId="3"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_(* #,##0_);_(* \(#,##0\);_(* &quot;-&quot;??_);_(@_)"/>
    </dxf>
    <dxf>
      <numFmt numFmtId="3" formatCode="#,##0"/>
    </dxf>
    <dxf>
      <numFmt numFmtId="3" formatCode="#,##0"/>
    </dxf>
    <dxf>
      <numFmt numFmtId="3" formatCode="#,##0"/>
    </dxf>
    <dxf>
      <font>
        <b/>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alignment textRotation="0" wrapText="1"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0" indent="0" justifyLastLine="0" shrinkToFit="0" readingOrder="0"/>
      <border diagonalUp="0" diagonalDown="0">
        <left style="thin">
          <color indexed="64"/>
        </left>
        <right/>
        <top/>
        <bottom/>
        <vertical/>
        <horizontal/>
      </border>
    </dxf>
    <dxf>
      <border outline="0">
        <left style="thin">
          <color indexed="64"/>
        </left>
        <top style="thin">
          <color indexed="64"/>
        </top>
        <bottom style="thin">
          <color indexed="64"/>
        </bottom>
      </border>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2" formatCode="0.00"/>
    </dxf>
    <dxf>
      <numFmt numFmtId="3" formatCode="#,##0"/>
      <fill>
        <patternFill patternType="none">
          <fgColor indexed="64"/>
          <bgColor indexed="65"/>
        </patternFill>
      </fill>
    </dxf>
    <dxf>
      <numFmt numFmtId="3" formatCode="#,##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_(* #,##0_);_(* \(#,##0\);_(* &quot;-&quot;??_);_(@_)"/>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1"/>
        <color theme="1"/>
        <name val="Calibri"/>
        <family val="2"/>
        <scheme val="minor"/>
      </font>
      <numFmt numFmtId="3" formatCode="#,##0"/>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0" indent="0" justifyLastLine="0" shrinkToFit="0" readingOrder="0"/>
    </dxf>
    <dxf>
      <border outline="0">
        <left style="thin">
          <color indexed="64"/>
        </left>
        <right style="thin">
          <color indexed="64"/>
        </right>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numFmt numFmtId="2" formatCode="0.0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border diagonalUp="0" diagonalDown="0">
        <left style="thin">
          <color indexed="64"/>
        </left>
        <right/>
        <top/>
        <bottom/>
        <vertical/>
        <horizontal/>
      </border>
    </dxf>
    <dxf>
      <font>
        <b/>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alignment horizontal="general" vertical="center" textRotation="0" wrapText="0"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general" vertical="center" textRotation="0" wrapText="1" indent="0" justifyLastLine="0" shrinkToFit="0" readingOrder="0"/>
    </dxf>
    <dxf>
      <alignment horizontal="left" vertical="center" textRotation="0" wrapText="0" indent="0" justifyLastLine="0" shrinkToFit="0" readingOrder="0"/>
      <border diagonalUp="0" diagonalDown="0">
        <left style="thin">
          <color indexed="64"/>
        </left>
        <right/>
        <top/>
        <bottom/>
        <vertical/>
        <horizontal/>
      </border>
    </dxf>
    <dxf>
      <border outline="0">
        <left style="thin">
          <color indexed="64"/>
        </left>
        <right style="thin">
          <color indexed="64"/>
        </right>
        <top style="thin">
          <color indexed="64"/>
        </top>
      </border>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solid">
          <fgColor indexed="64"/>
          <bgColor theme="2" tint="-9.9978637043366805E-2"/>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alignment horizontal="general" vertical="center" textRotation="0" wrapText="0" indent="0" justifyLastLine="0" shrinkToFit="0" readingOrder="0"/>
      <border diagonalUp="0" diagonalDown="0">
        <left style="hair">
          <color indexed="64"/>
        </left>
        <right style="hair">
          <color indexed="64"/>
        </right>
        <top style="hair">
          <color indexed="64"/>
        </top>
        <bottom style="hair">
          <color indexed="64"/>
        </bottom>
        <vertical/>
        <horizontal/>
      </border>
    </dxf>
    <dxf>
      <alignment horizontal="general"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alignment horizontal="general"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alignment horizontal="center" vertical="center" textRotation="0" wrapText="0" indent="0" justifyLastLine="0" shrinkToFit="0" readingOrder="0"/>
      <border diagonalUp="0" diagonalDown="0">
        <left/>
        <right style="hair">
          <color indexed="64"/>
        </right>
        <top style="hair">
          <color indexed="64"/>
        </top>
        <bottom style="hair">
          <color indexed="64"/>
        </bottom>
        <vertical/>
        <horizontal/>
      </border>
    </dxf>
    <dxf>
      <border outline="0">
        <left style="thin">
          <color indexed="64"/>
        </left>
        <right style="thin">
          <color indexed="64"/>
        </right>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numFmt numFmtId="2" formatCode="0.00"/>
    </dxf>
    <dxf>
      <numFmt numFmtId="2" formatCode="0.0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dxf>
    <dxf>
      <numFmt numFmtId="3" formatCode="#,##0"/>
    </dxf>
    <dxf>
      <numFmt numFmtId="3" formatCode="#,##0"/>
    </dxf>
    <dxf>
      <font>
        <b/>
      </font>
      <numFmt numFmtId="3" formatCode="#,##0"/>
    </dxf>
    <dxf>
      <font>
        <b/>
        <i val="0"/>
        <strike val="0"/>
        <condense val="0"/>
        <extend val="0"/>
        <outline val="0"/>
        <shadow val="0"/>
        <u val="none"/>
        <vertAlign val="baseline"/>
        <sz val="11"/>
        <color theme="1"/>
        <name val="Calibri"/>
        <family val="2"/>
        <scheme val="minor"/>
      </font>
      <numFmt numFmtId="3" formatCode="#,##0"/>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1"/>
        <color theme="1"/>
        <name val="Calibri"/>
        <family val="2"/>
        <scheme val="minor"/>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 formatCode="#,##0"/>
      <alignment horizontal="general"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4" formatCode="_(* #,##0_);_(* \(#,##0\);_(* &quot;-&quot;??_);_(@_)"/>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0" indent="0" justifyLastLine="0" shrinkToFit="0" readingOrder="0"/>
      <border diagonalUp="0" diagonalDown="0">
        <left/>
        <right/>
        <top/>
        <bottom style="thin">
          <color indexed="64"/>
        </bottom>
        <vertical/>
        <horizontal/>
      </bord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outline="0">
        <left style="thin">
          <color indexed="64"/>
        </left>
        <right style="thin">
          <color indexed="64"/>
        </right>
        <top style="thin">
          <color indexed="64"/>
        </top>
        <bottom style="thin">
          <color indexed="64"/>
        </bottom>
      </border>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BBE1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aron Halverson" id="{7C4AE3DF-1C8C-4A77-B70A-4EE29F1E6F35}" userId="S::ahalverson@lakestevenswa.gov::f9ee3d62-e5ae-4511-8b6e-45cd99cb464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A46D0D-FD55-4913-A938-9B941029800E}" name="Table2" displayName="Table2" ref="B4:AI51" totalsRowShown="0" headerRowDxfId="137" dataDxfId="136" tableBorderDxfId="135">
  <autoFilter ref="B4:AI51" xr:uid="{33A46D0D-FD55-4913-A938-9B941029800E}">
    <filterColumn colId="1">
      <customFilters>
        <customFilter operator="notEqual" val=" "/>
      </customFilters>
    </filterColumn>
  </autoFilter>
  <sortState xmlns:xlrd2="http://schemas.microsoft.com/office/spreadsheetml/2017/richdata2" ref="B5:AI49">
    <sortCondition ref="B4:B51"/>
  </sortState>
  <tableColumns count="34">
    <tableColumn id="1" xr3:uid="{BD9AE6A5-166B-4901-ACA5-37862DCF71C4}" name="Project Number" dataDxfId="133" totalsRowDxfId="134"/>
    <tableColumn id="34" xr3:uid="{C7BE27CB-7280-471E-BAFD-2C12DDB6B69B}" name="TBD Project List" dataDxfId="131" totalsRowDxfId="132"/>
    <tableColumn id="2" xr3:uid="{BE5F1AB1-DA27-4176-B4E8-D74E66D3EF1A}" name="Roadway" dataDxfId="129" totalsRowDxfId="130"/>
    <tableColumn id="3" xr3:uid="{9550BC50-D207-4A0F-9FF0-B475B96F5218}" name="Start" dataDxfId="127" totalsRowDxfId="128"/>
    <tableColumn id="4" xr3:uid="{EBCC66A8-6555-495B-827D-1C0D5BC06A54}" name="End" dataDxfId="125" totalsRowDxfId="126"/>
    <tableColumn id="5" xr3:uid="{2B86227F-D187-45F5-BFD6-6DBE19B04628}" name="Description" dataDxfId="123" totalsRowDxfId="124"/>
    <tableColumn id="6" xr3:uid="{A745C00A-3D83-4F67-83CD-547559F83F0A}" name="Grant Award" dataDxfId="121" totalsRowDxfId="122" dataCellStyle="Comma"/>
    <tableColumn id="7" xr3:uid="{9CE166C7-E4CC-4F0A-8B8A-263AB7C3D6C9}" name="Grant Source" dataDxfId="119" totalsRowDxfId="120"/>
    <tableColumn id="8" xr3:uid="{90E0D71A-3A53-48E2-A2BD-BD95108176CF}" name="Budget" dataDxfId="117" totalsRowDxfId="118" dataCellStyle="Comma"/>
    <tableColumn id="9" xr3:uid="{D978152E-231B-477D-AEC6-B0FC82988FF4}" name="Sidewalk Length" dataDxfId="115" totalsRowDxfId="116"/>
    <tableColumn id="10" xr3:uid="{CBC5F077-6F3E-46CD-B275-B9F17B58A74D}" name="Cost/LF"/>
    <tableColumn id="11" xr3:uid="{EF381750-76F7-4314-AA55-799A058D49EA}" name="Multi-Use Path"/>
    <tableColumn id="12" xr3:uid="{29F531A5-046F-4C57-949E-CBE59051A9A8}" name="Cost/LF2"/>
    <tableColumn id="13" xr3:uid="{F99EA6B5-5D0C-447D-99FB-934D799A4834}" name="Ramps" dataDxfId="113" totalsRowDxfId="114"/>
    <tableColumn id="14" xr3:uid="{935A90B1-8A63-40B5-A24F-8B0F131DBDAC}" name="Cost/Ea"/>
    <tableColumn id="15" xr3:uid="{685CCC1F-B32C-40B0-B9DD-A40443086EEB}" name="RRFB"/>
    <tableColumn id="16" xr3:uid="{AFC71465-9B00-4126-94AD-135B4A6B8C4B}" name="Cost/Each"/>
    <tableColumn id="17" xr3:uid="{B97774A2-B2AE-41AC-BEFC-4DDC1BE4B2A5}" name="Const. Estimate" dataDxfId="111" totalsRowDxfId="112" dataCellStyle="Currency">
      <calculatedColumnFormula>K5*L5+O5*P5+Q5*R5+M5*N5</calculatedColumnFormula>
    </tableColumn>
    <tableColumn id="18" xr3:uid="{2304FC5D-23FC-48DE-A8F4-82AA6FCDBB75}" name="Engineering" dataDxfId="110">
      <calculatedColumnFormula>S5*0.1</calculatedColumnFormula>
    </tableColumn>
    <tableColumn id="19" xr3:uid="{FB1FFEF0-5443-4621-BE71-547A4C68F6C0}" name="ROW" dataDxfId="108" totalsRowDxfId="109">
      <calculatedColumnFormula>S5*0.07</calculatedColumnFormula>
    </tableColumn>
    <tableColumn id="20" xr3:uid="{8A3C497B-7385-469A-8BA3-700CF422A3A4}" name="Contingency" dataDxfId="106" totalsRowDxfId="107">
      <calculatedColumnFormula>SUM(S5:U5)*0.2</calculatedColumnFormula>
    </tableColumn>
    <tableColumn id="21" xr3:uid="{CDFEBD9B-275C-4C5D-9E0D-D405EE53369D}" name="Total Cost" dataDxfId="104" totalsRowDxfId="105">
      <calculatedColumnFormula>SUM(S5:V5)</calculatedColumnFormula>
    </tableColumn>
    <tableColumn id="22" xr3:uid="{CE45CD0D-C5AC-455D-B79C-EFC3FDA3AF59}" name="2015 Cost Estimates" dataDxfId="102" totalsRowDxfId="103"/>
    <tableColumn id="23" xr3:uid="{20F52888-040B-4B94-9FF7-EC07D5D863A6}" name="Percent Change" dataDxfId="100" totalsRowDxfId="101" dataCellStyle="Percent"/>
    <tableColumn id="24" xr3:uid="{C4501147-786E-4BF9-ACAB-404E174E9B87}" name="Zoning" dataDxfId="98" totalsRowDxfId="99"/>
    <tableColumn id="25" xr3:uid="{50F21995-982C-49A7-BBE4-AB7229B66BA1}" name="Zoning Score" dataDxfId="96" totalsRowDxfId="97"/>
    <tableColumn id="26" xr3:uid="{7259C341-F293-426F-BC59-7A7A69C61445}" name="Functional Classification" dataDxfId="94" totalsRowDxfId="95"/>
    <tableColumn id="27" xr3:uid="{4135AB5D-009C-4082-87AD-06C6CCD18710}" name="Vehicle on Ped Accident Data" dataDxfId="92" totalsRowDxfId="93"/>
    <tableColumn id="28" xr3:uid="{86B239DD-B510-4496-A12B-7A85EF3042CC}" name="Facility within 1/4 Mile" dataDxfId="90" totalsRowDxfId="91"/>
    <tableColumn id="29" xr3:uid="{F26E0433-AE7F-418E-A0AE-DA9E0FB3F59B}" name="Cost" dataDxfId="88" totalsRowDxfId="89">
      <calculatedColumnFormula>IF(W5&lt;150000,"3",IF(W5&lt;500000,"2",IF(W5&gt;500000,"1")))</calculatedColumnFormula>
    </tableColumn>
    <tableColumn id="30" xr3:uid="{EAAC637E-DEE5-4491-B11B-06B096E9167B}" name="Opportunity" dataDxfId="86" totalsRowDxfId="87"/>
    <tableColumn id="31" xr3:uid="{0E8D7EE0-608C-420B-B28E-7686E537F045}" name="Grant Eligibility" dataDxfId="84" totalsRowDxfId="85"/>
    <tableColumn id="32" xr3:uid="{F535323D-43FF-4118-80EF-93FB81790158}" name="Dedicated Funding" dataDxfId="82" totalsRowDxfId="83"/>
    <tableColumn id="33" xr3:uid="{926A343B-FD7C-4140-8B24-ED8E1CB3AC2B}" name="Average Score" dataDxfId="80" totalsRowDxfId="81">
      <calculatedColumnFormula array="1">SUM(AA5:AH5/8)</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9779C1-BB55-4F5D-B606-34F34AFC381C}" name="Table3" displayName="Table3" ref="B12:AB33" totalsRowShown="0" headerRowDxfId="79" tableBorderDxfId="78">
  <autoFilter ref="B12:AB33" xr:uid="{BA9779C1-BB55-4F5D-B606-34F34AFC381C}"/>
  <sortState xmlns:xlrd2="http://schemas.microsoft.com/office/spreadsheetml/2017/richdata2" ref="B13:AB33">
    <sortCondition ref="B12:B33"/>
  </sortState>
  <tableColumns count="27">
    <tableColumn id="1" xr3:uid="{FA7A456A-D170-4FDA-A156-CBB7F546B4AE}" name="Project Number" dataDxfId="77"/>
    <tableColumn id="2" xr3:uid="{1BAD9EF9-EB8A-4AFD-B9CC-F71765AD8932}" name="Project Name"/>
    <tableColumn id="3" xr3:uid="{E8C973AA-23DB-4503-ADCE-C9166548D6C3}" name="Description"/>
    <tableColumn id="4" xr3:uid="{9E0F571D-B698-451A-A1A7-EC3D9EE8EC20}" name="Roadway" dataDxfId="76"/>
    <tableColumn id="5" xr3:uid="{FEC46C52-4631-44EE-8499-909E14E8AC27}" name="Start" dataDxfId="75"/>
    <tableColumn id="6" xr3:uid="{C734CC30-A864-4C50-97A3-D718E2D127E8}" name="End" dataDxfId="74"/>
    <tableColumn id="7" xr3:uid="{FC6171F5-A002-4FD2-A061-76FE0089F54B}" name="Grant Award"/>
    <tableColumn id="8" xr3:uid="{361BEBC1-2A47-4B8A-B6DA-40FD7B156E4D}" name="Grant Source" dataDxfId="73"/>
    <tableColumn id="9" xr3:uid="{A49E22D9-9B91-4206-A586-AA631C8A7750}" name="2022 Budget"/>
    <tableColumn id="10" xr3:uid="{63BE9875-F45E-4DA7-9C0F-39CCCEF1957A}" name="Length  (LF)"/>
    <tableColumn id="11" xr3:uid="{EBD0DEDE-1943-48B9-8428-2A542D610A24}" name="Cost/LF"/>
    <tableColumn id="12" xr3:uid="{57F4D9E1-73AD-4318-8DDE-8E2FAD04D5B6}" name="Project Planning"/>
    <tableColumn id="13" xr3:uid="{8AB399AE-B89B-42E9-B180-B240A8E63BA7}" name="PE "/>
    <tableColumn id="14" xr3:uid="{6D2643EB-13D3-4F1E-8228-2E60ABAFFF5B}" name="ROW"/>
    <tableColumn id="15" xr3:uid="{E9A186FC-EAFB-4B46-BD90-1E2BD38340BB}" name="Construction"/>
    <tableColumn id="16" xr3:uid="{3CFF1A7C-1A59-4E42-B78D-6FA63FA94BED}" name="Contingency"/>
    <tableColumn id="17" xr3:uid="{E4595948-994B-4BB7-9EBB-E86B45B799B1}" name="Total Cost"/>
    <tableColumn id="18" xr3:uid="{1D30A99A-C1C5-4F78-BD14-9741223A153E}" name="Highest Land Use Type Within 1/2 Mile"/>
    <tableColumn id="19" xr3:uid="{8CB1C755-03D5-4F73-BD4A-DCE16CC589D0}" name="Roadway Type"/>
    <tableColumn id="20" xr3:uid="{02E9988F-EB3F-4F1D-9D5A-B2D78CBE0E15}" name="Accident Data"/>
    <tableColumn id="21" xr3:uid="{1C6853E8-7E52-4E97-92D0-E442DD7DDEBC}" name="Facility within 1/4 Mile "/>
    <tableColumn id="22" xr3:uid="{5708F5A1-9575-4644-8F01-7E5C8BB548D3}" name="Facility within 1/2 mile"/>
    <tableColumn id="23" xr3:uid="{408DB897-1190-4D45-BC37-A9FDAC6AB1F7}" name="Cost"/>
    <tableColumn id="24" xr3:uid="{FCC4B998-18FA-4027-8477-2A9CA2632712}" name="Opportunity"/>
    <tableColumn id="25" xr3:uid="{F910A0AF-970B-47BC-B4D5-54DAF8B9958E}" name="Grant Eligibility"/>
    <tableColumn id="26" xr3:uid="{E6250C07-D624-4E80-9AAF-9906C3C336A8}" name="Dedicated Funding"/>
    <tableColumn id="27" xr3:uid="{550CB361-4056-423F-AF39-D9E0BFF54E14}" name="Average Scor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58A946-E98A-43C4-8846-410215BAA622}" name="Table1" displayName="Table1" ref="B3:Y41" totalsRowShown="0" headerRowDxfId="72" dataDxfId="71" tableBorderDxfId="70">
  <autoFilter ref="B3:Y41" xr:uid="{0D58A946-E98A-43C4-8846-410215BAA622}"/>
  <sortState xmlns:xlrd2="http://schemas.microsoft.com/office/spreadsheetml/2017/richdata2" ref="B4:Y41">
    <sortCondition ref="B3:B41"/>
  </sortState>
  <tableColumns count="24">
    <tableColumn id="14" xr3:uid="{0FBB8FED-BBA5-4AD3-B420-E0194045B7C9}" name="Project Number2" dataDxfId="69"/>
    <tableColumn id="2" xr3:uid="{0F5489B1-2D9A-4161-9C69-3195C593A0AD}" name="Project Name" dataDxfId="68"/>
    <tableColumn id="3" xr3:uid="{B1F285CC-0E5C-48B1-AA8E-3A02275B72D9}" name="Location" dataDxfId="67"/>
    <tableColumn id="4" xr3:uid="{F4E84C32-CEB4-4AED-93A9-0CECE9DF75A9}" name="Description" dataDxfId="66"/>
    <tableColumn id="5" xr3:uid="{735EAF2B-AB65-4ECC-9F32-A30A8D789819}" name="Grant Award" dataDxfId="65" dataCellStyle="Comma"/>
    <tableColumn id="6" xr3:uid="{D7742D5D-B9C4-4302-B562-B7EAD7DA27E4}" name="Grant Source" dataDxfId="64"/>
    <tableColumn id="7" xr3:uid="{C4E2EBCD-30F6-43E0-938D-8FF97027974C}" name="2022 Budget"/>
    <tableColumn id="8" xr3:uid="{61BB50FF-3AD5-4207-96EF-06003F28172F}" name="Construction Estimate"/>
    <tableColumn id="9" xr3:uid="{B95B1D29-F9DB-498A-BCB6-4C7C5DEEE734}" name="A&amp;E" dataDxfId="63" dataCellStyle="Comma">
      <calculatedColumnFormula>I4*0.1</calculatedColumnFormula>
    </tableColumn>
    <tableColumn id="10" xr3:uid="{A6FBFD4A-328A-4990-8D9A-5C3399FAECB3}" name="ROW/Property" dataDxfId="62" dataCellStyle="Comma"/>
    <tableColumn id="11" xr3:uid="{769F18D1-A359-491B-946C-806BF7C263BC}" name="Contingency" dataDxfId="61" dataCellStyle="Comma">
      <calculatedColumnFormula>SUM(I4*0.1)</calculatedColumnFormula>
    </tableColumn>
    <tableColumn id="12" xr3:uid="{406435F6-A32A-46DA-8CA9-1CB2F93E4D14}" name="Construction Management" dataDxfId="60" dataCellStyle="Comma">
      <calculatedColumnFormula>I4*0.07</calculatedColumnFormula>
    </tableColumn>
    <tableColumn id="13" xr3:uid="{DBD2A4A6-53BB-4231-8DF9-CBD9DC97C5B5}" name="Total Cost" dataDxfId="59" dataCellStyle="Comma">
      <calculatedColumnFormula>SUM(I4:M4)</calculatedColumnFormula>
    </tableColumn>
    <tableColumn id="16" xr3:uid="{204F7714-D292-4DE2-9E9F-45187290B0DA}" name="Zoning" dataDxfId="58"/>
    <tableColumn id="17" xr3:uid="{75BC36CF-A848-4BF8-8C88-18EEFA1AB0F6}" name="Zoning Score" dataDxfId="57"/>
    <tableColumn id="18" xr3:uid="{BB5DF2D6-7648-4E82-B94A-93C15346ECE4}" name="Park Service Type/ Classification" dataDxfId="56"/>
    <tableColumn id="19" xr3:uid="{89488122-8F92-4BEA-BF47-009EF39D27F4}" name="Park Distribution" dataDxfId="55"/>
    <tableColumn id="20" xr3:uid="{39293D4E-7A0E-4428-BA4C-50FA7A3A25A2}" name="Park Amenities" dataDxfId="54"/>
    <tableColumn id="21" xr3:uid="{F1FBE5F9-C76D-48C4-82FA-8EC0BE8C8A5F}" name="Cost" dataDxfId="53">
      <calculatedColumnFormula>IF(N4&lt;150000,"3",IF(N4&lt;500000,"2",IF(N4&gt;500000,"1")))</calculatedColumnFormula>
    </tableColumn>
    <tableColumn id="22" xr3:uid="{EABEEB12-4ABC-495F-9AFD-F05F3314FE2B}" name="Opportunity" dataDxfId="52"/>
    <tableColumn id="23" xr3:uid="{8909E697-09C2-49AA-92BB-F82F96709E57}" name="Partnership Opportunity" dataDxfId="51"/>
    <tableColumn id="24" xr3:uid="{5361FEDA-06F6-4A84-B5A2-ABFD4B68B593}" name="Grant Eligibility" dataDxfId="50"/>
    <tableColumn id="25" xr3:uid="{AE6B6FEB-43B7-4C08-A7E1-731FCB1784C4}" name="Dedicated Funding" dataDxfId="49"/>
    <tableColumn id="26" xr3:uid="{E6F9CBE2-B267-47FA-8C07-6E788A2F3128}" name="Average Score" dataDxfId="48">
      <calculatedColumnFormula>SUM(P4:X4)/8</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11CACA-91E0-419C-A443-8BBEAFCE54BD}" name="Table6" displayName="Table6" ref="A3:U16" totalsRowShown="0" headerRowDxfId="47" tableBorderDxfId="46">
  <autoFilter ref="A3:U16" xr:uid="{D511CACA-91E0-419C-A443-8BBEAFCE54BD}"/>
  <sortState xmlns:xlrd2="http://schemas.microsoft.com/office/spreadsheetml/2017/richdata2" ref="A4:U16">
    <sortCondition descending="1" ref="U3:U16"/>
  </sortState>
  <tableColumns count="21">
    <tableColumn id="1" xr3:uid="{D0BFF7DB-6D4F-4CFD-A7EF-0649D00A5CD6}" name="Project Number" dataDxfId="45"/>
    <tableColumn id="2" xr3:uid="{189F463B-73EE-4ECF-A181-DDFFC7D29602}" name="Project Name" dataDxfId="44"/>
    <tableColumn id="3" xr3:uid="{E45131FE-5B62-4711-B792-7D9CDF1DEB9B}" name="Location" dataDxfId="43"/>
    <tableColumn id="4" xr3:uid="{5CF0F630-7D0F-47FD-BC87-A7E238851868}" name="Description" dataDxfId="42"/>
    <tableColumn id="5" xr3:uid="{C8BF12C4-2C58-4650-B08D-1267221DBECB}" name="2022 Budget" dataDxfId="41" dataCellStyle="Comma"/>
    <tableColumn id="6" xr3:uid="{4CC52679-2841-4171-B269-34B064D96AC6}" name="Construction Estimate" dataDxfId="40" dataCellStyle="Comma"/>
    <tableColumn id="7" xr3:uid="{3DAA220D-D205-423F-9A13-3D2BFF87E7E1}" name="A&amp;E" dataDxfId="39" dataCellStyle="Comma">
      <calculatedColumnFormula>F4*0.1</calculatedColumnFormula>
    </tableColumn>
    <tableColumn id="8" xr3:uid="{328E4ECD-E664-450F-9E99-7436246AF66C}" name="ROW/Property" dataDxfId="38" dataCellStyle="Comma"/>
    <tableColumn id="9" xr3:uid="{4562B236-ABAD-4AE2-ADEE-5AC0FD6B6A79}" name="Contingency" dataDxfId="37" dataCellStyle="Comma">
      <calculatedColumnFormula>SUM(F4*0.1)</calculatedColumnFormula>
    </tableColumn>
    <tableColumn id="10" xr3:uid="{3B607148-2369-49C8-8522-AB65723E4DB4}" name="Construction Management" dataDxfId="36" dataCellStyle="Comma">
      <calculatedColumnFormula>F4*0.07</calculatedColumnFormula>
    </tableColumn>
    <tableColumn id="11" xr3:uid="{73822D91-AF0F-471E-8AD3-CA1ECF7BAEF5}" name="Total Cost" dataDxfId="35" dataCellStyle="Comma">
      <calculatedColumnFormula>SUM(F4:J4)</calculatedColumnFormula>
    </tableColumn>
    <tableColumn id="12" xr3:uid="{FE43A3B2-C3ED-4FCE-B25A-3650B8278C10}" name="Land Use" dataDxfId="34" dataCellStyle="Currency"/>
    <tableColumn id="13" xr3:uid="{216FB79F-FA53-42E8-8C15-E6D8BD6FEA2D}" name="Flood Mitigation Benefit/Risk Mitigation" dataDxfId="33"/>
    <tableColumn id="14" xr3:uid="{7310B9D6-1277-4FE7-9FF1-086450C722EC}" name="Environmental/ Sustainability" dataDxfId="32"/>
    <tableColumn id="15" xr3:uid="{3139F349-B674-4C81-B539-DE449C595DEC}" name="Operational/ Budget Impact" dataDxfId="31"/>
    <tableColumn id="16" xr3:uid="{2F5F4206-70BD-46B4-8F66-6D5DDED6E62C}" name="Cost" dataDxfId="30"/>
    <tableColumn id="17" xr3:uid="{D1A9D4CF-C571-46A6-97CD-F17508F3A865}" name="Opportunity" dataDxfId="29"/>
    <tableColumn id="18" xr3:uid="{4D01A731-852E-4E26-889B-816C904F9B50}" name="Partnership Opportunity" dataDxfId="28" dataCellStyle="Comma"/>
    <tableColumn id="19" xr3:uid="{BCEF0C8D-F7A8-4F20-9043-55C104983EFE}" name="Grant Eligibility" dataDxfId="27"/>
    <tableColumn id="20" xr3:uid="{44C01282-DC20-4A06-AEBD-06E07E06C4BE}" name="Dedicated Funding" dataDxfId="26"/>
    <tableColumn id="21" xr3:uid="{7A18C112-8FD7-4DF3-8AAF-3AD7DAFC834A}" name="Average Score" dataDxfId="25">
      <calculatedColumnFormula>SUM(L4:T4)/6</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CF0BFA-5D85-427D-998B-1013F1F0B9D8}" name="Table7" displayName="Table7" ref="A3:W23" totalsRowShown="0" headerRowDxfId="24" dataDxfId="23" tableBorderDxfId="22">
  <autoFilter ref="A3:W23" xr:uid="{E4CF0BFA-5D85-427D-998B-1013F1F0B9D8}"/>
  <sortState xmlns:xlrd2="http://schemas.microsoft.com/office/spreadsheetml/2017/richdata2" ref="A4:W18">
    <sortCondition descending="1" ref="W3:W18"/>
  </sortState>
  <tableColumns count="23">
    <tableColumn id="1" xr3:uid="{A9E0185E-825F-4DDD-8087-9A9C7B17653E}" name="Project Number" dataDxfId="21"/>
    <tableColumn id="2" xr3:uid="{188FBBA9-C7D5-4FEF-8650-7258D7E1EE70}" name="Project Name" dataDxfId="20"/>
    <tableColumn id="3" xr3:uid="{E325DB84-3046-4417-9D86-D03885297697}" name="Location" dataDxfId="19"/>
    <tableColumn id="4" xr3:uid="{E0A94F29-4A78-44B1-8EE6-D0137BD5F1E9}" name="Description" dataDxfId="18"/>
    <tableColumn id="5" xr3:uid="{56B503A6-D05B-4EAC-AA1B-B2BEB42AB257}" name="Grant Award" dataDxfId="17"/>
    <tableColumn id="6" xr3:uid="{9EC773AF-BBD0-4BC7-8471-8E44DE5B9346}" name="Grant Source" dataDxfId="16"/>
    <tableColumn id="7" xr3:uid="{54C108E2-3267-45C4-979B-13D96DB3EB84}" name="2022 Budget"/>
    <tableColumn id="8" xr3:uid="{67659146-00E7-4807-A8CB-BDA801659556}" name="Construction Estimate" dataDxfId="15" dataCellStyle="Comma"/>
    <tableColumn id="9" xr3:uid="{54218263-9791-4206-9609-AAB0064FE896}" name="A&amp;E" dataDxfId="14" dataCellStyle="Comma"/>
    <tableColumn id="10" xr3:uid="{4B4DD6FD-E99C-4419-8E1E-327DA4E61BB4}" name="ROW/Property" dataDxfId="13" dataCellStyle="Comma"/>
    <tableColumn id="11" xr3:uid="{683A9987-4A55-42F0-AA38-4CFCAEFCE404}" name="Contingency" dataDxfId="12" dataCellStyle="Comma">
      <calculatedColumnFormula>SUM(H4*0.1)</calculatedColumnFormula>
    </tableColumn>
    <tableColumn id="12" xr3:uid="{F87575CC-8EFC-40FF-A534-DBCEC6A6B032}" name="Construction Management" dataDxfId="11" dataCellStyle="Comma">
      <calculatedColumnFormula>H4*0.07</calculatedColumnFormula>
    </tableColumn>
    <tableColumn id="13" xr3:uid="{6851093A-4580-4478-9A5D-EF73CFA884B1}" name="Total Cost" dataDxfId="10" dataCellStyle="Comma">
      <calculatedColumnFormula>SUM(H4:L4)</calculatedColumnFormula>
    </tableColumn>
    <tableColumn id="14" xr3:uid="{DB1EF185-6EEB-41C1-9274-DCC4FCD2DAF9}" name="Critical Facility" dataDxfId="9"/>
    <tableColumn id="15" xr3:uid="{172C5CC4-D7CB-4D48-94E4-DD4D9ED0CBDE}" name="Operational/ Budget Impact" dataDxfId="8"/>
    <tableColumn id="16" xr3:uid="{55B0C4E6-9FD6-461C-918A-70A07CC5158D}" name="Environmental/ Sustainability" dataDxfId="7"/>
    <tableColumn id="17" xr3:uid="{7E54F9AD-AAE9-4CFC-95C4-B1025BA12618}" name="Public Health and Safety" dataDxfId="6" dataCellStyle="Comma"/>
    <tableColumn id="18" xr3:uid="{7CAD39CB-5F1B-4BD5-97FA-F6065F4B848A}" name="Cost" dataDxfId="5"/>
    <tableColumn id="19" xr3:uid="{6813FADB-74DC-4B3B-9D66-2AD0982FB798}" name="Opportunity" dataDxfId="4"/>
    <tableColumn id="20" xr3:uid="{69C2704F-C033-4E84-A8C3-01989514A0AF}" name="Partnership Opportunity" dataDxfId="3"/>
    <tableColumn id="21" xr3:uid="{BB30E73E-61F0-474A-BF35-39453A2D06B2}" name="Grant Eligibility" dataDxfId="2"/>
    <tableColumn id="22" xr3:uid="{9BF547C1-3D42-4A2B-8057-5BD2D7C60999}" name="Dedicated Funding" dataDxfId="1" dataCellStyle="Comma"/>
    <tableColumn id="23" xr3:uid="{CB0D1D37-CB59-466F-B53E-E1C0D354DD66}" name="Average Score" dataDxfId="0" dataCellStyle="Comma">
      <calculatedColumnFormula>SUM(N4:V4)/9</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R4" dT="2022-08-15T20:47:25.33" personId="{7C4AE3DF-1C8C-4A77-B70A-4EE29F1E6F35}" id="{FCA016A4-62D8-4A0E-B97F-84EDEF2AC423}">
    <text>Add criteria for interagency partnerships and redevelopment potential.</text>
  </threadedComment>
</ThreadedComments>
</file>

<file path=xl/threadedComments/threadedComment2.xml><?xml version="1.0" encoding="utf-8"?>
<ThreadedComments xmlns="http://schemas.microsoft.com/office/spreadsheetml/2018/threadedcomments" xmlns:x="http://schemas.openxmlformats.org/spreadsheetml/2006/main">
  <threadedComment ref="AF3" dT="2022-08-15T21:41:03.66" personId="{7C4AE3DF-1C8C-4A77-B70A-4EE29F1E6F35}" id="{AE9A7913-FD76-4E4F-8D65-D9D2CE91C732}">
    <text>Consider number of amenities vs. single amenities.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teams.microsoft.com/l/file/D597590B-1C96-4701-B898-1598A5D572B6?tenantId=c7243e29-e897-47ce-8043-54eeb9907be5&amp;fileType=pdf&amp;objectUrl=https%3A%2F%2Flakestevens.sharepoint.com%2Fteams%2FCOLS-PublicWorks-PWAdmin%2FShared%20Documents%2FCapital%20Improvement%2FSource%20Documentation%2F2015%20Sidewalk%20Master%20Plan.pdf&amp;baseUrl=https%3A%2F%2Flakestevens.sharepoint.com%2Fteams%2FCOLS-PublicWorks-PWAdmin&amp;serviceName=teams&amp;threadId=19:81d7719b695a45118908124393f010ac@thread.skype&amp;groupId=bc1e1d56-af92-4ca6-aabd-aabfca49f192"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wsdot.wa.gov/data/tools/geoportal/?config=FunctionalClas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8D849-F101-4C47-9175-AB379DA569D4}">
  <sheetPr>
    <pageSetUpPr fitToPage="1"/>
  </sheetPr>
  <dimension ref="A3:AS71"/>
  <sheetViews>
    <sheetView zoomScale="70" zoomScaleNormal="70" zoomScaleSheetLayoutView="40" workbookViewId="0">
      <pane xSplit="3" ySplit="4" topLeftCell="D50" activePane="bottomRight" state="frozen"/>
      <selection pane="bottomRight" activeCell="G50" sqref="G50"/>
      <selection pane="bottomLeft" activeCell="A5" sqref="A5"/>
      <selection pane="topRight" activeCell="D1" sqref="D1"/>
    </sheetView>
  </sheetViews>
  <sheetFormatPr defaultColWidth="9.140625" defaultRowHeight="14.45"/>
  <cols>
    <col min="2" max="3" width="15.5703125" customWidth="1"/>
    <col min="4" max="4" width="25.7109375" style="1" customWidth="1"/>
    <col min="5" max="5" width="21" style="1" customWidth="1"/>
    <col min="6" max="6" width="21.28515625" customWidth="1"/>
    <col min="7" max="7" width="28.28515625" customWidth="1"/>
    <col min="8" max="35" width="15.5703125" customWidth="1"/>
    <col min="37" max="37" width="12" customWidth="1"/>
    <col min="38" max="38" width="29" customWidth="1"/>
    <col min="39" max="40" width="35.85546875" customWidth="1"/>
    <col min="41" max="41" width="45.5703125" customWidth="1"/>
    <col min="42" max="43" width="29" customWidth="1"/>
    <col min="44" max="44" width="32.5703125" customWidth="1"/>
    <col min="45" max="45" width="23" customWidth="1"/>
  </cols>
  <sheetData>
    <row r="3" spans="1:45" ht="30.75" customHeight="1">
      <c r="A3" s="311"/>
      <c r="B3" s="347" t="s">
        <v>0</v>
      </c>
      <c r="C3" s="347"/>
      <c r="D3" s="347"/>
      <c r="E3" s="347"/>
      <c r="F3" s="347"/>
      <c r="G3" s="347"/>
      <c r="H3" s="347"/>
      <c r="I3" s="347"/>
      <c r="J3" s="347"/>
      <c r="K3" s="347"/>
      <c r="L3" s="347"/>
      <c r="M3" s="347"/>
      <c r="N3" s="347"/>
      <c r="O3" s="347"/>
      <c r="P3" s="347"/>
      <c r="Q3" s="347"/>
      <c r="R3" s="347"/>
      <c r="S3" s="347"/>
      <c r="T3" s="347"/>
      <c r="U3" s="347"/>
      <c r="V3" s="347"/>
      <c r="W3" s="347"/>
      <c r="X3" s="347"/>
      <c r="Y3" s="347"/>
      <c r="Z3" s="347"/>
      <c r="AA3" s="347"/>
      <c r="AB3" s="347"/>
      <c r="AC3" s="347"/>
      <c r="AD3" s="347"/>
      <c r="AE3" s="347"/>
      <c r="AF3" s="347"/>
      <c r="AG3" s="347"/>
      <c r="AH3" s="347"/>
      <c r="AI3" s="347"/>
      <c r="AJ3" s="311"/>
      <c r="AK3" s="352" t="s">
        <v>1</v>
      </c>
      <c r="AL3" s="353"/>
      <c r="AM3" s="353"/>
      <c r="AN3" s="353"/>
      <c r="AO3" s="353"/>
      <c r="AP3" s="353"/>
      <c r="AQ3" s="353"/>
      <c r="AR3" s="353"/>
      <c r="AS3" s="354"/>
    </row>
    <row r="4" spans="1:45" ht="50.25" customHeight="1">
      <c r="A4" s="311"/>
      <c r="B4" s="189" t="s">
        <v>2</v>
      </c>
      <c r="C4" s="178" t="s">
        <v>3</v>
      </c>
      <c r="D4" s="178" t="s">
        <v>4</v>
      </c>
      <c r="E4" s="178" t="s">
        <v>5</v>
      </c>
      <c r="F4" s="2" t="s">
        <v>6</v>
      </c>
      <c r="G4" s="2" t="s">
        <v>7</v>
      </c>
      <c r="H4" s="2" t="s">
        <v>8</v>
      </c>
      <c r="I4" s="2" t="s">
        <v>9</v>
      </c>
      <c r="J4" s="2" t="s">
        <v>10</v>
      </c>
      <c r="K4" s="3" t="s">
        <v>11</v>
      </c>
      <c r="L4" s="3" t="s">
        <v>12</v>
      </c>
      <c r="M4" s="3" t="s">
        <v>13</v>
      </c>
      <c r="N4" s="3" t="s">
        <v>14</v>
      </c>
      <c r="O4" s="3" t="s">
        <v>15</v>
      </c>
      <c r="P4" s="3" t="s">
        <v>16</v>
      </c>
      <c r="Q4" s="3" t="s">
        <v>17</v>
      </c>
      <c r="R4" s="3" t="s">
        <v>18</v>
      </c>
      <c r="S4" s="3" t="s">
        <v>19</v>
      </c>
      <c r="T4" s="3" t="s">
        <v>20</v>
      </c>
      <c r="U4" s="3" t="s">
        <v>21</v>
      </c>
      <c r="V4" s="3" t="s">
        <v>22</v>
      </c>
      <c r="W4" s="3" t="s">
        <v>23</v>
      </c>
      <c r="X4" s="3" t="s">
        <v>24</v>
      </c>
      <c r="Y4" s="3" t="s">
        <v>25</v>
      </c>
      <c r="Z4" s="3" t="s">
        <v>26</v>
      </c>
      <c r="AA4" s="3" t="s">
        <v>27</v>
      </c>
      <c r="AB4" s="3" t="s">
        <v>28</v>
      </c>
      <c r="AC4" s="3" t="s">
        <v>29</v>
      </c>
      <c r="AD4" s="3" t="s">
        <v>30</v>
      </c>
      <c r="AE4" s="3" t="s">
        <v>31</v>
      </c>
      <c r="AF4" s="3" t="s">
        <v>32</v>
      </c>
      <c r="AG4" s="3" t="s">
        <v>33</v>
      </c>
      <c r="AH4" s="3" t="s">
        <v>34</v>
      </c>
      <c r="AI4" s="188" t="s">
        <v>35</v>
      </c>
      <c r="AJ4" s="311"/>
      <c r="AK4" s="83" t="s">
        <v>36</v>
      </c>
      <c r="AL4" s="84" t="s">
        <v>26</v>
      </c>
      <c r="AM4" s="84" t="s">
        <v>37</v>
      </c>
      <c r="AN4" s="84" t="s">
        <v>38</v>
      </c>
      <c r="AO4" s="84" t="s">
        <v>39</v>
      </c>
      <c r="AP4" s="84" t="s">
        <v>31</v>
      </c>
      <c r="AQ4" s="85" t="s">
        <v>32</v>
      </c>
      <c r="AR4" s="85" t="s">
        <v>33</v>
      </c>
      <c r="AS4" s="86" t="s">
        <v>34</v>
      </c>
    </row>
    <row r="5" spans="1:45" ht="50.25" customHeight="1">
      <c r="A5" s="311">
        <v>1</v>
      </c>
      <c r="B5" s="35" t="s">
        <v>40</v>
      </c>
      <c r="C5" s="294" t="s">
        <v>41</v>
      </c>
      <c r="D5" s="6" t="s">
        <v>42</v>
      </c>
      <c r="E5" s="5" t="s">
        <v>43</v>
      </c>
      <c r="F5" s="5" t="s">
        <v>44</v>
      </c>
      <c r="G5" s="6" t="s">
        <v>45</v>
      </c>
      <c r="H5" s="74">
        <v>2500000</v>
      </c>
      <c r="I5" s="6" t="s">
        <v>46</v>
      </c>
      <c r="J5" s="74"/>
      <c r="K5" s="311"/>
      <c r="L5" s="311"/>
      <c r="M5" s="311"/>
      <c r="N5" s="311"/>
      <c r="O5" s="311"/>
      <c r="P5" s="311"/>
      <c r="Q5" s="311"/>
      <c r="R5" s="311"/>
      <c r="S5" s="13">
        <v>3600000</v>
      </c>
      <c r="T5" s="8">
        <v>600000</v>
      </c>
      <c r="U5" s="8">
        <v>270000</v>
      </c>
      <c r="V5" s="8"/>
      <c r="W5" s="190">
        <f>SUM(S5:V5)</f>
        <v>4470000</v>
      </c>
      <c r="X5" s="8">
        <v>287000</v>
      </c>
      <c r="Y5" s="36">
        <f>W5/X5</f>
        <v>15.574912891986063</v>
      </c>
      <c r="Z5" s="311" t="s">
        <v>47</v>
      </c>
      <c r="AA5" s="311">
        <v>2</v>
      </c>
      <c r="AB5" s="311">
        <v>2</v>
      </c>
      <c r="AC5" s="311">
        <v>2</v>
      </c>
      <c r="AD5" s="311">
        <v>3</v>
      </c>
      <c r="AE5" s="65" t="str">
        <f>IF(W5&lt;150000,"3",IF(W5&lt;500000,"2",IF(W5&gt;500000,"1")))</f>
        <v>1</v>
      </c>
      <c r="AF5" s="311">
        <v>3</v>
      </c>
      <c r="AG5" s="311">
        <v>3</v>
      </c>
      <c r="AH5" s="311">
        <v>2</v>
      </c>
      <c r="AI5" s="14" cm="1">
        <f t="array" ref="AI5">SUM(AA5:AH5/8)</f>
        <v>2.25</v>
      </c>
      <c r="AJ5" s="311"/>
      <c r="AK5" s="349" t="s">
        <v>48</v>
      </c>
      <c r="AL5" s="87" t="s">
        <v>49</v>
      </c>
      <c r="AM5" s="87" t="s">
        <v>50</v>
      </c>
      <c r="AN5" s="87" t="s">
        <v>51</v>
      </c>
      <c r="AO5" s="87" t="s">
        <v>52</v>
      </c>
      <c r="AP5" s="87" t="s">
        <v>53</v>
      </c>
      <c r="AQ5" s="88" t="s">
        <v>54</v>
      </c>
      <c r="AR5" s="88" t="s">
        <v>55</v>
      </c>
      <c r="AS5" s="89" t="s">
        <v>56</v>
      </c>
    </row>
    <row r="6" spans="1:45" ht="50.25" customHeight="1">
      <c r="A6" s="311">
        <v>2</v>
      </c>
      <c r="B6" s="35" t="s">
        <v>57</v>
      </c>
      <c r="C6" s="179" t="s">
        <v>58</v>
      </c>
      <c r="D6" s="6" t="s">
        <v>59</v>
      </c>
      <c r="E6" s="6" t="s">
        <v>60</v>
      </c>
      <c r="F6" s="5" t="s">
        <v>61</v>
      </c>
      <c r="G6" s="5"/>
      <c r="H6" s="74"/>
      <c r="I6" s="5"/>
      <c r="J6" s="74"/>
      <c r="K6" s="311">
        <v>650</v>
      </c>
      <c r="L6" s="311">
        <v>400</v>
      </c>
      <c r="M6" s="311"/>
      <c r="N6" s="311">
        <v>600</v>
      </c>
      <c r="O6" s="311">
        <v>10</v>
      </c>
      <c r="P6" s="311">
        <v>4000</v>
      </c>
      <c r="Q6" s="311"/>
      <c r="R6" s="311">
        <v>2500</v>
      </c>
      <c r="S6" s="13">
        <f>K6*L6+O6*P6+Q6*R6+M6*N6</f>
        <v>300000</v>
      </c>
      <c r="T6" s="8">
        <f>S6*0.1</f>
        <v>30000</v>
      </c>
      <c r="U6" s="8">
        <f>S6*0.07</f>
        <v>21000.000000000004</v>
      </c>
      <c r="V6" s="8">
        <f>SUM(S6:U6)*0.2</f>
        <v>70200</v>
      </c>
      <c r="W6" s="190">
        <f>SUM(S6:V6)</f>
        <v>421200</v>
      </c>
      <c r="X6" s="8">
        <v>120000</v>
      </c>
      <c r="Y6" s="36">
        <f>W6/X6</f>
        <v>3.51</v>
      </c>
      <c r="Z6" s="311" t="s">
        <v>62</v>
      </c>
      <c r="AA6" s="311">
        <v>3</v>
      </c>
      <c r="AB6" s="311">
        <v>1</v>
      </c>
      <c r="AC6" s="311">
        <v>1</v>
      </c>
      <c r="AD6" s="311">
        <v>3</v>
      </c>
      <c r="AE6" s="65" t="str">
        <f>IF(W6&lt;150000,"3",IF(W6&lt;500000,"2",IF(W6&gt;500000,"1")))</f>
        <v>2</v>
      </c>
      <c r="AF6" s="311">
        <v>2</v>
      </c>
      <c r="AG6" s="311">
        <v>2</v>
      </c>
      <c r="AH6" s="311">
        <v>1</v>
      </c>
      <c r="AI6" s="14" cm="1">
        <f t="array" ref="AI6">SUM(AA6:AH6/8)</f>
        <v>1.875</v>
      </c>
      <c r="AJ6" s="311"/>
      <c r="AK6" s="350"/>
      <c r="AL6" s="90"/>
      <c r="AM6" s="90" t="s">
        <v>63</v>
      </c>
      <c r="AN6" s="90"/>
      <c r="AO6" s="90" t="s">
        <v>64</v>
      </c>
      <c r="AP6" s="90"/>
      <c r="AQ6" s="91"/>
      <c r="AR6" s="91"/>
      <c r="AS6" s="92"/>
    </row>
    <row r="7" spans="1:45" ht="50.25" customHeight="1">
      <c r="A7" s="311">
        <v>3</v>
      </c>
      <c r="B7" s="35" t="s">
        <v>65</v>
      </c>
      <c r="C7" s="179" t="s">
        <v>66</v>
      </c>
      <c r="D7" s="6" t="s">
        <v>67</v>
      </c>
      <c r="E7" s="6" t="s">
        <v>68</v>
      </c>
      <c r="F7" s="5" t="s">
        <v>69</v>
      </c>
      <c r="G7" s="5"/>
      <c r="H7" s="74"/>
      <c r="I7" s="5"/>
      <c r="J7" s="74"/>
      <c r="K7" s="311">
        <v>500</v>
      </c>
      <c r="L7" s="311">
        <v>400</v>
      </c>
      <c r="M7" s="311"/>
      <c r="N7" s="311">
        <v>600</v>
      </c>
      <c r="O7" s="311">
        <v>4</v>
      </c>
      <c r="P7" s="311">
        <v>4000</v>
      </c>
      <c r="Q7" s="311"/>
      <c r="R7" s="311">
        <v>2500</v>
      </c>
      <c r="S7" s="13">
        <f>K7*L7+O7*P7+Q7*R7+M7*N7</f>
        <v>216000</v>
      </c>
      <c r="T7" s="8">
        <f>S7*0.1</f>
        <v>21600</v>
      </c>
      <c r="U7" s="8">
        <f>S7*0.07</f>
        <v>15120.000000000002</v>
      </c>
      <c r="V7" s="8">
        <f>SUM(S7:U7)*0.2</f>
        <v>50544</v>
      </c>
      <c r="W7" s="190">
        <f>SUM(S7:V7)</f>
        <v>303264</v>
      </c>
      <c r="X7" s="8">
        <v>81000</v>
      </c>
      <c r="Y7" s="36">
        <f>W7/X7</f>
        <v>3.7440000000000002</v>
      </c>
      <c r="Z7" s="311" t="s">
        <v>62</v>
      </c>
      <c r="AA7" s="311">
        <v>3</v>
      </c>
      <c r="AB7" s="311">
        <v>2</v>
      </c>
      <c r="AC7" s="311">
        <v>1</v>
      </c>
      <c r="AD7" s="311">
        <v>3</v>
      </c>
      <c r="AE7" s="65" t="str">
        <f>IF(W7&lt;150000,"3",IF(W7&lt;500000,"2",IF(W7&gt;500000,"1")))</f>
        <v>2</v>
      </c>
      <c r="AF7" s="311">
        <v>3</v>
      </c>
      <c r="AG7" s="311">
        <v>1</v>
      </c>
      <c r="AH7" s="311">
        <v>1</v>
      </c>
      <c r="AI7" s="14" cm="1">
        <f t="array" ref="AI7">SUM(AA7:AH7/8)</f>
        <v>2</v>
      </c>
      <c r="AJ7" s="311"/>
      <c r="AK7" s="350"/>
      <c r="AL7" s="90"/>
      <c r="AM7" s="90" t="s">
        <v>70</v>
      </c>
      <c r="AN7" s="90"/>
      <c r="AO7" s="90" t="s">
        <v>71</v>
      </c>
      <c r="AP7" s="90"/>
      <c r="AQ7" s="91"/>
      <c r="AR7" s="91"/>
      <c r="AS7" s="92"/>
    </row>
    <row r="8" spans="1:45" ht="50.25" customHeight="1">
      <c r="A8" s="311">
        <v>4</v>
      </c>
      <c r="B8" s="35" t="s">
        <v>72</v>
      </c>
      <c r="C8" s="179" t="s">
        <v>73</v>
      </c>
      <c r="D8" s="6" t="s">
        <v>74</v>
      </c>
      <c r="E8" s="6" t="s">
        <v>67</v>
      </c>
      <c r="F8" s="5" t="s">
        <v>75</v>
      </c>
      <c r="G8" s="5"/>
      <c r="H8" s="74"/>
      <c r="I8" s="5"/>
      <c r="J8" s="74"/>
      <c r="K8" s="311">
        <v>650</v>
      </c>
      <c r="L8" s="311">
        <v>400</v>
      </c>
      <c r="M8" s="311"/>
      <c r="N8" s="311">
        <v>600</v>
      </c>
      <c r="O8" s="311">
        <v>2</v>
      </c>
      <c r="P8" s="311">
        <v>4000</v>
      </c>
      <c r="Q8" s="311">
        <v>2</v>
      </c>
      <c r="R8" s="311">
        <v>2500</v>
      </c>
      <c r="S8" s="13">
        <f>K8*L8+O8*P8+Q8*R8+M8*N8</f>
        <v>273000</v>
      </c>
      <c r="T8" s="8">
        <f>S8*0.1</f>
        <v>27300</v>
      </c>
      <c r="U8" s="8">
        <f>S8*0.07</f>
        <v>19110</v>
      </c>
      <c r="V8" s="8">
        <f>SUM(S8:U8)*0.2</f>
        <v>63882</v>
      </c>
      <c r="W8" s="190">
        <f>SUM(S8:V8)</f>
        <v>383292</v>
      </c>
      <c r="X8" s="8">
        <v>135000</v>
      </c>
      <c r="Y8" s="36">
        <f>W8/X8</f>
        <v>2.8391999999999999</v>
      </c>
      <c r="Z8" s="311" t="s">
        <v>62</v>
      </c>
      <c r="AA8" s="311">
        <v>3</v>
      </c>
      <c r="AB8" s="311">
        <v>2</v>
      </c>
      <c r="AC8" s="311">
        <v>1</v>
      </c>
      <c r="AD8" s="311">
        <v>3</v>
      </c>
      <c r="AE8" s="65" t="str">
        <f>IF(W8&lt;150000,"3",IF(W8&lt;500000,"2",IF(W8&gt;500000,"1")))</f>
        <v>2</v>
      </c>
      <c r="AF8" s="311">
        <v>3</v>
      </c>
      <c r="AG8" s="311">
        <v>1</v>
      </c>
      <c r="AH8" s="311">
        <v>1</v>
      </c>
      <c r="AI8" s="14" cm="1">
        <f t="array" ref="AI8">SUM(AA8:AH8/8)</f>
        <v>2</v>
      </c>
      <c r="AJ8" s="311"/>
      <c r="AK8" s="350"/>
      <c r="AL8" s="90"/>
      <c r="AM8" s="90"/>
      <c r="AN8" s="90"/>
      <c r="AO8" s="90" t="s">
        <v>76</v>
      </c>
      <c r="AP8" s="90"/>
      <c r="AQ8" s="91"/>
      <c r="AR8" s="91"/>
      <c r="AS8" s="92"/>
    </row>
    <row r="9" spans="1:45" ht="50.25" hidden="1" customHeight="1">
      <c r="A9" s="311">
        <v>5</v>
      </c>
      <c r="B9" s="35" t="s">
        <v>77</v>
      </c>
      <c r="C9" s="179"/>
      <c r="D9" s="6" t="s">
        <v>74</v>
      </c>
      <c r="E9" s="6" t="s">
        <v>78</v>
      </c>
      <c r="F9" s="5" t="s">
        <v>79</v>
      </c>
      <c r="G9" s="5"/>
      <c r="H9" s="74"/>
      <c r="I9" s="5"/>
      <c r="J9" s="74"/>
      <c r="K9" s="311">
        <v>500</v>
      </c>
      <c r="L9" s="311">
        <v>400</v>
      </c>
      <c r="M9" s="311"/>
      <c r="N9" s="311">
        <v>600</v>
      </c>
      <c r="O9" s="311">
        <v>4</v>
      </c>
      <c r="P9" s="311">
        <v>4000</v>
      </c>
      <c r="Q9" s="311"/>
      <c r="R9" s="311">
        <v>2500</v>
      </c>
      <c r="S9" s="13">
        <f>K9*L9+O9*P9+Q9*R9+M9*N9</f>
        <v>216000</v>
      </c>
      <c r="T9" s="8">
        <f>S9*0.1</f>
        <v>21600</v>
      </c>
      <c r="U9" s="8">
        <f>S9*0.07</f>
        <v>15120.000000000002</v>
      </c>
      <c r="V9" s="8">
        <f>SUM(S9:U9)*0.2</f>
        <v>50544</v>
      </c>
      <c r="W9" s="190">
        <f>SUM(S9:V9)</f>
        <v>303264</v>
      </c>
      <c r="X9" s="8">
        <v>173000</v>
      </c>
      <c r="Y9" s="36">
        <f>W9/X9</f>
        <v>1.7529710982658959</v>
      </c>
      <c r="Z9" s="311" t="s">
        <v>80</v>
      </c>
      <c r="AA9" s="311">
        <v>1</v>
      </c>
      <c r="AB9" s="311">
        <v>2</v>
      </c>
      <c r="AC9" s="311">
        <v>2</v>
      </c>
      <c r="AD9" s="311">
        <v>2</v>
      </c>
      <c r="AE9" s="65" t="str">
        <f>IF(W9&lt;150000,"3",IF(W9&lt;500000,"2",IF(W9&gt;500000,"1")))</f>
        <v>2</v>
      </c>
      <c r="AF9" s="311">
        <v>3</v>
      </c>
      <c r="AG9" s="311">
        <v>1</v>
      </c>
      <c r="AH9" s="311">
        <v>1</v>
      </c>
      <c r="AI9" s="14" cm="1">
        <f t="array" ref="AI9">SUM(AA9:AH9/8)</f>
        <v>1.75</v>
      </c>
      <c r="AJ9" s="311"/>
      <c r="AK9" s="350"/>
      <c r="AL9" s="90"/>
      <c r="AM9" s="90"/>
      <c r="AN9" s="90"/>
      <c r="AO9" s="90" t="s">
        <v>81</v>
      </c>
      <c r="AP9" s="90"/>
      <c r="AQ9" s="91"/>
      <c r="AR9" s="91"/>
      <c r="AS9" s="92"/>
    </row>
    <row r="10" spans="1:45" ht="50.25" hidden="1" customHeight="1">
      <c r="A10" s="311">
        <v>6</v>
      </c>
      <c r="B10" s="35" t="s">
        <v>82</v>
      </c>
      <c r="C10" s="179"/>
      <c r="D10" s="6" t="s">
        <v>83</v>
      </c>
      <c r="E10" s="6" t="s">
        <v>84</v>
      </c>
      <c r="F10" s="5" t="s">
        <v>85</v>
      </c>
      <c r="G10" s="5"/>
      <c r="H10" s="74"/>
      <c r="I10" s="5"/>
      <c r="J10" s="74"/>
      <c r="K10" s="311">
        <v>1400</v>
      </c>
      <c r="L10" s="311">
        <v>400</v>
      </c>
      <c r="M10" s="311"/>
      <c r="N10" s="311">
        <v>600</v>
      </c>
      <c r="O10" s="311">
        <v>2</v>
      </c>
      <c r="P10" s="311">
        <v>4000</v>
      </c>
      <c r="Q10" s="311"/>
      <c r="R10" s="311">
        <v>2500</v>
      </c>
      <c r="S10" s="13">
        <f>K10*L10+O10*P10+Q10*R10+M10*N10</f>
        <v>568000</v>
      </c>
      <c r="T10" s="8">
        <f>S10*0.1</f>
        <v>56800</v>
      </c>
      <c r="U10" s="8">
        <f>S10*0.07</f>
        <v>39760.000000000007</v>
      </c>
      <c r="V10" s="8">
        <f>SUM(S10:U10)*0.2</f>
        <v>132912</v>
      </c>
      <c r="W10" s="190">
        <f>SUM(S10:V10)</f>
        <v>797472</v>
      </c>
      <c r="X10" s="8">
        <v>209000</v>
      </c>
      <c r="Y10" s="36">
        <f>W10/X10</f>
        <v>3.8156555023923446</v>
      </c>
      <c r="Z10" s="311" t="s">
        <v>80</v>
      </c>
      <c r="AA10" s="311">
        <v>1</v>
      </c>
      <c r="AB10" s="311">
        <v>1</v>
      </c>
      <c r="AC10" s="311">
        <v>1</v>
      </c>
      <c r="AD10" s="311">
        <v>1</v>
      </c>
      <c r="AE10" s="65" t="str">
        <f>IF(W10&lt;150000,"3",IF(W10&lt;500000,"2",IF(W10&gt;500000,"1")))</f>
        <v>1</v>
      </c>
      <c r="AF10" s="311">
        <v>1</v>
      </c>
      <c r="AG10" s="311">
        <v>1</v>
      </c>
      <c r="AH10" s="311">
        <v>1</v>
      </c>
      <c r="AI10" s="14" cm="1">
        <f t="array" ref="AI10">SUM(AA10:AH10/8)</f>
        <v>1</v>
      </c>
      <c r="AJ10" s="311"/>
      <c r="AK10" s="351"/>
      <c r="AL10" s="90"/>
      <c r="AM10" s="90"/>
      <c r="AN10" s="90"/>
      <c r="AO10" s="90" t="s">
        <v>86</v>
      </c>
      <c r="AP10" s="90"/>
      <c r="AQ10" s="91"/>
      <c r="AR10" s="91"/>
      <c r="AS10" s="92"/>
    </row>
    <row r="11" spans="1:45" ht="50.25" customHeight="1">
      <c r="A11" s="311">
        <v>7</v>
      </c>
      <c r="B11" s="35" t="s">
        <v>87</v>
      </c>
      <c r="C11" s="294" t="s">
        <v>88</v>
      </c>
      <c r="D11" s="6" t="s">
        <v>89</v>
      </c>
      <c r="E11" s="6" t="s">
        <v>90</v>
      </c>
      <c r="F11" s="5" t="s">
        <v>91</v>
      </c>
      <c r="G11" s="6" t="s">
        <v>92</v>
      </c>
      <c r="H11" s="74"/>
      <c r="I11" s="5"/>
      <c r="J11" s="74"/>
      <c r="K11" s="311"/>
      <c r="L11" s="311"/>
      <c r="M11" s="311"/>
      <c r="N11" s="311"/>
      <c r="O11" s="311"/>
      <c r="P11" s="311"/>
      <c r="Q11" s="311"/>
      <c r="R11" s="311"/>
      <c r="S11" s="13">
        <v>1170000</v>
      </c>
      <c r="T11" s="8">
        <v>290000</v>
      </c>
      <c r="U11" s="8"/>
      <c r="V11" s="8"/>
      <c r="W11" s="190">
        <f>SUM(S11:V11)</f>
        <v>1460000</v>
      </c>
      <c r="X11" s="8">
        <v>434000</v>
      </c>
      <c r="Y11" s="36">
        <f>W11/X11</f>
        <v>3.3640552995391704</v>
      </c>
      <c r="Z11" s="311" t="s">
        <v>80</v>
      </c>
      <c r="AA11" s="311">
        <v>1</v>
      </c>
      <c r="AB11" s="311">
        <v>2</v>
      </c>
      <c r="AC11" s="311">
        <v>3</v>
      </c>
      <c r="AD11" s="311">
        <v>3</v>
      </c>
      <c r="AE11" s="65" t="str">
        <f>IF(W11&lt;150000,"3",IF(W11&lt;500000,"2",IF(W11&gt;500000,"1")))</f>
        <v>1</v>
      </c>
      <c r="AF11" s="311">
        <v>2</v>
      </c>
      <c r="AG11" s="311">
        <v>2</v>
      </c>
      <c r="AH11" s="311">
        <v>3</v>
      </c>
      <c r="AI11" s="14" cm="1">
        <f t="array" ref="AI11">SUM(AA11:AH11/8)</f>
        <v>2.125</v>
      </c>
      <c r="AJ11" s="311"/>
      <c r="AK11" s="93"/>
      <c r="AL11" s="94"/>
      <c r="AM11" s="94"/>
      <c r="AN11" s="94"/>
      <c r="AO11" s="94"/>
      <c r="AP11" s="94"/>
      <c r="AQ11" s="95"/>
      <c r="AR11" s="95"/>
      <c r="AS11" s="96"/>
    </row>
    <row r="12" spans="1:45" ht="50.25" hidden="1" customHeight="1">
      <c r="A12" s="311">
        <v>8</v>
      </c>
      <c r="B12" s="35" t="s">
        <v>93</v>
      </c>
      <c r="C12" s="179"/>
      <c r="D12" s="6" t="s">
        <v>94</v>
      </c>
      <c r="E12" s="6" t="s">
        <v>95</v>
      </c>
      <c r="F12" s="5" t="s">
        <v>96</v>
      </c>
      <c r="G12" s="5"/>
      <c r="H12" s="74"/>
      <c r="I12" s="5"/>
      <c r="J12" s="74"/>
      <c r="K12" s="311">
        <v>3000</v>
      </c>
      <c r="L12" s="311">
        <v>400</v>
      </c>
      <c r="M12" s="311"/>
      <c r="N12" s="311">
        <v>600</v>
      </c>
      <c r="O12" s="311">
        <v>8</v>
      </c>
      <c r="P12" s="311">
        <v>4000</v>
      </c>
      <c r="Q12" s="311"/>
      <c r="R12" s="311">
        <v>2500</v>
      </c>
      <c r="S12" s="13">
        <f>K12*L12+O12*P12+Q12*R12+M12*N12</f>
        <v>1232000</v>
      </c>
      <c r="T12" s="8">
        <f>S12*0.1</f>
        <v>123200</v>
      </c>
      <c r="U12" s="8">
        <f>S12*0.07</f>
        <v>86240.000000000015</v>
      </c>
      <c r="V12" s="8">
        <f>SUM(S12:U12)*0.2</f>
        <v>288288</v>
      </c>
      <c r="W12" s="190">
        <f>SUM(S12:V12)</f>
        <v>1729728</v>
      </c>
      <c r="X12" s="8">
        <v>1070000</v>
      </c>
      <c r="Y12" s="36">
        <f>W12/X12</f>
        <v>1.6165682242990653</v>
      </c>
      <c r="Z12" s="311" t="s">
        <v>80</v>
      </c>
      <c r="AA12" s="311">
        <v>1</v>
      </c>
      <c r="AB12" s="311">
        <v>2</v>
      </c>
      <c r="AC12" s="311">
        <v>1</v>
      </c>
      <c r="AD12" s="311">
        <v>1</v>
      </c>
      <c r="AE12" s="65" t="str">
        <f>IF(W12&lt;150000,"3",IF(W12&lt;500000,"2",IF(W12&gt;500000,"1")))</f>
        <v>1</v>
      </c>
      <c r="AF12" s="311">
        <v>3</v>
      </c>
      <c r="AG12" s="311">
        <v>2</v>
      </c>
      <c r="AH12" s="311">
        <v>1</v>
      </c>
      <c r="AI12" s="14" cm="1">
        <f t="array" ref="AI12">SUM(AA12:AH12/8)</f>
        <v>1.5</v>
      </c>
      <c r="AJ12" s="311"/>
      <c r="AK12" s="360" t="s">
        <v>97</v>
      </c>
      <c r="AL12" s="97" t="s">
        <v>98</v>
      </c>
      <c r="AM12" s="97" t="s">
        <v>99</v>
      </c>
      <c r="AN12" s="97" t="s">
        <v>100</v>
      </c>
      <c r="AO12" s="97" t="s">
        <v>101</v>
      </c>
      <c r="AP12" s="97" t="s">
        <v>102</v>
      </c>
      <c r="AQ12" s="98" t="s">
        <v>103</v>
      </c>
      <c r="AR12" s="98" t="s">
        <v>104</v>
      </c>
      <c r="AS12" s="99" t="s">
        <v>105</v>
      </c>
    </row>
    <row r="13" spans="1:45" ht="50.25" hidden="1" customHeight="1">
      <c r="A13" s="311">
        <v>9</v>
      </c>
      <c r="B13" s="35" t="s">
        <v>106</v>
      </c>
      <c r="C13" s="179"/>
      <c r="D13" s="6" t="s">
        <v>83</v>
      </c>
      <c r="E13" s="6" t="s">
        <v>85</v>
      </c>
      <c r="F13" s="5" t="s">
        <v>107</v>
      </c>
      <c r="G13" s="5"/>
      <c r="H13" s="74"/>
      <c r="I13" s="5"/>
      <c r="J13" s="74"/>
      <c r="K13" s="311">
        <v>1400</v>
      </c>
      <c r="L13" s="311">
        <v>400</v>
      </c>
      <c r="M13" s="311"/>
      <c r="N13" s="311">
        <v>600</v>
      </c>
      <c r="O13" s="311"/>
      <c r="P13" s="311">
        <v>4000</v>
      </c>
      <c r="Q13" s="311"/>
      <c r="R13" s="311">
        <v>2500</v>
      </c>
      <c r="S13" s="13">
        <f>K13*L13+O13*P13+Q13*R13+M13*N13</f>
        <v>560000</v>
      </c>
      <c r="T13" s="8">
        <f>S13*0.1</f>
        <v>56000</v>
      </c>
      <c r="U13" s="8">
        <f>S13*0.07</f>
        <v>39200.000000000007</v>
      </c>
      <c r="V13" s="8">
        <f>SUM(S13:U13)*0.2</f>
        <v>131040</v>
      </c>
      <c r="W13" s="190">
        <f>SUM(S13:V13)</f>
        <v>786240</v>
      </c>
      <c r="X13" s="8">
        <v>523000</v>
      </c>
      <c r="Y13" s="36">
        <f>W13/X13</f>
        <v>1.5033269598470362</v>
      </c>
      <c r="Z13" s="311" t="s">
        <v>80</v>
      </c>
      <c r="AA13" s="311">
        <v>1</v>
      </c>
      <c r="AB13" s="311">
        <v>1</v>
      </c>
      <c r="AC13" s="311">
        <v>1</v>
      </c>
      <c r="AD13" s="311">
        <v>3</v>
      </c>
      <c r="AE13" s="65" t="str">
        <f>IF(W13&lt;150000,"3",IF(W13&lt;500000,"2",IF(W13&gt;500000,"1")))</f>
        <v>1</v>
      </c>
      <c r="AF13" s="311">
        <v>1</v>
      </c>
      <c r="AG13" s="311">
        <v>1</v>
      </c>
      <c r="AH13" s="311">
        <v>1</v>
      </c>
      <c r="AI13" s="14" cm="1">
        <f t="array" ref="AI13">SUM(AA13:AH13/8)</f>
        <v>1.25</v>
      </c>
      <c r="AJ13" s="311"/>
      <c r="AK13" s="361"/>
      <c r="AL13" s="97"/>
      <c r="AM13" s="97" t="s">
        <v>108</v>
      </c>
      <c r="AN13" s="97"/>
      <c r="AO13" s="97"/>
      <c r="AP13" s="97"/>
      <c r="AQ13" s="98"/>
      <c r="AR13" s="98"/>
      <c r="AS13" s="99"/>
    </row>
    <row r="14" spans="1:45" ht="50.25" hidden="1" customHeight="1">
      <c r="A14" s="311">
        <v>10</v>
      </c>
      <c r="B14" s="35" t="s">
        <v>109</v>
      </c>
      <c r="C14" s="179"/>
      <c r="D14" s="6" t="s">
        <v>110</v>
      </c>
      <c r="E14" s="6" t="s">
        <v>111</v>
      </c>
      <c r="F14" s="5" t="s">
        <v>107</v>
      </c>
      <c r="G14" s="5"/>
      <c r="H14" s="74"/>
      <c r="I14" s="5"/>
      <c r="J14" s="74"/>
      <c r="K14" s="311">
        <v>1500</v>
      </c>
      <c r="L14" s="311">
        <v>400</v>
      </c>
      <c r="M14" s="311"/>
      <c r="N14" s="311">
        <v>600</v>
      </c>
      <c r="O14" s="311">
        <v>2</v>
      </c>
      <c r="P14" s="311">
        <v>4000</v>
      </c>
      <c r="Q14" s="311"/>
      <c r="R14" s="311">
        <v>2500</v>
      </c>
      <c r="S14" s="13">
        <f>K14*L14+O14*P14+Q14*R14+M14*N14</f>
        <v>608000</v>
      </c>
      <c r="T14" s="8">
        <f>S14*0.1</f>
        <v>60800</v>
      </c>
      <c r="U14" s="8">
        <f>S14*0.07</f>
        <v>42560.000000000007</v>
      </c>
      <c r="V14" s="8">
        <f>SUM(S14:U14)*0.2</f>
        <v>142272</v>
      </c>
      <c r="W14" s="190">
        <f>SUM(S14:V14)</f>
        <v>853632</v>
      </c>
      <c r="X14" s="8">
        <v>597000</v>
      </c>
      <c r="Y14" s="36">
        <f>W14/X14</f>
        <v>1.4298693467336683</v>
      </c>
      <c r="Z14" s="311" t="s">
        <v>80</v>
      </c>
      <c r="AA14" s="311">
        <v>1</v>
      </c>
      <c r="AB14" s="311">
        <v>2</v>
      </c>
      <c r="AC14" s="311">
        <v>1</v>
      </c>
      <c r="AD14" s="311">
        <v>1</v>
      </c>
      <c r="AE14" s="65" t="str">
        <f>IF(W14&lt;150000,"3",IF(W14&lt;500000,"2",IF(W14&gt;500000,"1")))</f>
        <v>1</v>
      </c>
      <c r="AF14" s="311">
        <v>1</v>
      </c>
      <c r="AG14" s="311">
        <v>1</v>
      </c>
      <c r="AH14" s="311">
        <v>1</v>
      </c>
      <c r="AI14" s="14" cm="1">
        <f t="array" ref="AI14">SUM(AA14:AH14/8)</f>
        <v>1.125</v>
      </c>
      <c r="AJ14" s="311"/>
      <c r="AK14" s="361"/>
      <c r="AL14" s="97"/>
      <c r="AM14" s="97"/>
      <c r="AN14" s="97"/>
      <c r="AO14" s="97" t="s">
        <v>112</v>
      </c>
      <c r="AP14" s="97"/>
      <c r="AQ14" s="98"/>
      <c r="AR14" s="98"/>
      <c r="AS14" s="99"/>
    </row>
    <row r="15" spans="1:45" ht="50.25" customHeight="1">
      <c r="A15" s="311">
        <v>11</v>
      </c>
      <c r="B15" s="35" t="s">
        <v>113</v>
      </c>
      <c r="C15" s="294" t="s">
        <v>114</v>
      </c>
      <c r="D15" s="6" t="s">
        <v>115</v>
      </c>
      <c r="E15" s="6" t="s">
        <v>110</v>
      </c>
      <c r="F15" s="5" t="s">
        <v>116</v>
      </c>
      <c r="G15" s="6" t="s">
        <v>117</v>
      </c>
      <c r="H15" s="74"/>
      <c r="I15" s="5"/>
      <c r="J15" s="74"/>
      <c r="K15" s="311"/>
      <c r="L15" s="311"/>
      <c r="M15" s="311"/>
      <c r="N15" s="311"/>
      <c r="O15" s="311"/>
      <c r="P15" s="311"/>
      <c r="Q15" s="311"/>
      <c r="R15" s="311"/>
      <c r="S15" s="13">
        <v>1100000</v>
      </c>
      <c r="T15" s="8">
        <v>275000</v>
      </c>
      <c r="U15" s="8"/>
      <c r="V15" s="8"/>
      <c r="W15" s="190">
        <f>SUM(S15:V15)</f>
        <v>1375000</v>
      </c>
      <c r="X15" s="8">
        <v>1031000</v>
      </c>
      <c r="Y15" s="36">
        <f>W15/X15</f>
        <v>1.3336566440349176</v>
      </c>
      <c r="Z15" s="311" t="s">
        <v>62</v>
      </c>
      <c r="AA15" s="311">
        <v>3</v>
      </c>
      <c r="AB15" s="311">
        <v>3</v>
      </c>
      <c r="AC15" s="311">
        <v>1</v>
      </c>
      <c r="AD15" s="311">
        <v>3</v>
      </c>
      <c r="AE15" s="65" t="str">
        <f>IF(W15&lt;150000,"3",IF(W15&lt;500000,"2",IF(W15&gt;500000,"1")))</f>
        <v>1</v>
      </c>
      <c r="AF15" s="311">
        <v>3</v>
      </c>
      <c r="AG15" s="311">
        <v>2</v>
      </c>
      <c r="AH15" s="311">
        <v>1</v>
      </c>
      <c r="AI15" s="14" cm="1">
        <f t="array" ref="AI15">SUM(AA15:AH15/8)</f>
        <v>2.125</v>
      </c>
      <c r="AJ15" s="311"/>
      <c r="AK15" s="362"/>
      <c r="AL15" s="97"/>
      <c r="AM15" s="97"/>
      <c r="AN15" s="97"/>
      <c r="AO15" s="97"/>
      <c r="AP15" s="97"/>
      <c r="AQ15" s="98"/>
      <c r="AR15" s="98"/>
      <c r="AS15" s="99"/>
    </row>
    <row r="16" spans="1:45" ht="50.25" customHeight="1">
      <c r="A16" s="311">
        <v>12</v>
      </c>
      <c r="B16" s="35" t="s">
        <v>118</v>
      </c>
      <c r="C16" s="313" t="s">
        <v>119</v>
      </c>
      <c r="D16" s="315" t="s">
        <v>120</v>
      </c>
      <c r="E16" s="315" t="s">
        <v>121</v>
      </c>
      <c r="F16" s="316" t="s">
        <v>122</v>
      </c>
      <c r="G16" s="316"/>
      <c r="H16" s="74"/>
      <c r="I16" s="316"/>
      <c r="J16" s="74"/>
      <c r="K16" s="312">
        <v>450</v>
      </c>
      <c r="L16" s="312">
        <v>400</v>
      </c>
      <c r="M16" s="312"/>
      <c r="N16" s="312">
        <v>600</v>
      </c>
      <c r="O16" s="312">
        <v>2</v>
      </c>
      <c r="P16" s="312">
        <v>4000</v>
      </c>
      <c r="Q16" s="312"/>
      <c r="R16" s="312">
        <v>2500</v>
      </c>
      <c r="S16" s="13">
        <f>K16*L16+O16*P16+Q16*R16+M16*N16</f>
        <v>188000</v>
      </c>
      <c r="T16" s="317">
        <f>S16*0.1</f>
        <v>18800</v>
      </c>
      <c r="U16" s="317">
        <f>S16*0.07</f>
        <v>13160.000000000002</v>
      </c>
      <c r="V16" s="317">
        <f>SUM(S16:U16)*0.2</f>
        <v>43992</v>
      </c>
      <c r="W16" s="318">
        <f>SUM(S16:V16)</f>
        <v>263952</v>
      </c>
      <c r="X16" s="317">
        <v>163000</v>
      </c>
      <c r="Y16" s="36">
        <f>W16/X16</f>
        <v>1.6193374233128834</v>
      </c>
      <c r="Z16" s="312" t="s">
        <v>47</v>
      </c>
      <c r="AA16" s="312">
        <v>2</v>
      </c>
      <c r="AB16" s="312">
        <v>1</v>
      </c>
      <c r="AC16" s="312">
        <v>1</v>
      </c>
      <c r="AD16" s="312">
        <v>3</v>
      </c>
      <c r="AE16" s="319" t="str">
        <f>IF(W16&lt;150000,"3",IF(W16&lt;500000,"2",IF(W16&gt;500000,"1")))</f>
        <v>2</v>
      </c>
      <c r="AF16" s="312">
        <v>2</v>
      </c>
      <c r="AG16" s="312">
        <v>1</v>
      </c>
      <c r="AH16" s="312">
        <v>1</v>
      </c>
      <c r="AI16" s="14" cm="1">
        <f t="array" ref="AI16">SUM(AA16:AH16/8)</f>
        <v>1.625</v>
      </c>
      <c r="AJ16" s="311"/>
      <c r="AK16" s="100"/>
      <c r="AL16" s="94"/>
      <c r="AM16" s="94"/>
      <c r="AN16" s="94"/>
      <c r="AO16" s="94"/>
      <c r="AP16" s="94"/>
      <c r="AQ16" s="95"/>
      <c r="AR16" s="95"/>
      <c r="AS16" s="96"/>
    </row>
    <row r="17" spans="1:45" ht="50.25" hidden="1" customHeight="1">
      <c r="A17" s="311">
        <v>13</v>
      </c>
      <c r="B17" s="35" t="s">
        <v>123</v>
      </c>
      <c r="C17" s="179"/>
      <c r="D17" s="6" t="s">
        <v>124</v>
      </c>
      <c r="E17" s="6" t="s">
        <v>125</v>
      </c>
      <c r="F17" s="5" t="s">
        <v>126</v>
      </c>
      <c r="G17" s="5"/>
      <c r="H17" s="74"/>
      <c r="I17" s="5"/>
      <c r="J17" s="74"/>
      <c r="K17" s="311">
        <v>550</v>
      </c>
      <c r="L17" s="311">
        <v>400</v>
      </c>
      <c r="M17" s="311"/>
      <c r="N17" s="311">
        <v>600</v>
      </c>
      <c r="O17" s="311">
        <v>2</v>
      </c>
      <c r="P17" s="311">
        <v>4000</v>
      </c>
      <c r="Q17" s="311"/>
      <c r="R17" s="311">
        <v>2500</v>
      </c>
      <c r="S17" s="13">
        <f>K17*L17+O17*P17+Q17*R17+M17*N17</f>
        <v>228000</v>
      </c>
      <c r="T17" s="8">
        <f>S17*0.1</f>
        <v>22800</v>
      </c>
      <c r="U17" s="8">
        <f>S17*0.07</f>
        <v>15960.000000000002</v>
      </c>
      <c r="V17" s="8">
        <f>SUM(S17:U17)*0.2</f>
        <v>53352</v>
      </c>
      <c r="W17" s="190">
        <f>SUM(S17:V17)</f>
        <v>320112</v>
      </c>
      <c r="X17" s="8">
        <v>230000</v>
      </c>
      <c r="Y17" s="36">
        <f>W17/X17</f>
        <v>1.3917913043478261</v>
      </c>
      <c r="Z17" s="311" t="s">
        <v>80</v>
      </c>
      <c r="AA17" s="311">
        <v>1</v>
      </c>
      <c r="AB17" s="311">
        <v>1</v>
      </c>
      <c r="AC17" s="311">
        <v>1</v>
      </c>
      <c r="AD17" s="311">
        <v>3</v>
      </c>
      <c r="AE17" s="65" t="str">
        <f>IF(W17&lt;150000,"3",IF(W17&lt;500000,"2",IF(W17&gt;500000,"1")))</f>
        <v>2</v>
      </c>
      <c r="AF17" s="311">
        <v>2</v>
      </c>
      <c r="AG17" s="311">
        <v>1</v>
      </c>
      <c r="AH17" s="311">
        <v>1</v>
      </c>
      <c r="AI17" s="14" cm="1">
        <f t="array" ref="AI17">SUM(AA17:AH17/8)</f>
        <v>1.5</v>
      </c>
      <c r="AJ17" s="311"/>
      <c r="AK17" s="357" t="s">
        <v>127</v>
      </c>
      <c r="AL17" s="101" t="s">
        <v>80</v>
      </c>
      <c r="AM17" s="101" t="s">
        <v>128</v>
      </c>
      <c r="AN17" s="101" t="s">
        <v>129</v>
      </c>
      <c r="AO17" s="279" t="s">
        <v>130</v>
      </c>
      <c r="AP17" s="101" t="s">
        <v>131</v>
      </c>
      <c r="AQ17" s="102" t="s">
        <v>132</v>
      </c>
      <c r="AR17" s="102" t="s">
        <v>133</v>
      </c>
      <c r="AS17" s="103" t="s">
        <v>134</v>
      </c>
    </row>
    <row r="18" spans="1:45" ht="50.25" customHeight="1">
      <c r="A18" s="311">
        <v>14</v>
      </c>
      <c r="B18" s="35" t="s">
        <v>135</v>
      </c>
      <c r="C18" s="179" t="s">
        <v>136</v>
      </c>
      <c r="D18" s="6" t="s">
        <v>124</v>
      </c>
      <c r="E18" s="6" t="s">
        <v>137</v>
      </c>
      <c r="F18" s="5" t="s">
        <v>138</v>
      </c>
      <c r="G18" s="5"/>
      <c r="H18" s="74"/>
      <c r="I18" s="5"/>
      <c r="J18" s="74"/>
      <c r="K18" s="311">
        <v>160</v>
      </c>
      <c r="L18" s="311">
        <v>400</v>
      </c>
      <c r="M18" s="311"/>
      <c r="N18" s="311">
        <v>600</v>
      </c>
      <c r="O18" s="311">
        <v>2</v>
      </c>
      <c r="P18" s="311">
        <v>4000</v>
      </c>
      <c r="Q18" s="311"/>
      <c r="R18" s="311">
        <v>2500</v>
      </c>
      <c r="S18" s="13">
        <f>K18*L18+O18*P18+Q18*R18+M18*N18</f>
        <v>72000</v>
      </c>
      <c r="T18" s="8">
        <f>S18*0.1</f>
        <v>7200</v>
      </c>
      <c r="U18" s="8">
        <f>S18*0.07</f>
        <v>5040.0000000000009</v>
      </c>
      <c r="V18" s="8">
        <f>SUM(S18:U18)*0.2</f>
        <v>16848</v>
      </c>
      <c r="W18" s="190">
        <f>SUM(S18:V18)</f>
        <v>101088</v>
      </c>
      <c r="X18" s="8">
        <v>198000</v>
      </c>
      <c r="Y18" s="36">
        <f>W18/X18</f>
        <v>0.51054545454545452</v>
      </c>
      <c r="Z18" s="311" t="s">
        <v>47</v>
      </c>
      <c r="AA18" s="311">
        <v>2</v>
      </c>
      <c r="AB18" s="311">
        <v>2</v>
      </c>
      <c r="AC18" s="311">
        <v>1</v>
      </c>
      <c r="AD18" s="311">
        <v>3</v>
      </c>
      <c r="AE18" s="65" t="str">
        <f>IF(W18&lt;150000,"3",IF(W18&lt;500000,"2",IF(W18&gt;500000,"1")))</f>
        <v>3</v>
      </c>
      <c r="AF18" s="311">
        <v>2</v>
      </c>
      <c r="AG18" s="311">
        <v>1</v>
      </c>
      <c r="AH18" s="311">
        <v>1</v>
      </c>
      <c r="AI18" s="14" cm="1">
        <f t="array" ref="AI18">SUM(AA18:AH18/8)</f>
        <v>1.875</v>
      </c>
      <c r="AJ18" s="311"/>
      <c r="AK18" s="358"/>
      <c r="AL18" s="104" t="s">
        <v>139</v>
      </c>
      <c r="AM18" s="104"/>
      <c r="AN18" s="104"/>
      <c r="AO18" s="280"/>
      <c r="AP18" s="104"/>
      <c r="AQ18" s="105"/>
      <c r="AR18" s="105"/>
      <c r="AS18" s="106"/>
    </row>
    <row r="19" spans="1:45" ht="50.25" hidden="1" customHeight="1">
      <c r="A19" s="311">
        <v>15</v>
      </c>
      <c r="B19" s="35" t="s">
        <v>140</v>
      </c>
      <c r="C19" s="179"/>
      <c r="D19" s="6" t="s">
        <v>124</v>
      </c>
      <c r="E19" s="6" t="s">
        <v>141</v>
      </c>
      <c r="F19" s="5" t="s">
        <v>142</v>
      </c>
      <c r="G19" s="5"/>
      <c r="H19" s="74"/>
      <c r="I19" s="5"/>
      <c r="J19" s="74"/>
      <c r="K19" s="311">
        <v>1350</v>
      </c>
      <c r="L19" s="311">
        <v>400</v>
      </c>
      <c r="M19" s="311"/>
      <c r="N19" s="311">
        <v>600</v>
      </c>
      <c r="O19" s="311">
        <v>4</v>
      </c>
      <c r="P19" s="311">
        <v>4000</v>
      </c>
      <c r="Q19" s="311"/>
      <c r="R19" s="311">
        <v>2500</v>
      </c>
      <c r="S19" s="13">
        <f>K19*L19+O19*P19+Q19*R19+M19*N19</f>
        <v>556000</v>
      </c>
      <c r="T19" s="8">
        <f>S19*0.1</f>
        <v>55600</v>
      </c>
      <c r="U19" s="8">
        <f>S19*0.07</f>
        <v>38920.000000000007</v>
      </c>
      <c r="V19" s="8">
        <f>SUM(S19:U19)*0.2</f>
        <v>130104</v>
      </c>
      <c r="W19" s="190">
        <f>SUM(S19:V19)</f>
        <v>780624</v>
      </c>
      <c r="X19" s="8">
        <v>507000</v>
      </c>
      <c r="Y19" s="36">
        <f>W19/X19</f>
        <v>1.5396923076923077</v>
      </c>
      <c r="Z19" s="311" t="s">
        <v>80</v>
      </c>
      <c r="AA19" s="311">
        <v>1</v>
      </c>
      <c r="AB19" s="311">
        <v>2</v>
      </c>
      <c r="AC19" s="311">
        <v>1</v>
      </c>
      <c r="AD19" s="311">
        <v>3</v>
      </c>
      <c r="AE19" s="65" t="str">
        <f>IF(W19&lt;150000,"3",IF(W19&lt;500000,"2",IF(W19&gt;500000,"1")))</f>
        <v>1</v>
      </c>
      <c r="AF19" s="311">
        <v>2</v>
      </c>
      <c r="AG19" s="311">
        <v>1</v>
      </c>
      <c r="AH19" s="311">
        <v>1</v>
      </c>
      <c r="AI19" s="14" cm="1">
        <f t="array" ref="AI19">SUM(AA19:AH19/8)</f>
        <v>1.5</v>
      </c>
      <c r="AJ19" s="311"/>
      <c r="AK19" s="358"/>
      <c r="AL19" s="104"/>
      <c r="AM19" s="104"/>
      <c r="AN19" s="104"/>
      <c r="AO19" s="101"/>
      <c r="AP19" s="104"/>
      <c r="AQ19" s="105"/>
      <c r="AR19" s="105"/>
      <c r="AS19" s="106"/>
    </row>
    <row r="20" spans="1:45" ht="50.25" hidden="1" customHeight="1">
      <c r="A20" s="311">
        <v>16</v>
      </c>
      <c r="B20" s="35" t="s">
        <v>143</v>
      </c>
      <c r="C20" s="179"/>
      <c r="D20" s="6" t="s">
        <v>144</v>
      </c>
      <c r="E20" s="6" t="s">
        <v>145</v>
      </c>
      <c r="F20" s="5" t="s">
        <v>142</v>
      </c>
      <c r="G20" s="5"/>
      <c r="H20" s="74"/>
      <c r="I20" s="5"/>
      <c r="J20" s="74"/>
      <c r="K20" s="311">
        <v>2500</v>
      </c>
      <c r="L20" s="311">
        <v>400</v>
      </c>
      <c r="M20" s="311"/>
      <c r="N20" s="311">
        <v>600</v>
      </c>
      <c r="O20" s="311">
        <v>6</v>
      </c>
      <c r="P20" s="311">
        <v>4000</v>
      </c>
      <c r="Q20" s="311"/>
      <c r="R20" s="311">
        <v>2500</v>
      </c>
      <c r="S20" s="13">
        <f>K20*L20+O20*P20+Q20*R20+M20*N20</f>
        <v>1024000</v>
      </c>
      <c r="T20" s="8">
        <f>S20*0.1</f>
        <v>102400</v>
      </c>
      <c r="U20" s="8">
        <f>S20*0.07</f>
        <v>71680</v>
      </c>
      <c r="V20" s="8">
        <f>SUM(S20:U20)*0.2</f>
        <v>239616</v>
      </c>
      <c r="W20" s="190">
        <f>SUM(S20:V20)</f>
        <v>1437696</v>
      </c>
      <c r="X20" s="8">
        <v>159000</v>
      </c>
      <c r="Y20" s="36">
        <f>W20/X20</f>
        <v>9.0421132075471693</v>
      </c>
      <c r="Z20" s="311" t="s">
        <v>80</v>
      </c>
      <c r="AA20" s="311">
        <v>1</v>
      </c>
      <c r="AB20" s="311">
        <v>2</v>
      </c>
      <c r="AC20" s="311">
        <v>1</v>
      </c>
      <c r="AD20" s="311">
        <v>1</v>
      </c>
      <c r="AE20" s="65" t="str">
        <f>IF(W20&lt;150000,"3",IF(W20&lt;500000,"2",IF(W20&gt;500000,"1")))</f>
        <v>1</v>
      </c>
      <c r="AF20" s="311">
        <v>2</v>
      </c>
      <c r="AG20" s="311">
        <v>1</v>
      </c>
      <c r="AH20" s="311">
        <v>1</v>
      </c>
      <c r="AI20" s="14" cm="1">
        <f t="array" ref="AI20">SUM(AA20:AH20/8)</f>
        <v>1.25</v>
      </c>
      <c r="AJ20" s="311"/>
      <c r="AK20" s="358"/>
      <c r="AL20" s="104"/>
      <c r="AM20" s="104"/>
      <c r="AN20" s="104"/>
      <c r="AO20" s="101"/>
      <c r="AP20" s="104"/>
      <c r="AQ20" s="105"/>
      <c r="AR20" s="105"/>
      <c r="AS20" s="106"/>
    </row>
    <row r="21" spans="1:45" ht="50.25" hidden="1" customHeight="1">
      <c r="A21" s="311">
        <v>17</v>
      </c>
      <c r="B21" s="35" t="s">
        <v>146</v>
      </c>
      <c r="C21" s="179"/>
      <c r="D21" s="6" t="s">
        <v>79</v>
      </c>
      <c r="E21" s="6" t="s">
        <v>74</v>
      </c>
      <c r="F21" s="5" t="s">
        <v>147</v>
      </c>
      <c r="G21" s="5"/>
      <c r="H21" s="74"/>
      <c r="I21" s="5"/>
      <c r="J21" s="74"/>
      <c r="K21" s="311">
        <v>450</v>
      </c>
      <c r="L21" s="311">
        <v>400</v>
      </c>
      <c r="M21" s="311"/>
      <c r="N21" s="311">
        <v>600</v>
      </c>
      <c r="O21" s="311">
        <v>2</v>
      </c>
      <c r="P21" s="311">
        <v>4000</v>
      </c>
      <c r="Q21" s="311"/>
      <c r="R21" s="311">
        <v>2500</v>
      </c>
      <c r="S21" s="13">
        <f>K21*L21+O21*P21+Q21*R21+M21*N21</f>
        <v>188000</v>
      </c>
      <c r="T21" s="8">
        <f>S21*0.1</f>
        <v>18800</v>
      </c>
      <c r="U21" s="8">
        <f>S21*0.07</f>
        <v>13160.000000000002</v>
      </c>
      <c r="V21" s="8">
        <f>SUM(S21:U21)*0.2</f>
        <v>43992</v>
      </c>
      <c r="W21" s="190">
        <f>SUM(S21:V21)</f>
        <v>263952</v>
      </c>
      <c r="X21" s="8">
        <v>814000</v>
      </c>
      <c r="Y21" s="36">
        <f>W21/X21</f>
        <v>0.32426535626535624</v>
      </c>
      <c r="Z21" s="311" t="s">
        <v>80</v>
      </c>
      <c r="AA21" s="311">
        <v>1</v>
      </c>
      <c r="AB21" s="311">
        <v>1</v>
      </c>
      <c r="AC21" s="311">
        <v>1</v>
      </c>
      <c r="AD21" s="311">
        <v>1</v>
      </c>
      <c r="AE21" s="65" t="str">
        <f>IF(W21&lt;150000,"3",IF(W21&lt;500000,"2",IF(W21&gt;500000,"1")))</f>
        <v>2</v>
      </c>
      <c r="AF21" s="311">
        <v>1</v>
      </c>
      <c r="AG21" s="311">
        <v>1</v>
      </c>
      <c r="AH21" s="311">
        <v>1</v>
      </c>
      <c r="AI21" s="14" cm="1">
        <f t="array" ref="AI21">SUM(AA21:AH21/8)</f>
        <v>1.125</v>
      </c>
      <c r="AJ21" s="311"/>
      <c r="AK21" s="359"/>
      <c r="AL21" s="107"/>
      <c r="AM21" s="107"/>
      <c r="AN21" s="107"/>
      <c r="AO21" s="107"/>
      <c r="AP21" s="107"/>
      <c r="AQ21" s="108"/>
      <c r="AR21" s="108"/>
      <c r="AS21" s="109"/>
    </row>
    <row r="22" spans="1:45" ht="50.25" hidden="1" customHeight="1">
      <c r="A22" s="311">
        <v>18</v>
      </c>
      <c r="B22" s="35" t="s">
        <v>148</v>
      </c>
      <c r="C22" s="179"/>
      <c r="D22" s="6" t="s">
        <v>149</v>
      </c>
      <c r="E22" s="6" t="s">
        <v>150</v>
      </c>
      <c r="F22" s="5" t="s">
        <v>151</v>
      </c>
      <c r="G22" s="5"/>
      <c r="H22" s="74"/>
      <c r="I22" s="5"/>
      <c r="J22" s="74"/>
      <c r="K22" s="311">
        <v>1300</v>
      </c>
      <c r="L22" s="311">
        <v>400</v>
      </c>
      <c r="M22" s="311"/>
      <c r="N22" s="311">
        <v>600</v>
      </c>
      <c r="O22" s="311">
        <v>3</v>
      </c>
      <c r="P22" s="311">
        <v>4000</v>
      </c>
      <c r="Q22" s="311"/>
      <c r="R22" s="311">
        <v>2500</v>
      </c>
      <c r="S22" s="13">
        <f>K22*L22+O22*P22+Q22*R22+M22*N22</f>
        <v>532000</v>
      </c>
      <c r="T22" s="8">
        <f>S22*0.1</f>
        <v>53200</v>
      </c>
      <c r="U22" s="8">
        <f>S22*0.07</f>
        <v>37240</v>
      </c>
      <c r="V22" s="8">
        <f>SUM(S22:U22)*0.2</f>
        <v>124488</v>
      </c>
      <c r="W22" s="190">
        <f>SUM(S22:V22)</f>
        <v>746928</v>
      </c>
      <c r="X22" s="8">
        <v>476000</v>
      </c>
      <c r="Y22" s="36">
        <f>W22/X22</f>
        <v>1.5691764705882354</v>
      </c>
      <c r="Z22" s="311" t="s">
        <v>80</v>
      </c>
      <c r="AA22" s="311">
        <v>1</v>
      </c>
      <c r="AB22" s="311">
        <v>2</v>
      </c>
      <c r="AC22" s="311">
        <v>1</v>
      </c>
      <c r="AD22" s="311">
        <v>1</v>
      </c>
      <c r="AE22" s="65" t="str">
        <f>IF(W22&lt;150000,"3",IF(W22&lt;500000,"2",IF(W22&gt;500000,"1")))</f>
        <v>1</v>
      </c>
      <c r="AF22" s="311">
        <v>2</v>
      </c>
      <c r="AG22" s="311">
        <v>1</v>
      </c>
      <c r="AH22" s="311">
        <v>1</v>
      </c>
      <c r="AI22" s="14" cm="1">
        <f t="array" ref="AI22">SUM(AA22:AH22/8)</f>
        <v>1.25</v>
      </c>
      <c r="AJ22" s="311"/>
      <c r="AK22" s="356" t="s">
        <v>152</v>
      </c>
      <c r="AL22" s="356"/>
      <c r="AM22" s="356"/>
      <c r="AN22" s="356"/>
      <c r="AO22" s="356"/>
      <c r="AP22" s="356"/>
      <c r="AQ22" s="356"/>
      <c r="AR22" s="356"/>
      <c r="AS22" s="356"/>
    </row>
    <row r="23" spans="1:45" ht="50.25" hidden="1" customHeight="1">
      <c r="A23" s="311">
        <v>19</v>
      </c>
      <c r="B23" s="35" t="s">
        <v>153</v>
      </c>
      <c r="C23" s="179"/>
      <c r="D23" s="6" t="s">
        <v>150</v>
      </c>
      <c r="E23" s="6" t="s">
        <v>149</v>
      </c>
      <c r="F23" s="5" t="s">
        <v>154</v>
      </c>
      <c r="G23" s="5"/>
      <c r="H23" s="74"/>
      <c r="I23" s="5"/>
      <c r="J23" s="74"/>
      <c r="K23" s="311">
        <v>1300</v>
      </c>
      <c r="L23" s="311">
        <v>400</v>
      </c>
      <c r="M23" s="311"/>
      <c r="N23" s="311">
        <v>600</v>
      </c>
      <c r="O23" s="311">
        <v>2</v>
      </c>
      <c r="P23" s="311">
        <v>4000</v>
      </c>
      <c r="Q23" s="311"/>
      <c r="R23" s="311">
        <v>2500</v>
      </c>
      <c r="S23" s="13">
        <f>K23*L23+O23*P23+Q23*R23+M23*N23</f>
        <v>528000</v>
      </c>
      <c r="T23" s="8">
        <f>S23*0.1</f>
        <v>52800</v>
      </c>
      <c r="U23" s="8">
        <f>S23*0.07</f>
        <v>36960</v>
      </c>
      <c r="V23" s="8">
        <f>SUM(S23:U23)*0.2</f>
        <v>123552</v>
      </c>
      <c r="W23" s="190">
        <f>SUM(S23:V23)</f>
        <v>741312</v>
      </c>
      <c r="X23" s="8">
        <v>477000</v>
      </c>
      <c r="Y23" s="36">
        <f>W23/X23</f>
        <v>1.5541132075471698</v>
      </c>
      <c r="Z23" s="311" t="s">
        <v>80</v>
      </c>
      <c r="AA23" s="311">
        <v>1</v>
      </c>
      <c r="AB23" s="311">
        <v>2</v>
      </c>
      <c r="AC23" s="311">
        <v>1</v>
      </c>
      <c r="AD23" s="311">
        <v>2</v>
      </c>
      <c r="AE23" s="65" t="str">
        <f>IF(W23&lt;150000,"3",IF(W23&lt;500000,"2",IF(W23&gt;500000,"1")))</f>
        <v>1</v>
      </c>
      <c r="AF23" s="311">
        <v>2</v>
      </c>
      <c r="AG23" s="311">
        <v>1</v>
      </c>
      <c r="AH23" s="311">
        <v>1</v>
      </c>
      <c r="AI23" s="14" cm="1">
        <f t="array" ref="AI23">SUM(AA23:AH23/8)</f>
        <v>1.375</v>
      </c>
      <c r="AJ23" s="311"/>
      <c r="AK23" s="311"/>
      <c r="AL23" s="311"/>
      <c r="AM23" s="311"/>
      <c r="AN23" s="311"/>
      <c r="AO23" s="311"/>
      <c r="AP23" s="311"/>
      <c r="AQ23" s="311"/>
      <c r="AR23" s="311"/>
      <c r="AS23" s="311"/>
    </row>
    <row r="24" spans="1:45" ht="50.25" customHeight="1">
      <c r="A24" s="311">
        <v>20</v>
      </c>
      <c r="B24" s="35" t="s">
        <v>155</v>
      </c>
      <c r="C24" s="294" t="s">
        <v>156</v>
      </c>
      <c r="D24" s="6" t="s">
        <v>157</v>
      </c>
      <c r="E24" s="6" t="s">
        <v>158</v>
      </c>
      <c r="F24" s="5" t="s">
        <v>159</v>
      </c>
      <c r="G24" s="6" t="s">
        <v>160</v>
      </c>
      <c r="H24" s="74"/>
      <c r="I24" s="6" t="s">
        <v>46</v>
      </c>
      <c r="J24" s="74"/>
      <c r="K24" s="311"/>
      <c r="L24" s="311"/>
      <c r="M24" s="311"/>
      <c r="N24" s="311"/>
      <c r="O24" s="311"/>
      <c r="P24" s="311"/>
      <c r="Q24" s="311"/>
      <c r="R24" s="311"/>
      <c r="S24" s="13">
        <v>3000000</v>
      </c>
      <c r="T24" s="8">
        <f>S24*0.1</f>
        <v>300000</v>
      </c>
      <c r="U24" s="8">
        <v>200000</v>
      </c>
      <c r="V24" s="8"/>
      <c r="W24" s="190">
        <f>SUM(S24:V24)</f>
        <v>3500000</v>
      </c>
      <c r="X24" s="8">
        <v>1157000</v>
      </c>
      <c r="Y24" s="36">
        <f>W24/X24</f>
        <v>3.0250648228176318</v>
      </c>
      <c r="Z24" s="311" t="s">
        <v>80</v>
      </c>
      <c r="AA24" s="311">
        <v>1</v>
      </c>
      <c r="AB24" s="311">
        <v>3</v>
      </c>
      <c r="AC24" s="311">
        <v>2</v>
      </c>
      <c r="AD24" s="311">
        <v>1</v>
      </c>
      <c r="AE24" s="65" t="str">
        <f>IF(W24&lt;150000,"3",IF(W24&lt;500000,"2",IF(W24&gt;500000,"1")))</f>
        <v>1</v>
      </c>
      <c r="AF24" s="311">
        <v>3</v>
      </c>
      <c r="AG24" s="311">
        <v>2</v>
      </c>
      <c r="AH24" s="311">
        <v>1</v>
      </c>
      <c r="AI24" s="14" cm="1">
        <f t="array" ref="AI24">SUM(AA24:AH24/8)</f>
        <v>1.75</v>
      </c>
      <c r="AJ24" s="311"/>
      <c r="AK24" s="311"/>
      <c r="AL24" s="311"/>
      <c r="AM24" s="311"/>
      <c r="AN24" s="311"/>
      <c r="AO24" s="311"/>
      <c r="AP24" s="311"/>
      <c r="AQ24" s="311"/>
      <c r="AR24" s="311"/>
      <c r="AS24" s="311"/>
    </row>
    <row r="25" spans="1:45" ht="50.25" hidden="1" customHeight="1">
      <c r="A25" s="311">
        <v>21</v>
      </c>
      <c r="B25" s="35" t="s">
        <v>161</v>
      </c>
      <c r="C25" s="179"/>
      <c r="D25" s="6" t="s">
        <v>162</v>
      </c>
      <c r="E25" s="6" t="s">
        <v>163</v>
      </c>
      <c r="F25" s="5" t="s">
        <v>164</v>
      </c>
      <c r="G25" s="5"/>
      <c r="H25" s="74"/>
      <c r="I25" s="5"/>
      <c r="J25" s="74"/>
      <c r="K25" s="311">
        <v>600</v>
      </c>
      <c r="L25" s="311">
        <v>400</v>
      </c>
      <c r="M25" s="311"/>
      <c r="N25" s="311">
        <v>600</v>
      </c>
      <c r="O25" s="311">
        <v>4</v>
      </c>
      <c r="P25" s="311">
        <v>4000</v>
      </c>
      <c r="Q25" s="311"/>
      <c r="R25" s="311">
        <v>2500</v>
      </c>
      <c r="S25" s="13">
        <f>K25*L25+O25*P25+Q25*R25+M25*N25</f>
        <v>256000</v>
      </c>
      <c r="T25" s="8">
        <f>S25*0.1</f>
        <v>25600</v>
      </c>
      <c r="U25" s="8">
        <f>S25*0.07</f>
        <v>17920</v>
      </c>
      <c r="V25" s="8">
        <f>SUM(S25:U25)*0.2</f>
        <v>59904</v>
      </c>
      <c r="W25" s="190">
        <f>SUM(S25:V25)</f>
        <v>359424</v>
      </c>
      <c r="X25" s="8">
        <v>266000</v>
      </c>
      <c r="Y25" s="36">
        <f>W25/X25</f>
        <v>1.351218045112782</v>
      </c>
      <c r="Z25" s="311" t="s">
        <v>80</v>
      </c>
      <c r="AA25" s="311">
        <v>1</v>
      </c>
      <c r="AB25" s="311">
        <v>1</v>
      </c>
      <c r="AC25" s="311">
        <v>1</v>
      </c>
      <c r="AD25" s="311">
        <v>2</v>
      </c>
      <c r="AE25" s="65" t="str">
        <f>IF(W25&lt;150000,"3",IF(W25&lt;500000,"2",IF(W25&gt;500000,"1")))</f>
        <v>2</v>
      </c>
      <c r="AF25" s="311">
        <v>2</v>
      </c>
      <c r="AG25" s="311">
        <v>1</v>
      </c>
      <c r="AH25" s="311">
        <v>1</v>
      </c>
      <c r="AI25" s="14" cm="1">
        <f t="array" ref="AI25">SUM(AA25:AH25/8)</f>
        <v>1.375</v>
      </c>
      <c r="AJ25" s="311"/>
      <c r="AK25" s="311"/>
      <c r="AL25" s="311" t="s">
        <v>165</v>
      </c>
      <c r="AM25" s="311"/>
      <c r="AN25" s="311"/>
      <c r="AO25" s="311"/>
      <c r="AP25" s="311"/>
      <c r="AQ25" s="311"/>
      <c r="AR25" s="311"/>
      <c r="AS25" s="311"/>
    </row>
    <row r="26" spans="1:45" ht="50.25" customHeight="1">
      <c r="A26" s="311"/>
      <c r="B26" s="35" t="s">
        <v>166</v>
      </c>
      <c r="C26" s="179" t="s">
        <v>167</v>
      </c>
      <c r="D26" s="6" t="s">
        <v>168</v>
      </c>
      <c r="E26" s="6" t="s">
        <v>169</v>
      </c>
      <c r="F26" s="5" t="s">
        <v>170</v>
      </c>
      <c r="G26" s="5"/>
      <c r="H26" s="74"/>
      <c r="I26" s="5"/>
      <c r="J26" s="74"/>
      <c r="K26" s="311">
        <v>2000</v>
      </c>
      <c r="L26" s="311">
        <v>400</v>
      </c>
      <c r="M26" s="311"/>
      <c r="N26" s="311">
        <v>600</v>
      </c>
      <c r="O26" s="311"/>
      <c r="P26" s="311">
        <v>4000</v>
      </c>
      <c r="Q26" s="311">
        <v>8</v>
      </c>
      <c r="R26" s="311">
        <v>2500</v>
      </c>
      <c r="S26" s="13">
        <f>K26*L26+O26*P26+Q26*R26+M26*N26</f>
        <v>820000</v>
      </c>
      <c r="T26" s="8">
        <f>S26*0.1</f>
        <v>82000</v>
      </c>
      <c r="U26" s="8">
        <f>S26*0.07</f>
        <v>57400.000000000007</v>
      </c>
      <c r="V26" s="8">
        <f>SUM(S26:U26)*0.2</f>
        <v>191880</v>
      </c>
      <c r="W26" s="190">
        <f>SUM(S26:V26)</f>
        <v>1151280</v>
      </c>
      <c r="X26" s="8"/>
      <c r="Y26" s="36"/>
      <c r="Z26" s="311" t="s">
        <v>80</v>
      </c>
      <c r="AA26" s="311">
        <v>1</v>
      </c>
      <c r="AB26" s="311">
        <v>3</v>
      </c>
      <c r="AC26" s="311">
        <v>2</v>
      </c>
      <c r="AD26" s="311">
        <v>2</v>
      </c>
      <c r="AE26" s="65" t="str">
        <f>IF(W26&lt;150000,"3",IF(W26&lt;500000,"2",IF(W26&gt;500000,"1")))</f>
        <v>1</v>
      </c>
      <c r="AF26" s="311">
        <v>2</v>
      </c>
      <c r="AG26" s="311">
        <v>1</v>
      </c>
      <c r="AH26" s="311">
        <v>1</v>
      </c>
      <c r="AI26" s="14" cm="1">
        <f t="array" ref="AI26">SUM(AA26:AH26/8)</f>
        <v>1.625</v>
      </c>
      <c r="AJ26" s="311"/>
      <c r="AK26" s="311"/>
      <c r="AL26" s="355" t="s">
        <v>171</v>
      </c>
      <c r="AM26" s="355"/>
      <c r="AN26" s="355"/>
      <c r="AO26" s="355"/>
      <c r="AP26" s="311"/>
      <c r="AQ26" s="311"/>
      <c r="AR26" s="311"/>
      <c r="AS26" s="311"/>
    </row>
    <row r="27" spans="1:45" ht="50.25" customHeight="1">
      <c r="A27" s="311"/>
      <c r="B27" s="35" t="s">
        <v>172</v>
      </c>
      <c r="C27" s="294" t="s">
        <v>173</v>
      </c>
      <c r="D27" s="6" t="s">
        <v>174</v>
      </c>
      <c r="E27" s="6" t="s">
        <v>175</v>
      </c>
      <c r="F27" s="5" t="s">
        <v>176</v>
      </c>
      <c r="G27" s="6" t="s">
        <v>177</v>
      </c>
      <c r="H27" s="74"/>
      <c r="I27" s="5"/>
      <c r="J27" s="74"/>
      <c r="K27" s="311"/>
      <c r="L27" s="311"/>
      <c r="M27" s="311"/>
      <c r="N27" s="311"/>
      <c r="O27" s="311"/>
      <c r="P27" s="311"/>
      <c r="Q27" s="311"/>
      <c r="R27" s="311"/>
      <c r="S27" s="13">
        <v>760000</v>
      </c>
      <c r="T27" s="8">
        <v>175000</v>
      </c>
      <c r="U27" s="8"/>
      <c r="V27" s="8"/>
      <c r="W27" s="190">
        <f>SUM(S27:V27)</f>
        <v>935000</v>
      </c>
      <c r="X27" s="8"/>
      <c r="Y27" s="36"/>
      <c r="Z27" s="311" t="s">
        <v>80</v>
      </c>
      <c r="AA27" s="311">
        <v>3</v>
      </c>
      <c r="AB27" s="311">
        <v>2</v>
      </c>
      <c r="AC27" s="311">
        <v>2</v>
      </c>
      <c r="AD27" s="311">
        <v>3</v>
      </c>
      <c r="AE27" s="65" t="str">
        <f>IF(W27&lt;150000,"3",IF(W27&lt;500000,"2",IF(W27&gt;500000,"1")))</f>
        <v>1</v>
      </c>
      <c r="AF27" s="311">
        <v>3</v>
      </c>
      <c r="AG27" s="311">
        <v>3</v>
      </c>
      <c r="AH27" s="311">
        <v>1</v>
      </c>
      <c r="AI27" s="14" cm="1">
        <f t="array" ref="AI27">SUM(AA27:AH27/8)</f>
        <v>2.25</v>
      </c>
      <c r="AJ27" s="311"/>
      <c r="AK27" s="311"/>
      <c r="AL27" s="348" t="s">
        <v>178</v>
      </c>
      <c r="AM27" s="348"/>
      <c r="AN27" s="348"/>
      <c r="AO27" s="348"/>
      <c r="AP27" s="311"/>
      <c r="AQ27" s="311"/>
      <c r="AR27" s="311"/>
      <c r="AS27" s="311"/>
    </row>
    <row r="28" spans="1:45" ht="50.25" customHeight="1">
      <c r="A28" s="311"/>
      <c r="B28" s="35" t="s">
        <v>179</v>
      </c>
      <c r="C28" s="294" t="s">
        <v>180</v>
      </c>
      <c r="D28" s="6" t="s">
        <v>174</v>
      </c>
      <c r="E28" s="6" t="s">
        <v>149</v>
      </c>
      <c r="F28" s="5" t="s">
        <v>142</v>
      </c>
      <c r="G28" s="6" t="s">
        <v>181</v>
      </c>
      <c r="H28" s="74"/>
      <c r="I28" s="6"/>
      <c r="J28" s="74"/>
      <c r="K28" s="311"/>
      <c r="L28" s="311"/>
      <c r="M28" s="311"/>
      <c r="N28" s="311"/>
      <c r="O28" s="311"/>
      <c r="P28" s="311"/>
      <c r="Q28" s="311"/>
      <c r="R28" s="311"/>
      <c r="S28" s="13">
        <v>405000</v>
      </c>
      <c r="T28" s="8">
        <v>100000</v>
      </c>
      <c r="U28" s="8"/>
      <c r="V28" s="8"/>
      <c r="W28" s="190">
        <f>SUM(S28:V28)</f>
        <v>505000</v>
      </c>
      <c r="X28" s="8"/>
      <c r="Y28" s="36"/>
      <c r="Z28" s="311" t="s">
        <v>80</v>
      </c>
      <c r="AA28" s="311">
        <v>3</v>
      </c>
      <c r="AB28" s="311">
        <v>2</v>
      </c>
      <c r="AC28" s="311">
        <v>2</v>
      </c>
      <c r="AD28" s="311">
        <v>3</v>
      </c>
      <c r="AE28" s="65" t="str">
        <f>IF(W28&lt;150000,"3",IF(W28&lt;500000,"2",IF(W28&gt;500000,"1")))</f>
        <v>1</v>
      </c>
      <c r="AF28" s="311">
        <v>3</v>
      </c>
      <c r="AG28" s="311">
        <v>3</v>
      </c>
      <c r="AH28" s="311">
        <v>1</v>
      </c>
      <c r="AI28" s="14" cm="1">
        <f t="array" ref="AI28">SUM(AA28:AH28/8)</f>
        <v>2.25</v>
      </c>
      <c r="AJ28" s="311"/>
      <c r="AK28" s="311"/>
      <c r="AL28" s="348" t="s">
        <v>182</v>
      </c>
      <c r="AM28" s="348"/>
      <c r="AN28" s="348"/>
      <c r="AO28" s="348"/>
      <c r="AP28" s="311"/>
      <c r="AQ28" s="311"/>
      <c r="AR28" s="311"/>
      <c r="AS28" s="311"/>
    </row>
    <row r="29" spans="1:45" ht="50.25" customHeight="1">
      <c r="A29" s="311"/>
      <c r="B29" s="35" t="s">
        <v>183</v>
      </c>
      <c r="C29" s="179" t="s">
        <v>184</v>
      </c>
      <c r="D29" s="6" t="s">
        <v>185</v>
      </c>
      <c r="E29" s="6" t="s">
        <v>186</v>
      </c>
      <c r="F29" s="5" t="s">
        <v>187</v>
      </c>
      <c r="G29" s="5"/>
      <c r="H29" s="74"/>
      <c r="I29" s="5"/>
      <c r="J29" s="74"/>
      <c r="K29" s="311">
        <v>850</v>
      </c>
      <c r="L29" s="311">
        <v>400</v>
      </c>
      <c r="M29" s="311"/>
      <c r="N29" s="311">
        <v>600</v>
      </c>
      <c r="O29" s="311"/>
      <c r="P29" s="311">
        <v>4000</v>
      </c>
      <c r="Q29" s="311"/>
      <c r="R29" s="311">
        <v>2500</v>
      </c>
      <c r="S29" s="13">
        <f>K29*L29+O29*P29+Q29*R29+M29*N29</f>
        <v>340000</v>
      </c>
      <c r="T29" s="8">
        <f>S29*0.1</f>
        <v>34000</v>
      </c>
      <c r="U29" s="8">
        <f>S29*0.07</f>
        <v>23800.000000000004</v>
      </c>
      <c r="V29" s="8">
        <f>SUM(S29:U29)*0.2</f>
        <v>79560</v>
      </c>
      <c r="W29" s="190">
        <f>SUM(S29:V29)</f>
        <v>477360</v>
      </c>
      <c r="X29" s="8"/>
      <c r="Y29" s="36"/>
      <c r="Z29" s="311" t="s">
        <v>62</v>
      </c>
      <c r="AA29" s="311">
        <v>3</v>
      </c>
      <c r="AB29" s="311">
        <v>2</v>
      </c>
      <c r="AC29" s="311">
        <v>1</v>
      </c>
      <c r="AD29" s="311">
        <v>3</v>
      </c>
      <c r="AE29" s="65" t="str">
        <f>IF(W29&lt;150000,"3",IF(W29&lt;500000,"2",IF(W29&gt;500000,"1")))</f>
        <v>2</v>
      </c>
      <c r="AF29" s="311">
        <v>2</v>
      </c>
      <c r="AG29" s="311">
        <v>1</v>
      </c>
      <c r="AH29" s="311">
        <v>1</v>
      </c>
      <c r="AI29" s="14" cm="1">
        <f t="array" ref="AI29">SUM(AA29:AH29/8)</f>
        <v>1.875</v>
      </c>
      <c r="AJ29" s="311"/>
      <c r="AK29" s="311"/>
      <c r="AL29" s="348" t="s">
        <v>188</v>
      </c>
      <c r="AM29" s="348"/>
      <c r="AN29" s="348"/>
      <c r="AO29" s="348"/>
      <c r="AP29" s="311"/>
      <c r="AQ29" s="311"/>
      <c r="AR29" s="311"/>
      <c r="AS29" s="311"/>
    </row>
    <row r="30" spans="1:45" ht="50.25" hidden="1" customHeight="1">
      <c r="A30" s="311"/>
      <c r="B30" s="35" t="s">
        <v>189</v>
      </c>
      <c r="C30" s="179"/>
      <c r="D30" s="6" t="s">
        <v>190</v>
      </c>
      <c r="E30" s="5" t="s">
        <v>79</v>
      </c>
      <c r="F30" s="5" t="s">
        <v>191</v>
      </c>
      <c r="G30" s="5"/>
      <c r="H30" s="74"/>
      <c r="I30" s="5"/>
      <c r="J30" s="74"/>
      <c r="K30" s="311">
        <v>0</v>
      </c>
      <c r="L30" s="311">
        <v>400</v>
      </c>
      <c r="M30" s="311"/>
      <c r="N30" s="311">
        <v>600</v>
      </c>
      <c r="O30" s="311">
        <v>12</v>
      </c>
      <c r="P30" s="311">
        <v>4000</v>
      </c>
      <c r="Q30" s="311">
        <v>4</v>
      </c>
      <c r="R30" s="311">
        <v>2500</v>
      </c>
      <c r="S30" s="13">
        <f>K30*L30+O30*P30+Q30*R30+M30*N30</f>
        <v>58000</v>
      </c>
      <c r="T30" s="8">
        <f>S30*0.1</f>
        <v>5800</v>
      </c>
      <c r="U30" s="8">
        <f>S30*0.07</f>
        <v>4060.0000000000005</v>
      </c>
      <c r="V30" s="8">
        <f>SUM(S30:U30)*0.2</f>
        <v>13572</v>
      </c>
      <c r="W30" s="190">
        <f>SUM(S30:V30)</f>
        <v>81432</v>
      </c>
      <c r="X30" s="8"/>
      <c r="Y30" s="36"/>
      <c r="Z30" s="311" t="s">
        <v>80</v>
      </c>
      <c r="AA30" s="311">
        <v>1</v>
      </c>
      <c r="AB30" s="311">
        <v>2</v>
      </c>
      <c r="AC30" s="311">
        <v>1</v>
      </c>
      <c r="AD30" s="311">
        <v>3</v>
      </c>
      <c r="AE30" s="65" t="str">
        <f>IF(W30&lt;150000,"3",IF(W30&gt;150000,"2",IF(W30&gt;500000,"1")))</f>
        <v>3</v>
      </c>
      <c r="AF30" s="311">
        <v>2</v>
      </c>
      <c r="AG30" s="311">
        <v>2</v>
      </c>
      <c r="AH30" s="311">
        <v>1</v>
      </c>
      <c r="AI30" s="14" cm="1">
        <f t="array" ref="AI30">SUM(AA30:AH30/8)</f>
        <v>1.875</v>
      </c>
      <c r="AJ30" s="311"/>
      <c r="AK30" s="311"/>
      <c r="AL30" s="348" t="s">
        <v>192</v>
      </c>
      <c r="AM30" s="348"/>
      <c r="AN30" s="348"/>
      <c r="AO30" s="348"/>
      <c r="AP30" s="311"/>
      <c r="AQ30" s="311"/>
      <c r="AR30" s="311"/>
      <c r="AS30" s="311"/>
    </row>
    <row r="31" spans="1:45" ht="50.25" customHeight="1">
      <c r="A31" s="311"/>
      <c r="B31" s="35" t="s">
        <v>193</v>
      </c>
      <c r="C31" s="179" t="s">
        <v>194</v>
      </c>
      <c r="D31" s="6" t="s">
        <v>195</v>
      </c>
      <c r="E31" s="5" t="s">
        <v>196</v>
      </c>
      <c r="F31" s="5" t="s">
        <v>197</v>
      </c>
      <c r="G31" s="5"/>
      <c r="H31" s="74"/>
      <c r="I31" s="5"/>
      <c r="J31" s="74"/>
      <c r="K31" s="311">
        <v>0</v>
      </c>
      <c r="L31" s="311">
        <v>400</v>
      </c>
      <c r="M31" s="311"/>
      <c r="N31" s="311">
        <v>600</v>
      </c>
      <c r="O31" s="311">
        <v>11</v>
      </c>
      <c r="P31" s="311">
        <v>4000</v>
      </c>
      <c r="Q31" s="311">
        <v>2</v>
      </c>
      <c r="R31" s="311">
        <v>2500</v>
      </c>
      <c r="S31" s="13">
        <f>K31*L31+O31*P31+Q31*R31+M31*N31</f>
        <v>49000</v>
      </c>
      <c r="T31" s="8">
        <f>S31*0.1</f>
        <v>4900</v>
      </c>
      <c r="U31" s="8">
        <f>S31*0.07</f>
        <v>3430.0000000000005</v>
      </c>
      <c r="V31" s="8">
        <f>SUM(S31:U31)*0.2</f>
        <v>11466</v>
      </c>
      <c r="W31" s="190">
        <f>SUM(S31:V31)</f>
        <v>68796</v>
      </c>
      <c r="X31" s="8"/>
      <c r="Y31" s="36"/>
      <c r="Z31" s="311" t="s">
        <v>62</v>
      </c>
      <c r="AA31" s="311">
        <v>3</v>
      </c>
      <c r="AB31" s="311">
        <v>1</v>
      </c>
      <c r="AC31" s="311">
        <v>1</v>
      </c>
      <c r="AD31" s="311">
        <v>3</v>
      </c>
      <c r="AE31" s="65" t="str">
        <f>IF(W31&lt;150000,"3",IF(W31&gt;150000,"2",IF(W31&gt;500000,"1")))</f>
        <v>3</v>
      </c>
      <c r="AF31" s="311">
        <v>2</v>
      </c>
      <c r="AG31" s="311">
        <v>2</v>
      </c>
      <c r="AH31" s="311">
        <v>1</v>
      </c>
      <c r="AI31" s="14" cm="1">
        <f t="array" ref="AI31">SUM(AA31:AH31/8)</f>
        <v>2</v>
      </c>
      <c r="AJ31" s="311"/>
      <c r="AK31" s="311"/>
      <c r="AL31" s="348"/>
      <c r="AM31" s="348"/>
      <c r="AN31" s="348"/>
      <c r="AO31" s="348"/>
      <c r="AP31" s="311"/>
      <c r="AQ31" s="311"/>
      <c r="AR31" s="311"/>
      <c r="AS31" s="311"/>
    </row>
    <row r="32" spans="1:45" ht="50.25" hidden="1" customHeight="1">
      <c r="A32" s="311"/>
      <c r="B32" s="35" t="s">
        <v>198</v>
      </c>
      <c r="C32" s="179"/>
      <c r="D32" s="6" t="s">
        <v>199</v>
      </c>
      <c r="E32" s="5" t="s">
        <v>84</v>
      </c>
      <c r="F32" s="5" t="s">
        <v>200</v>
      </c>
      <c r="G32" s="5"/>
      <c r="H32" s="74"/>
      <c r="I32" s="5"/>
      <c r="J32" s="74"/>
      <c r="K32" s="311">
        <v>1800</v>
      </c>
      <c r="L32" s="311">
        <v>400</v>
      </c>
      <c r="M32" s="311"/>
      <c r="N32" s="311">
        <v>600</v>
      </c>
      <c r="O32" s="311">
        <v>2</v>
      </c>
      <c r="P32" s="311">
        <v>4000</v>
      </c>
      <c r="Q32" s="311">
        <v>2</v>
      </c>
      <c r="R32" s="311">
        <v>2500</v>
      </c>
      <c r="S32" s="13">
        <f>K32*L32+O32*P32+Q32*R32+M32*N32</f>
        <v>733000</v>
      </c>
      <c r="T32" s="8">
        <f>S32*0.1</f>
        <v>73300</v>
      </c>
      <c r="U32" s="8">
        <f>S32*0.07</f>
        <v>51310.000000000007</v>
      </c>
      <c r="V32" s="8">
        <f>SUM(S32:U32)*0.2</f>
        <v>171522</v>
      </c>
      <c r="W32" s="190">
        <f>SUM(S32:V32)</f>
        <v>1029132</v>
      </c>
      <c r="X32" s="8"/>
      <c r="Y32" s="36"/>
      <c r="Z32" s="311" t="s">
        <v>139</v>
      </c>
      <c r="AA32" s="311">
        <v>1</v>
      </c>
      <c r="AB32" s="311">
        <v>1</v>
      </c>
      <c r="AC32" s="311">
        <v>1</v>
      </c>
      <c r="AD32" s="311">
        <v>3</v>
      </c>
      <c r="AE32" s="65" t="str">
        <f>IF(W32&lt;150000,"3",IF(W32&lt;500000,"2",IF(W32&gt;500000,"1")))</f>
        <v>1</v>
      </c>
      <c r="AF32" s="311">
        <v>1</v>
      </c>
      <c r="AG32" s="311">
        <v>1</v>
      </c>
      <c r="AH32" s="311">
        <v>1</v>
      </c>
      <c r="AI32" s="14" cm="1">
        <f t="array" ref="AI32">SUM(AA32:AH32/8)</f>
        <v>1.25</v>
      </c>
      <c r="AJ32" s="311"/>
      <c r="AK32" s="311"/>
      <c r="AL32" s="311"/>
      <c r="AM32" s="311"/>
      <c r="AN32" s="311"/>
      <c r="AO32" s="311"/>
      <c r="AP32" s="311"/>
      <c r="AQ32" s="311"/>
      <c r="AR32" s="311"/>
      <c r="AS32" s="311"/>
    </row>
    <row r="33" spans="2:35" ht="50.25" customHeight="1">
      <c r="B33" s="35" t="s">
        <v>201</v>
      </c>
      <c r="C33" s="179" t="s">
        <v>202</v>
      </c>
      <c r="D33" s="6" t="s">
        <v>203</v>
      </c>
      <c r="E33" s="5" t="s">
        <v>204</v>
      </c>
      <c r="F33" s="5" t="s">
        <v>78</v>
      </c>
      <c r="G33" s="5"/>
      <c r="H33" s="74"/>
      <c r="I33" s="5"/>
      <c r="J33" s="74"/>
      <c r="K33" s="311">
        <v>1300</v>
      </c>
      <c r="L33" s="311">
        <v>400</v>
      </c>
      <c r="M33" s="311"/>
      <c r="N33" s="311">
        <v>600</v>
      </c>
      <c r="O33" s="311">
        <v>2</v>
      </c>
      <c r="P33" s="311">
        <v>4000</v>
      </c>
      <c r="Q33" s="311"/>
      <c r="R33" s="311">
        <v>2500</v>
      </c>
      <c r="S33" s="13">
        <f>K33*L33+O33*P33+Q33*R33+M33*N33</f>
        <v>528000</v>
      </c>
      <c r="T33" s="8">
        <f>S33*0.1</f>
        <v>52800</v>
      </c>
      <c r="U33" s="8">
        <f>S33*0.07</f>
        <v>36960</v>
      </c>
      <c r="V33" s="8">
        <f>SUM(S33:U33)*0.2</f>
        <v>123552</v>
      </c>
      <c r="W33" s="190">
        <f>SUM(S33:V33)</f>
        <v>741312</v>
      </c>
      <c r="X33" s="8"/>
      <c r="Y33" s="36"/>
      <c r="Z33" s="311" t="s">
        <v>80</v>
      </c>
      <c r="AA33" s="311">
        <v>1</v>
      </c>
      <c r="AB33" s="311">
        <v>2</v>
      </c>
      <c r="AC33" s="311">
        <v>1</v>
      </c>
      <c r="AD33" s="311">
        <v>3</v>
      </c>
      <c r="AE33" s="65" t="str">
        <f>IF(W33&lt;150000,"3",IF(W33&lt;500000,"2",IF(W33&gt;500000,"1")))</f>
        <v>1</v>
      </c>
      <c r="AF33" s="311">
        <v>3</v>
      </c>
      <c r="AG33" s="311">
        <v>2</v>
      </c>
      <c r="AH33" s="311">
        <v>1</v>
      </c>
      <c r="AI33" s="14" cm="1">
        <f t="array" ref="AI33">SUM(AA33:AH33/8)</f>
        <v>1.75</v>
      </c>
    </row>
    <row r="34" spans="2:35" ht="50.25" hidden="1" customHeight="1">
      <c r="B34" s="35" t="s">
        <v>205</v>
      </c>
      <c r="C34" s="179"/>
      <c r="D34" s="6" t="s">
        <v>206</v>
      </c>
      <c r="E34" s="5" t="s">
        <v>150</v>
      </c>
      <c r="F34" s="5" t="s">
        <v>207</v>
      </c>
      <c r="G34" s="5"/>
      <c r="H34" s="74"/>
      <c r="I34" s="5"/>
      <c r="J34" s="74"/>
      <c r="K34" s="311">
        <v>2500</v>
      </c>
      <c r="L34" s="311">
        <v>400</v>
      </c>
      <c r="M34" s="311"/>
      <c r="N34" s="311">
        <v>600</v>
      </c>
      <c r="O34" s="311">
        <v>4</v>
      </c>
      <c r="P34" s="311">
        <v>4000</v>
      </c>
      <c r="Q34" s="311">
        <v>2</v>
      </c>
      <c r="R34" s="311">
        <v>2500</v>
      </c>
      <c r="S34" s="13">
        <f>K34*L34+O34*P34+Q34*R34+M34*N34</f>
        <v>1021000</v>
      </c>
      <c r="T34" s="8">
        <f>S34*0.1</f>
        <v>102100</v>
      </c>
      <c r="U34" s="8">
        <f>S34*0.07</f>
        <v>71470</v>
      </c>
      <c r="V34" s="8">
        <f>SUM(S34:U34)*0.2</f>
        <v>238914</v>
      </c>
      <c r="W34" s="190">
        <f>SUM(S34:V34)</f>
        <v>1433484</v>
      </c>
      <c r="X34" s="8"/>
      <c r="Y34" s="36"/>
      <c r="Z34" s="311" t="s">
        <v>80</v>
      </c>
      <c r="AA34" s="311">
        <v>1</v>
      </c>
      <c r="AB34" s="311">
        <v>2</v>
      </c>
      <c r="AC34" s="311">
        <v>1</v>
      </c>
      <c r="AD34" s="311">
        <v>2</v>
      </c>
      <c r="AE34" s="65" t="str">
        <f>IF(W34&lt;150000,"3",IF(W34&lt;500000,"2",IF(W34&gt;500000,"1")))</f>
        <v>1</v>
      </c>
      <c r="AF34" s="311">
        <v>2</v>
      </c>
      <c r="AG34" s="311">
        <v>1</v>
      </c>
      <c r="AH34" s="311">
        <v>1</v>
      </c>
      <c r="AI34" s="14" cm="1">
        <f t="array" ref="AI34">SUM(AA34:AH34/8)</f>
        <v>1.375</v>
      </c>
    </row>
    <row r="35" spans="2:35" ht="50.25" hidden="1" customHeight="1">
      <c r="B35" s="35" t="s">
        <v>208</v>
      </c>
      <c r="C35" s="179"/>
      <c r="D35" s="6" t="s">
        <v>209</v>
      </c>
      <c r="E35" s="5" t="s">
        <v>124</v>
      </c>
      <c r="F35" s="5" t="s">
        <v>96</v>
      </c>
      <c r="G35" s="5"/>
      <c r="H35" s="74"/>
      <c r="I35" s="5"/>
      <c r="J35" s="74"/>
      <c r="K35" s="311">
        <v>1200</v>
      </c>
      <c r="L35" s="311">
        <v>400</v>
      </c>
      <c r="M35" s="311"/>
      <c r="N35" s="311">
        <v>600</v>
      </c>
      <c r="O35" s="311">
        <v>4</v>
      </c>
      <c r="P35" s="311">
        <v>4000</v>
      </c>
      <c r="Q35" s="311">
        <v>2</v>
      </c>
      <c r="R35" s="311">
        <v>2500</v>
      </c>
      <c r="S35" s="13">
        <f>K35*L35+O35*P35+Q35*R35+M35*N35</f>
        <v>501000</v>
      </c>
      <c r="T35" s="8">
        <f>S35*0.1</f>
        <v>50100</v>
      </c>
      <c r="U35" s="8">
        <f>S35*0.07</f>
        <v>35070</v>
      </c>
      <c r="V35" s="8">
        <f>SUM(S35:U35)*0.2</f>
        <v>117234</v>
      </c>
      <c r="W35" s="190">
        <f>SUM(S35:V35)</f>
        <v>703404</v>
      </c>
      <c r="X35" s="8"/>
      <c r="Y35" s="36"/>
      <c r="Z35" s="311" t="s">
        <v>80</v>
      </c>
      <c r="AA35" s="311">
        <v>1</v>
      </c>
      <c r="AB35" s="311">
        <v>1</v>
      </c>
      <c r="AC35" s="311">
        <v>2</v>
      </c>
      <c r="AD35" s="311">
        <v>3</v>
      </c>
      <c r="AE35" s="65" t="str">
        <f>IF(W35&lt;150000,"3",IF(W35&lt;500000,"2",IF(W35&gt;500000,"1")))</f>
        <v>1</v>
      </c>
      <c r="AF35" s="311">
        <v>1</v>
      </c>
      <c r="AG35" s="311">
        <v>1</v>
      </c>
      <c r="AH35" s="311">
        <v>1</v>
      </c>
      <c r="AI35" s="14" cm="1">
        <f t="array" ref="AI35">SUM(AA35:AH35/8)</f>
        <v>1.375</v>
      </c>
    </row>
    <row r="36" spans="2:35" ht="50.25" hidden="1" customHeight="1">
      <c r="B36" s="35" t="s">
        <v>210</v>
      </c>
      <c r="C36" s="179"/>
      <c r="D36" s="6" t="s">
        <v>83</v>
      </c>
      <c r="E36" s="5" t="s">
        <v>211</v>
      </c>
      <c r="F36" s="5" t="s">
        <v>78</v>
      </c>
      <c r="G36" s="5"/>
      <c r="H36" s="74"/>
      <c r="I36" s="5"/>
      <c r="J36" s="74"/>
      <c r="K36" s="311">
        <v>3400</v>
      </c>
      <c r="L36" s="311">
        <v>400</v>
      </c>
      <c r="M36" s="311"/>
      <c r="N36" s="311">
        <v>600</v>
      </c>
      <c r="O36" s="311">
        <v>6</v>
      </c>
      <c r="P36" s="311">
        <v>4000</v>
      </c>
      <c r="Q36" s="311">
        <v>2</v>
      </c>
      <c r="R36" s="311">
        <v>2500</v>
      </c>
      <c r="S36" s="13">
        <f>K36*L36+O36*P36+Q36*R36+M36*N36</f>
        <v>1389000</v>
      </c>
      <c r="T36" s="8">
        <f>S36*0.1</f>
        <v>138900</v>
      </c>
      <c r="U36" s="8">
        <f>S36*0.07</f>
        <v>97230.000000000015</v>
      </c>
      <c r="V36" s="8">
        <f>SUM(S36:U36)*0.2</f>
        <v>325026</v>
      </c>
      <c r="W36" s="190">
        <f>SUM(S36:V36)</f>
        <v>1950156</v>
      </c>
      <c r="X36" s="8"/>
      <c r="Y36" s="36"/>
      <c r="Z36" s="311" t="s">
        <v>80</v>
      </c>
      <c r="AA36" s="311">
        <v>1</v>
      </c>
      <c r="AB36" s="311">
        <v>1</v>
      </c>
      <c r="AC36" s="311">
        <v>1</v>
      </c>
      <c r="AD36" s="311">
        <v>3</v>
      </c>
      <c r="AE36" s="65" t="str">
        <f>IF(W36&lt;150000,"3",IF(W36&lt;500000,"2",IF(W36&gt;500000,"1")))</f>
        <v>1</v>
      </c>
      <c r="AF36" s="311">
        <v>1</v>
      </c>
      <c r="AG36" s="311">
        <v>1</v>
      </c>
      <c r="AH36" s="311">
        <v>1</v>
      </c>
      <c r="AI36" s="14" cm="1">
        <f t="array" ref="AI36">SUM(AA36:AH36/8)</f>
        <v>1.25</v>
      </c>
    </row>
    <row r="37" spans="2:35" ht="50.25" customHeight="1">
      <c r="B37" s="35" t="s">
        <v>212</v>
      </c>
      <c r="C37" s="179" t="s">
        <v>213</v>
      </c>
      <c r="D37" s="6" t="s">
        <v>84</v>
      </c>
      <c r="E37" s="6" t="s">
        <v>43</v>
      </c>
      <c r="F37" s="5" t="s">
        <v>214</v>
      </c>
      <c r="G37" s="5"/>
      <c r="H37" s="74"/>
      <c r="I37" s="5"/>
      <c r="J37" s="74"/>
      <c r="K37" s="311">
        <v>0</v>
      </c>
      <c r="L37" s="311">
        <v>400</v>
      </c>
      <c r="M37" s="311"/>
      <c r="N37" s="311">
        <v>600</v>
      </c>
      <c r="O37" s="311">
        <v>4</v>
      </c>
      <c r="P37" s="311">
        <v>4000</v>
      </c>
      <c r="Q37" s="311">
        <v>2</v>
      </c>
      <c r="R37" s="311">
        <v>2500</v>
      </c>
      <c r="S37" s="13">
        <f>K37*L37+O37*P37+Q37*R37+M37*N37</f>
        <v>21000</v>
      </c>
      <c r="T37" s="8">
        <f>S37*0.1</f>
        <v>2100</v>
      </c>
      <c r="U37" s="8">
        <f>S37*0.07</f>
        <v>1470.0000000000002</v>
      </c>
      <c r="V37" s="8">
        <f>SUM(S37:U37)*0.2</f>
        <v>4914</v>
      </c>
      <c r="W37" s="190">
        <f>SUM(S37:V37)</f>
        <v>29484</v>
      </c>
      <c r="X37" s="8"/>
      <c r="Y37" s="36"/>
      <c r="Z37" s="311" t="s">
        <v>62</v>
      </c>
      <c r="AA37" s="311">
        <v>3</v>
      </c>
      <c r="AB37" s="311">
        <v>3</v>
      </c>
      <c r="AC37" s="311">
        <v>1</v>
      </c>
      <c r="AD37" s="311">
        <v>3</v>
      </c>
      <c r="AE37" s="65" t="str">
        <f>IF(W37&lt;150000,"3",IF(W37&gt;150000,"2",IF(W37&gt;500000,"1")))</f>
        <v>3</v>
      </c>
      <c r="AF37" s="311">
        <v>1</v>
      </c>
      <c r="AG37" s="311">
        <v>1</v>
      </c>
      <c r="AH37" s="311">
        <v>1</v>
      </c>
      <c r="AI37" s="14" cm="1">
        <f t="array" ref="AI37">SUM(AA37:AH37/8)</f>
        <v>2</v>
      </c>
    </row>
    <row r="38" spans="2:35" ht="50.25" hidden="1" customHeight="1">
      <c r="B38" s="295" t="s">
        <v>215</v>
      </c>
      <c r="C38" s="179"/>
      <c r="D38" s="6" t="s">
        <v>216</v>
      </c>
      <c r="E38" s="5" t="s">
        <v>217</v>
      </c>
      <c r="F38" s="5" t="s">
        <v>218</v>
      </c>
      <c r="G38" s="6" t="s">
        <v>160</v>
      </c>
      <c r="H38" s="74">
        <v>3000000</v>
      </c>
      <c r="I38" s="6" t="s">
        <v>46</v>
      </c>
      <c r="J38" s="74"/>
      <c r="K38" s="311"/>
      <c r="L38" s="311"/>
      <c r="M38" s="311"/>
      <c r="N38" s="311"/>
      <c r="O38" s="311"/>
      <c r="P38" s="311"/>
      <c r="Q38" s="311"/>
      <c r="R38" s="311"/>
      <c r="S38" s="13">
        <v>3000000</v>
      </c>
      <c r="T38" s="8">
        <f>S38*0.1</f>
        <v>300000</v>
      </c>
      <c r="U38" s="8">
        <v>340000</v>
      </c>
      <c r="V38" s="8"/>
      <c r="W38" s="190">
        <f>SUM(S38:V38)</f>
        <v>3640000</v>
      </c>
      <c r="X38" s="8"/>
      <c r="Y38" s="36"/>
      <c r="Z38" s="311" t="s">
        <v>47</v>
      </c>
      <c r="AA38" s="311">
        <v>2</v>
      </c>
      <c r="AB38" s="311">
        <v>2</v>
      </c>
      <c r="AC38" s="311">
        <v>1</v>
      </c>
      <c r="AD38" s="311">
        <v>3</v>
      </c>
      <c r="AE38" s="65" t="str">
        <f>IF(W38&lt;150000,"3",IF(W38&lt;500000,"2",IF(W38&gt;500000,"1")))</f>
        <v>1</v>
      </c>
      <c r="AF38" s="311">
        <v>3</v>
      </c>
      <c r="AG38" s="311">
        <v>2</v>
      </c>
      <c r="AH38" s="311">
        <v>3</v>
      </c>
      <c r="AI38" s="14" cm="1">
        <f t="array" ref="AI38">SUM(AA38:AH38/8)</f>
        <v>2.125</v>
      </c>
    </row>
    <row r="39" spans="2:35" ht="50.25" customHeight="1">
      <c r="B39" s="35" t="s">
        <v>219</v>
      </c>
      <c r="C39" s="294" t="s">
        <v>220</v>
      </c>
      <c r="D39" s="6" t="s">
        <v>61</v>
      </c>
      <c r="E39" s="5" t="s">
        <v>43</v>
      </c>
      <c r="F39" s="5" t="s">
        <v>221</v>
      </c>
      <c r="G39" s="6" t="s">
        <v>222</v>
      </c>
      <c r="H39" s="74"/>
      <c r="I39" s="5"/>
      <c r="J39" s="74"/>
      <c r="K39" s="311"/>
      <c r="L39" s="311"/>
      <c r="M39" s="311"/>
      <c r="N39" s="311"/>
      <c r="O39" s="311"/>
      <c r="P39" s="311"/>
      <c r="Q39" s="311"/>
      <c r="R39" s="311"/>
      <c r="S39" s="13">
        <v>120000</v>
      </c>
      <c r="T39" s="8">
        <v>30000</v>
      </c>
      <c r="U39" s="8"/>
      <c r="V39" s="8"/>
      <c r="W39" s="190">
        <f>SUM(S39:V39)</f>
        <v>150000</v>
      </c>
      <c r="X39" s="8"/>
      <c r="Y39" s="8"/>
      <c r="Z39" s="311" t="s">
        <v>62</v>
      </c>
      <c r="AA39" s="311">
        <v>3</v>
      </c>
      <c r="AB39" s="311">
        <v>2</v>
      </c>
      <c r="AC39" s="311">
        <v>2</v>
      </c>
      <c r="AD39" s="311">
        <v>2</v>
      </c>
      <c r="AE39" s="65" t="str">
        <f>IF(W39&lt;150000,"3",IF(W39&lt;500000,"2",IF(W39&gt;500000,"1")))</f>
        <v>2</v>
      </c>
      <c r="AF39" s="311">
        <v>2</v>
      </c>
      <c r="AG39" s="311">
        <v>2</v>
      </c>
      <c r="AH39" s="311">
        <v>1</v>
      </c>
      <c r="AI39" s="14" cm="1">
        <f t="array" ref="AI39">SUM(AA39:AH39/8)</f>
        <v>2</v>
      </c>
    </row>
    <row r="40" spans="2:35" ht="50.25" customHeight="1">
      <c r="B40" s="35" t="s">
        <v>223</v>
      </c>
      <c r="C40" s="179" t="s">
        <v>224</v>
      </c>
      <c r="D40" s="6" t="s">
        <v>61</v>
      </c>
      <c r="E40" s="5" t="s">
        <v>59</v>
      </c>
      <c r="F40" s="5" t="s">
        <v>225</v>
      </c>
      <c r="G40" s="5"/>
      <c r="H40" s="74"/>
      <c r="I40" s="5"/>
      <c r="J40" s="74"/>
      <c r="K40" s="311">
        <v>1200</v>
      </c>
      <c r="L40" s="311">
        <v>400</v>
      </c>
      <c r="M40" s="311"/>
      <c r="N40" s="311">
        <v>600</v>
      </c>
      <c r="O40" s="311">
        <v>2</v>
      </c>
      <c r="P40" s="311">
        <v>4000</v>
      </c>
      <c r="Q40" s="311">
        <v>2</v>
      </c>
      <c r="R40" s="311">
        <v>2500</v>
      </c>
      <c r="S40" s="13">
        <f>K40*L40+O40*P40+Q40*R40+M40*N40</f>
        <v>493000</v>
      </c>
      <c r="T40" s="8">
        <f>S40*0.1</f>
        <v>49300</v>
      </c>
      <c r="U40" s="8">
        <f>S40*0.07</f>
        <v>34510</v>
      </c>
      <c r="V40" s="8">
        <f>SUM(S40:U40)*0.2</f>
        <v>115362</v>
      </c>
      <c r="W40" s="190">
        <f>SUM(S40:V40)</f>
        <v>692172</v>
      </c>
      <c r="X40" s="8"/>
      <c r="Y40" s="8"/>
      <c r="Z40" s="311" t="s">
        <v>62</v>
      </c>
      <c r="AA40" s="311">
        <v>3</v>
      </c>
      <c r="AB40" s="311">
        <v>2</v>
      </c>
      <c r="AC40" s="311">
        <v>1</v>
      </c>
      <c r="AD40" s="311">
        <v>2</v>
      </c>
      <c r="AE40" s="65" t="str">
        <f>IF(W40&lt;150000,"3",IF(W40&lt;500000,"2",IF(W40&gt;500000,"1")))</f>
        <v>1</v>
      </c>
      <c r="AF40" s="311">
        <v>3</v>
      </c>
      <c r="AG40" s="311">
        <v>2</v>
      </c>
      <c r="AH40" s="311">
        <v>1</v>
      </c>
      <c r="AI40" s="14" cm="1">
        <f t="array" ref="AI40">SUM(AA40:AH40/8)</f>
        <v>1.875</v>
      </c>
    </row>
    <row r="41" spans="2:35" ht="50.25" hidden="1" customHeight="1">
      <c r="B41" s="35" t="s">
        <v>226</v>
      </c>
      <c r="C41" s="179"/>
      <c r="D41" s="6" t="s">
        <v>61</v>
      </c>
      <c r="E41" s="5" t="s">
        <v>227</v>
      </c>
      <c r="F41" s="5" t="s">
        <v>228</v>
      </c>
      <c r="G41" s="5"/>
      <c r="H41" s="74"/>
      <c r="I41" s="5"/>
      <c r="J41" s="74"/>
      <c r="K41" s="311">
        <v>1600</v>
      </c>
      <c r="L41" s="311">
        <v>400</v>
      </c>
      <c r="M41" s="311"/>
      <c r="N41" s="311">
        <v>600</v>
      </c>
      <c r="O41" s="311">
        <v>4</v>
      </c>
      <c r="P41" s="311">
        <v>4000</v>
      </c>
      <c r="Q41" s="311"/>
      <c r="R41" s="311">
        <v>2500</v>
      </c>
      <c r="S41" s="13">
        <f>K41*L41+O41*P41+Q41*R41+M41*N41</f>
        <v>656000</v>
      </c>
      <c r="T41" s="8">
        <f>S41*0.1</f>
        <v>65600</v>
      </c>
      <c r="U41" s="8">
        <f>S41*0.07</f>
        <v>45920.000000000007</v>
      </c>
      <c r="V41" s="8">
        <f>SUM(S41:U41)*0.2</f>
        <v>153504</v>
      </c>
      <c r="W41" s="190">
        <f>SUM(S41:V41)</f>
        <v>921024</v>
      </c>
      <c r="X41" s="8"/>
      <c r="Y41" s="8"/>
      <c r="Z41" s="311" t="s">
        <v>80</v>
      </c>
      <c r="AA41" s="311">
        <v>1</v>
      </c>
      <c r="AB41" s="311">
        <v>2</v>
      </c>
      <c r="AC41" s="311">
        <v>1</v>
      </c>
      <c r="AD41" s="311">
        <v>1</v>
      </c>
      <c r="AE41" s="65" t="str">
        <f>IF(W41&lt;150000,"3",IF(W41&lt;500000,"2",IF(W41&gt;500000,"1")))</f>
        <v>1</v>
      </c>
      <c r="AF41" s="311">
        <v>3</v>
      </c>
      <c r="AG41" s="311">
        <v>1</v>
      </c>
      <c r="AH41" s="311">
        <v>1</v>
      </c>
      <c r="AI41" s="14" cm="1">
        <f t="array" ref="AI41">SUM(AA41:AH41/8)</f>
        <v>1.375</v>
      </c>
    </row>
    <row r="42" spans="2:35" ht="50.25" hidden="1" customHeight="1">
      <c r="B42" s="35" t="s">
        <v>229</v>
      </c>
      <c r="C42" s="179"/>
      <c r="D42" s="6" t="s">
        <v>150</v>
      </c>
      <c r="E42" s="5" t="s">
        <v>230</v>
      </c>
      <c r="F42" s="5" t="s">
        <v>231</v>
      </c>
      <c r="G42" s="5"/>
      <c r="H42" s="74"/>
      <c r="I42" s="5"/>
      <c r="J42" s="74"/>
      <c r="K42" s="311">
        <v>360</v>
      </c>
      <c r="L42" s="311">
        <v>400</v>
      </c>
      <c r="M42" s="311"/>
      <c r="N42" s="311">
        <v>600</v>
      </c>
      <c r="O42" s="311"/>
      <c r="P42" s="311">
        <v>4000</v>
      </c>
      <c r="Q42" s="311">
        <v>2</v>
      </c>
      <c r="R42" s="311">
        <v>2500</v>
      </c>
      <c r="S42" s="13">
        <f>K42*L42+O42*P42+Q42*R42+M42*N42</f>
        <v>149000</v>
      </c>
      <c r="T42" s="8">
        <f>S42*0.1</f>
        <v>14900</v>
      </c>
      <c r="U42" s="8">
        <f>S42*0.07</f>
        <v>10430.000000000002</v>
      </c>
      <c r="V42" s="8">
        <f>SUM(S42:U42)*0.2</f>
        <v>34866</v>
      </c>
      <c r="W42" s="190">
        <f>SUM(S42:V42)</f>
        <v>209196</v>
      </c>
      <c r="X42" s="8"/>
      <c r="Y42" s="8"/>
      <c r="Z42" s="311" t="s">
        <v>80</v>
      </c>
      <c r="AA42" s="311">
        <v>1</v>
      </c>
      <c r="AB42" s="311">
        <v>2</v>
      </c>
      <c r="AC42" s="311">
        <v>1</v>
      </c>
      <c r="AD42" s="311">
        <v>2</v>
      </c>
      <c r="AE42" s="65" t="str">
        <f>IF(W42&lt;150000,"3",IF(W42&lt;500000,"2",IF(W42&gt;500000,"1")))</f>
        <v>2</v>
      </c>
      <c r="AF42" s="311">
        <v>2</v>
      </c>
      <c r="AG42" s="311">
        <v>1</v>
      </c>
      <c r="AH42" s="311">
        <v>1</v>
      </c>
      <c r="AI42" s="14" cm="1">
        <f t="array" ref="AI42">SUM(AA42:AH42/8)</f>
        <v>1.5</v>
      </c>
    </row>
    <row r="43" spans="2:35" ht="50.25" hidden="1" customHeight="1">
      <c r="B43" s="35" t="s">
        <v>232</v>
      </c>
      <c r="C43" s="179"/>
      <c r="D43" s="6" t="s">
        <v>150</v>
      </c>
      <c r="E43" s="5" t="s">
        <v>233</v>
      </c>
      <c r="F43" s="5" t="s">
        <v>234</v>
      </c>
      <c r="G43" s="5"/>
      <c r="H43" s="74"/>
      <c r="I43" s="5"/>
      <c r="J43" s="74"/>
      <c r="K43" s="311">
        <v>1100</v>
      </c>
      <c r="L43" s="311">
        <v>400</v>
      </c>
      <c r="M43" s="311"/>
      <c r="N43" s="311">
        <v>600</v>
      </c>
      <c r="O43" s="311"/>
      <c r="P43" s="311">
        <v>4000</v>
      </c>
      <c r="Q43" s="311">
        <v>4</v>
      </c>
      <c r="R43" s="311">
        <v>2500</v>
      </c>
      <c r="S43" s="13">
        <f>K43*L43+O43*P43+Q43*R43+M43*N43</f>
        <v>450000</v>
      </c>
      <c r="T43" s="8">
        <f>S43*0.1</f>
        <v>45000</v>
      </c>
      <c r="U43" s="8">
        <f>S43*0.07</f>
        <v>31500.000000000004</v>
      </c>
      <c r="V43" s="8">
        <f>SUM(S43:U43)*0.2</f>
        <v>105300</v>
      </c>
      <c r="W43" s="190">
        <f>SUM(S43:V43)</f>
        <v>631800</v>
      </c>
      <c r="X43" s="8"/>
      <c r="Y43" s="8"/>
      <c r="Z43" s="311" t="s">
        <v>80</v>
      </c>
      <c r="AA43" s="311">
        <v>1</v>
      </c>
      <c r="AB43" s="311">
        <v>2</v>
      </c>
      <c r="AC43" s="311">
        <v>1</v>
      </c>
      <c r="AD43" s="311">
        <v>2</v>
      </c>
      <c r="AE43" s="65" t="str">
        <f>IF(W43&lt;150000,"3",IF(W43&lt;500000,"2",IF(W43&gt;500000,"1")))</f>
        <v>1</v>
      </c>
      <c r="AF43" s="311">
        <v>2</v>
      </c>
      <c r="AG43" s="311">
        <v>1</v>
      </c>
      <c r="AH43" s="311">
        <v>1</v>
      </c>
      <c r="AI43" s="14" cm="1">
        <f t="array" ref="AI43">SUM(AA43:AH43/8)</f>
        <v>1.375</v>
      </c>
    </row>
    <row r="44" spans="2:35" ht="50.25" hidden="1" customHeight="1">
      <c r="B44" s="35" t="s">
        <v>235</v>
      </c>
      <c r="C44" s="179"/>
      <c r="D44" s="6" t="s">
        <v>236</v>
      </c>
      <c r="E44" s="6" t="s">
        <v>237</v>
      </c>
      <c r="F44" s="5" t="s">
        <v>238</v>
      </c>
      <c r="G44" s="5"/>
      <c r="H44" s="74"/>
      <c r="I44" s="5"/>
      <c r="J44" s="74"/>
      <c r="K44" s="311">
        <v>1000</v>
      </c>
      <c r="L44" s="311">
        <v>400</v>
      </c>
      <c r="M44" s="311"/>
      <c r="N44" s="311">
        <v>600</v>
      </c>
      <c r="O44" s="311">
        <v>4</v>
      </c>
      <c r="P44" s="311">
        <v>4000</v>
      </c>
      <c r="Q44" s="311"/>
      <c r="R44" s="311">
        <v>2500</v>
      </c>
      <c r="S44" s="13">
        <f>K44*L44+O44*P44+Q44*R44+M44*N44</f>
        <v>416000</v>
      </c>
      <c r="T44" s="8">
        <f>S44*0.1</f>
        <v>41600</v>
      </c>
      <c r="U44" s="8">
        <f>S44*0.07</f>
        <v>29120.000000000004</v>
      </c>
      <c r="V44" s="8">
        <f>SUM(S44:U44)*0.2</f>
        <v>97344</v>
      </c>
      <c r="W44" s="190">
        <f>SUM(S44:V44)</f>
        <v>584064</v>
      </c>
      <c r="X44" s="8"/>
      <c r="Y44" s="36"/>
      <c r="Z44" s="311" t="s">
        <v>80</v>
      </c>
      <c r="AA44" s="311">
        <v>1</v>
      </c>
      <c r="AB44" s="311">
        <v>1</v>
      </c>
      <c r="AC44" s="311">
        <v>1</v>
      </c>
      <c r="AD44" s="311">
        <v>2</v>
      </c>
      <c r="AE44" s="65" t="str">
        <f>IF(W44&lt;150000,"3",IF(W44&lt;500000,"2",IF(W44&gt;500000,"1")))</f>
        <v>1</v>
      </c>
      <c r="AF44" s="311">
        <v>3</v>
      </c>
      <c r="AG44" s="311">
        <v>1</v>
      </c>
      <c r="AH44" s="311">
        <v>1</v>
      </c>
      <c r="AI44" s="14" cm="1">
        <f t="array" ref="AI44">SUM(AA44:AH44/8)</f>
        <v>1.375</v>
      </c>
    </row>
    <row r="45" spans="2:35" ht="50.25" hidden="1" customHeight="1">
      <c r="B45" s="35" t="s">
        <v>239</v>
      </c>
      <c r="C45" s="179"/>
      <c r="D45" s="6" t="s">
        <v>67</v>
      </c>
      <c r="E45" s="6" t="s">
        <v>69</v>
      </c>
      <c r="F45" s="5" t="s">
        <v>240</v>
      </c>
      <c r="G45" s="5"/>
      <c r="H45" s="74"/>
      <c r="I45" s="5"/>
      <c r="J45" s="74"/>
      <c r="K45" s="311">
        <v>0</v>
      </c>
      <c r="L45" s="311">
        <v>400</v>
      </c>
      <c r="M45" s="311">
        <v>2450</v>
      </c>
      <c r="N45" s="311">
        <v>600</v>
      </c>
      <c r="O45" s="311">
        <v>2</v>
      </c>
      <c r="P45" s="311">
        <v>4000</v>
      </c>
      <c r="Q45" s="311"/>
      <c r="R45" s="311">
        <v>2500</v>
      </c>
      <c r="S45" s="13">
        <f>K45*L45+O45*P45+Q45*R45+M45*N45</f>
        <v>1478000</v>
      </c>
      <c r="T45" s="8">
        <f>S45*0.1</f>
        <v>147800</v>
      </c>
      <c r="U45" s="8">
        <f>S45*0.07</f>
        <v>103460.00000000001</v>
      </c>
      <c r="V45" s="8">
        <f>SUM(S45:U45)*0.2</f>
        <v>345852</v>
      </c>
      <c r="W45" s="190">
        <f>SUM(S45:V45)</f>
        <v>2075112</v>
      </c>
      <c r="X45" s="8"/>
      <c r="Y45" s="36"/>
      <c r="Z45" s="311" t="s">
        <v>80</v>
      </c>
      <c r="AA45" s="311">
        <v>1</v>
      </c>
      <c r="AB45" s="311">
        <v>1</v>
      </c>
      <c r="AC45" s="311">
        <v>1</v>
      </c>
      <c r="AD45" s="311">
        <v>3</v>
      </c>
      <c r="AE45" s="65" t="str">
        <f>IF(W45&lt;150000,"3",IF(W45&lt;500000,"2",IF(W45&gt;500000,"1")))</f>
        <v>1</v>
      </c>
      <c r="AF45" s="311">
        <v>3</v>
      </c>
      <c r="AG45" s="311">
        <v>1</v>
      </c>
      <c r="AH45" s="311">
        <v>1</v>
      </c>
      <c r="AI45" s="14" cm="1">
        <f t="array" ref="AI45">SUM(AA45:AH45/8)</f>
        <v>1.5</v>
      </c>
    </row>
    <row r="46" spans="2:35" ht="50.25" hidden="1" customHeight="1">
      <c r="B46" s="35" t="s">
        <v>241</v>
      </c>
      <c r="C46" s="179"/>
      <c r="D46" s="6" t="s">
        <v>242</v>
      </c>
      <c r="E46" s="6" t="s">
        <v>243</v>
      </c>
      <c r="F46" s="5" t="s">
        <v>244</v>
      </c>
      <c r="G46" s="5"/>
      <c r="H46" s="74"/>
      <c r="I46" s="5"/>
      <c r="J46" s="74"/>
      <c r="K46" s="311">
        <v>4300</v>
      </c>
      <c r="L46" s="311">
        <v>400</v>
      </c>
      <c r="M46" s="311"/>
      <c r="N46" s="311">
        <v>600</v>
      </c>
      <c r="O46" s="311">
        <v>8</v>
      </c>
      <c r="P46" s="311">
        <v>4000</v>
      </c>
      <c r="Q46" s="311"/>
      <c r="R46" s="311">
        <v>2500</v>
      </c>
      <c r="S46" s="13">
        <f>K46*L46+O46*P46+Q46*R46+M46*N46</f>
        <v>1752000</v>
      </c>
      <c r="T46" s="8">
        <f>S46*0.1</f>
        <v>175200</v>
      </c>
      <c r="U46" s="8">
        <f>S46*0.07</f>
        <v>122640.00000000001</v>
      </c>
      <c r="V46" s="8">
        <f>SUM(S46:U46)*0.2</f>
        <v>409968</v>
      </c>
      <c r="W46" s="190">
        <f>SUM(S46:V46)</f>
        <v>2459808</v>
      </c>
      <c r="X46" s="8"/>
      <c r="Y46" s="36"/>
      <c r="Z46" s="311" t="s">
        <v>80</v>
      </c>
      <c r="AA46" s="311">
        <v>1</v>
      </c>
      <c r="AB46" s="311">
        <v>1</v>
      </c>
      <c r="AC46" s="311">
        <v>1</v>
      </c>
      <c r="AD46" s="311">
        <v>1</v>
      </c>
      <c r="AE46" s="65" t="str">
        <f>IF(W46&lt;150000,"3",IF(W46&lt;500000,"2",IF(W46&gt;500000,"1")))</f>
        <v>1</v>
      </c>
      <c r="AF46" s="311">
        <v>2</v>
      </c>
      <c r="AG46" s="311">
        <v>1</v>
      </c>
      <c r="AH46" s="311">
        <v>1</v>
      </c>
      <c r="AI46" s="14" cm="1">
        <f t="array" ref="AI46">SUM(AA46:AH46/8)</f>
        <v>1.125</v>
      </c>
    </row>
    <row r="47" spans="2:35" ht="50.25" hidden="1" customHeight="1">
      <c r="B47" s="35" t="s">
        <v>245</v>
      </c>
      <c r="C47" s="179"/>
      <c r="D47" s="6" t="s">
        <v>246</v>
      </c>
      <c r="E47" s="6" t="s">
        <v>169</v>
      </c>
      <c r="F47" s="5" t="s">
        <v>247</v>
      </c>
      <c r="G47" s="5"/>
      <c r="H47" s="74"/>
      <c r="I47" s="5"/>
      <c r="J47" s="74"/>
      <c r="K47" s="311">
        <v>0</v>
      </c>
      <c r="L47" s="311">
        <v>400</v>
      </c>
      <c r="M47" s="311">
        <v>5000</v>
      </c>
      <c r="N47" s="311">
        <v>600</v>
      </c>
      <c r="O47" s="311"/>
      <c r="P47" s="311">
        <v>4000</v>
      </c>
      <c r="Q47" s="311"/>
      <c r="R47" s="311">
        <v>2500</v>
      </c>
      <c r="S47" s="13">
        <f>K47*L47+O47*P47+Q47*R47+M47*N47</f>
        <v>3000000</v>
      </c>
      <c r="T47" s="8">
        <f>S47*0.1</f>
        <v>300000</v>
      </c>
      <c r="U47" s="8">
        <f>S47*0.07</f>
        <v>210000.00000000003</v>
      </c>
      <c r="V47" s="8">
        <f>SUM(S47:U47)*0.2</f>
        <v>702000</v>
      </c>
      <c r="W47" s="190">
        <f>SUM(S47:V47)</f>
        <v>4212000</v>
      </c>
      <c r="X47" s="8"/>
      <c r="Y47" s="36"/>
      <c r="Z47" s="311" t="s">
        <v>80</v>
      </c>
      <c r="AA47" s="311">
        <v>1</v>
      </c>
      <c r="AB47" s="311">
        <v>2</v>
      </c>
      <c r="AC47" s="311">
        <v>2</v>
      </c>
      <c r="AD47" s="311">
        <v>1</v>
      </c>
      <c r="AE47" s="65" t="str">
        <f>IF(W47&lt;150000,"3",IF(W47&lt;500000,"2",IF(W47&gt;500000,"1")))</f>
        <v>1</v>
      </c>
      <c r="AF47" s="311">
        <v>2</v>
      </c>
      <c r="AG47" s="311">
        <v>1</v>
      </c>
      <c r="AH47" s="311">
        <v>1</v>
      </c>
      <c r="AI47" s="14" cm="1">
        <f t="array" ref="AI47">SUM(AA47:AH47/8)</f>
        <v>1.375</v>
      </c>
    </row>
    <row r="48" spans="2:35" ht="50.25" customHeight="1">
      <c r="B48" s="35" t="s">
        <v>248</v>
      </c>
      <c r="C48" s="179" t="s">
        <v>249</v>
      </c>
      <c r="D48" s="6" t="s">
        <v>144</v>
      </c>
      <c r="E48" s="6" t="s">
        <v>250</v>
      </c>
      <c r="F48" s="5" t="s">
        <v>251</v>
      </c>
      <c r="G48" s="5"/>
      <c r="H48" s="74"/>
      <c r="I48" s="5"/>
      <c r="J48" s="74"/>
      <c r="K48" s="311">
        <f>1800+1200</f>
        <v>3000</v>
      </c>
      <c r="L48" s="311">
        <v>400</v>
      </c>
      <c r="M48" s="311"/>
      <c r="N48" s="311">
        <v>600</v>
      </c>
      <c r="O48" s="311">
        <v>6</v>
      </c>
      <c r="P48" s="311">
        <v>4000</v>
      </c>
      <c r="Q48" s="311"/>
      <c r="R48" s="311">
        <v>2500</v>
      </c>
      <c r="S48" s="13">
        <f>K48*L48+O48*P48+Q48*R48+M48*N48</f>
        <v>1224000</v>
      </c>
      <c r="T48" s="8">
        <f>S48*0.1</f>
        <v>122400</v>
      </c>
      <c r="U48" s="8">
        <f>S48*0.07</f>
        <v>85680.000000000015</v>
      </c>
      <c r="V48" s="8">
        <f>SUM(S48:U48)*0.2</f>
        <v>286416</v>
      </c>
      <c r="W48" s="190">
        <f>SUM(S48:V48)</f>
        <v>1718496</v>
      </c>
      <c r="X48" s="8"/>
      <c r="Y48" s="36"/>
      <c r="Z48" s="311" t="s">
        <v>62</v>
      </c>
      <c r="AA48" s="311">
        <v>3</v>
      </c>
      <c r="AB48" s="311">
        <v>2</v>
      </c>
      <c r="AC48" s="311">
        <v>1</v>
      </c>
      <c r="AD48" s="311">
        <v>3</v>
      </c>
      <c r="AE48" s="65" t="str">
        <f>IF(W48&lt;150000,"3",IF(W48&lt;500000,"2",IF(W48&gt;500000,"1")))</f>
        <v>1</v>
      </c>
      <c r="AF48" s="311">
        <v>2</v>
      </c>
      <c r="AG48" s="311">
        <v>1</v>
      </c>
      <c r="AH48" s="311">
        <v>1</v>
      </c>
      <c r="AI48" s="14" cm="1">
        <f t="array" ref="AI48">SUM(AA48:AH48/8)</f>
        <v>1.75</v>
      </c>
    </row>
    <row r="49" spans="1:45" ht="72.75" customHeight="1">
      <c r="A49" s="311"/>
      <c r="B49" s="45" t="s">
        <v>252</v>
      </c>
      <c r="C49" s="314" t="s">
        <v>253</v>
      </c>
      <c r="D49" s="20" t="s">
        <v>174</v>
      </c>
      <c r="E49" s="20" t="s">
        <v>186</v>
      </c>
      <c r="F49" s="15" t="s">
        <v>154</v>
      </c>
      <c r="G49" s="20" t="s">
        <v>254</v>
      </c>
      <c r="H49" s="15"/>
      <c r="I49" s="15"/>
      <c r="J49" s="15"/>
      <c r="K49" s="16"/>
      <c r="L49" s="16"/>
      <c r="M49" s="16"/>
      <c r="N49" s="16"/>
      <c r="O49" s="16"/>
      <c r="P49" s="16"/>
      <c r="Q49" s="16"/>
      <c r="R49" s="16"/>
      <c r="S49" s="17">
        <v>2460000</v>
      </c>
      <c r="T49" s="18">
        <v>565000</v>
      </c>
      <c r="U49" s="18"/>
      <c r="V49" s="18"/>
      <c r="W49" s="191">
        <f>SUM(S49:V49)</f>
        <v>3025000</v>
      </c>
      <c r="X49" s="18"/>
      <c r="Y49" s="18"/>
      <c r="Z49" s="16" t="s">
        <v>62</v>
      </c>
      <c r="AA49" s="16">
        <v>3</v>
      </c>
      <c r="AB49" s="16">
        <v>2</v>
      </c>
      <c r="AC49" s="16">
        <v>2</v>
      </c>
      <c r="AD49" s="16">
        <v>3</v>
      </c>
      <c r="AE49" s="124" t="str">
        <f>IF(W49&lt;150000,"3",IF(W49&lt;500000,"2",IF(W49&gt;500000,"1")))</f>
        <v>1</v>
      </c>
      <c r="AF49" s="16">
        <v>3</v>
      </c>
      <c r="AG49" s="16">
        <v>2</v>
      </c>
      <c r="AH49" s="16">
        <v>1</v>
      </c>
      <c r="AI49" s="19" cm="1">
        <f t="array" ref="AI49">SUM(AA49:AH49/8)</f>
        <v>2.125</v>
      </c>
      <c r="AJ49" s="311"/>
      <c r="AK49" s="311"/>
      <c r="AL49" s="311"/>
      <c r="AM49" s="311"/>
      <c r="AN49" s="311"/>
      <c r="AO49" s="311"/>
      <c r="AP49" s="311"/>
      <c r="AQ49" s="311"/>
      <c r="AR49" s="311"/>
      <c r="AS49" s="311"/>
    </row>
    <row r="50" spans="1:45" s="311" customFormat="1" ht="393" customHeight="1">
      <c r="B50" s="313" t="s">
        <v>255</v>
      </c>
      <c r="C50" s="314"/>
      <c r="D50" s="406" t="s">
        <v>256</v>
      </c>
      <c r="E50" s="315"/>
      <c r="F50" s="316"/>
      <c r="G50" s="315" t="s">
        <v>257</v>
      </c>
      <c r="H50" s="74"/>
      <c r="I50" s="316"/>
      <c r="J50" s="74"/>
      <c r="K50" s="403"/>
      <c r="L50" s="312"/>
      <c r="M50" s="312"/>
      <c r="N50" s="312"/>
      <c r="O50" s="403"/>
      <c r="P50" s="312"/>
      <c r="Q50" s="312"/>
      <c r="R50" s="312"/>
      <c r="S50" s="13">
        <f>K50*L50+O50*P50+Q50*R50+M50*N50</f>
        <v>0</v>
      </c>
      <c r="T50" s="317">
        <f>S50*0.1</f>
        <v>0</v>
      </c>
      <c r="U50" s="317">
        <f>S50*0.07</f>
        <v>0</v>
      </c>
      <c r="V50" s="317">
        <f>SUM(S50:U50)*0.2</f>
        <v>0</v>
      </c>
      <c r="W50" s="318">
        <f>SUM(S50:V50)</f>
        <v>0</v>
      </c>
      <c r="X50" s="317"/>
      <c r="Y50" s="36"/>
      <c r="Z50" s="403"/>
      <c r="AA50" s="403"/>
      <c r="AB50" s="403"/>
      <c r="AC50" s="403"/>
      <c r="AD50" s="403"/>
      <c r="AE50" s="404" t="str">
        <f>IF(W50&lt;150000,"3",IF(W50&lt;500000,"2",IF(W50&gt;500000,"1")))</f>
        <v>3</v>
      </c>
      <c r="AF50" s="403"/>
      <c r="AG50" s="403"/>
      <c r="AH50" s="403"/>
      <c r="AI50" s="402" cm="1">
        <f t="array" ref="AI50">SUM(AA50:AH50/8)</f>
        <v>0.375</v>
      </c>
    </row>
    <row r="51" spans="1:45" ht="50.25" customHeight="1">
      <c r="A51" s="311"/>
      <c r="B51" s="179"/>
      <c r="C51" s="179"/>
      <c r="D51" s="6"/>
      <c r="E51" s="6"/>
      <c r="F51" s="278" t="s">
        <v>258</v>
      </c>
      <c r="G51" s="5"/>
      <c r="H51" s="75"/>
      <c r="I51" s="5"/>
      <c r="J51" s="75"/>
      <c r="K51" s="1"/>
      <c r="L51" s="1"/>
      <c r="M51" s="1"/>
      <c r="N51" s="1"/>
      <c r="O51" s="1"/>
      <c r="P51" s="1"/>
      <c r="Q51" s="1"/>
      <c r="R51" s="1"/>
      <c r="S51" s="7">
        <f t="shared" ref="S41:S51" si="0">K51*L51+O51*P51+Q51*R51+M51*N51</f>
        <v>0</v>
      </c>
      <c r="T51" s="274">
        <f t="shared" ref="T17:T51" si="1">S51*0.1</f>
        <v>0</v>
      </c>
      <c r="U51" s="274">
        <f t="shared" ref="U41:U51" si="2">S51*0.07</f>
        <v>0</v>
      </c>
      <c r="V51" s="274">
        <f t="shared" ref="V41:V51" si="3">SUM(S51:U51)*0.2</f>
        <v>0</v>
      </c>
      <c r="W51" s="275">
        <f>SUM(W5:W49)</f>
        <v>50822692</v>
      </c>
      <c r="X51" s="274"/>
      <c r="Y51" s="276"/>
      <c r="Z51" s="1"/>
      <c r="AA51" s="1"/>
      <c r="AB51" s="1"/>
      <c r="AC51" s="1"/>
      <c r="AD51" s="1"/>
      <c r="AE51" s="65" t="str">
        <f t="shared" ref="AE51" si="4">IF(W51&lt;150000,"3",IF(W51&lt;500000,"2",IF(W51&gt;500000,"1")))</f>
        <v>1</v>
      </c>
      <c r="AF51" s="1"/>
      <c r="AG51" s="1"/>
      <c r="AH51" s="1"/>
      <c r="AI51" s="277"/>
      <c r="AJ51" s="311"/>
      <c r="AK51" s="311"/>
      <c r="AL51" s="311"/>
      <c r="AM51" s="311"/>
      <c r="AN51" s="311"/>
      <c r="AO51" s="311"/>
      <c r="AP51" s="311"/>
      <c r="AQ51" s="311"/>
      <c r="AR51" s="311"/>
      <c r="AS51" s="311"/>
    </row>
    <row r="52" spans="1:45">
      <c r="A52" s="311"/>
      <c r="B52" s="1"/>
      <c r="C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311"/>
      <c r="AK52" s="311"/>
      <c r="AL52" s="311"/>
      <c r="AM52" s="311"/>
      <c r="AN52" s="311"/>
      <c r="AO52" s="311"/>
      <c r="AP52" s="311"/>
      <c r="AQ52" s="311"/>
      <c r="AR52" s="311"/>
      <c r="AS52" s="311"/>
    </row>
    <row r="53" spans="1:45" s="1" customFormat="1"/>
    <row r="54" spans="1:45" s="1" customFormat="1" ht="15" customHeight="1"/>
    <row r="55" spans="1:45" s="1" customFormat="1"/>
    <row r="56" spans="1:45" s="1" customFormat="1"/>
    <row r="57" spans="1:45" s="1" customFormat="1"/>
    <row r="58" spans="1:45" s="1" customFormat="1" ht="15" customHeight="1"/>
    <row r="59" spans="1:45" s="1" customFormat="1"/>
    <row r="60" spans="1:45" s="1" customFormat="1"/>
    <row r="61" spans="1:45" s="1" customFormat="1"/>
    <row r="62" spans="1:45" s="1" customFormat="1" ht="30" customHeight="1"/>
    <row r="63" spans="1:45" s="1" customFormat="1"/>
    <row r="64" spans="1:45" s="1" customFormat="1"/>
    <row r="65" spans="2:35" s="1" customFormat="1" ht="15" customHeight="1"/>
    <row r="66" spans="2:35" s="1" customFormat="1"/>
    <row r="67" spans="2:35" s="1" customFormat="1"/>
    <row r="68" spans="2:35" s="1" customFormat="1"/>
    <row r="69" spans="2:35" s="1" customFormat="1" ht="39" customHeight="1"/>
    <row r="70" spans="2:35" s="1" customFormat="1"/>
    <row r="71" spans="2:35" s="1" customFormat="1">
      <c r="B71" s="311"/>
      <c r="C71" s="311"/>
      <c r="F71" s="311"/>
      <c r="G71" s="311"/>
      <c r="H71" s="311"/>
      <c r="I71" s="311"/>
      <c r="J71" s="311"/>
      <c r="K71" s="311"/>
      <c r="L71" s="311"/>
      <c r="M71" s="311"/>
      <c r="N71" s="311"/>
      <c r="O71" s="311"/>
      <c r="P71" s="311"/>
      <c r="Q71" s="311"/>
      <c r="R71" s="311"/>
      <c r="S71" s="311"/>
      <c r="T71" s="311"/>
      <c r="U71" s="311"/>
      <c r="V71" s="311"/>
      <c r="W71" s="311"/>
      <c r="X71" s="311"/>
      <c r="Y71" s="311"/>
      <c r="Z71" s="311"/>
      <c r="AA71" s="311"/>
      <c r="AB71" s="311"/>
      <c r="AC71" s="311"/>
      <c r="AD71" s="311"/>
      <c r="AE71" s="311"/>
      <c r="AF71" s="311"/>
      <c r="AG71" s="311"/>
      <c r="AH71" s="311"/>
      <c r="AI71" s="311"/>
    </row>
  </sheetData>
  <mergeCells count="12">
    <mergeCell ref="AL31:AO31"/>
    <mergeCell ref="AL26:AO26"/>
    <mergeCell ref="AK22:AS22"/>
    <mergeCell ref="AK17:AK21"/>
    <mergeCell ref="AK12:AK15"/>
    <mergeCell ref="B3:AI3"/>
    <mergeCell ref="AL27:AO27"/>
    <mergeCell ref="AL28:AO28"/>
    <mergeCell ref="AL29:AO29"/>
    <mergeCell ref="AL30:AO30"/>
    <mergeCell ref="AK5:AK10"/>
    <mergeCell ref="AK3:AS3"/>
  </mergeCells>
  <hyperlinks>
    <hyperlink ref="AL26:AO26" r:id="rId1" display="2015 Sidewalk Master Plan" xr:uid="{CCAAA2BC-ECB7-4B69-A927-D994B40A6951}"/>
  </hyperlinks>
  <printOptions horizontalCentered="1"/>
  <pageMargins left="0.25" right="0.25" top="0.75" bottom="0.75" header="0.3" footer="0.3"/>
  <pageSetup scale="24" fitToHeight="0" orientation="landscape" r:id="rId2"/>
  <headerFooter>
    <oddFooter>&amp;L&amp;P of &amp;N</oddFooter>
  </headerFooter>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44F70-76C8-4F01-B447-535F1B53D330}">
  <sheetPr>
    <pageSetUpPr fitToPage="1"/>
  </sheetPr>
  <dimension ref="B4:AM47"/>
  <sheetViews>
    <sheetView tabSelected="1" topLeftCell="A10" zoomScaleNormal="100" workbookViewId="0">
      <pane xSplit="3" ySplit="3" topLeftCell="D28" activePane="bottomRight" state="frozen"/>
      <selection pane="bottomRight" activeCell="D31" sqref="D31"/>
      <selection pane="bottomLeft" activeCell="A13" sqref="A13"/>
      <selection pane="topRight" activeCell="D10" sqref="D10"/>
    </sheetView>
  </sheetViews>
  <sheetFormatPr defaultRowHeight="14.45"/>
  <cols>
    <col min="2" max="2" width="15.5703125" style="46" customWidth="1"/>
    <col min="3" max="3" width="24" customWidth="1"/>
    <col min="4" max="4" width="34.28515625" customWidth="1"/>
    <col min="5" max="5" width="15.5703125" style="1" customWidth="1"/>
    <col min="6" max="8" width="15.5703125" customWidth="1"/>
    <col min="9" max="9" width="15.5703125" style="44" customWidth="1"/>
    <col min="10" max="10" width="15.5703125" hidden="1" customWidth="1"/>
    <col min="11" max="19" width="15.5703125" customWidth="1"/>
    <col min="20" max="20" width="18.140625" customWidth="1"/>
    <col min="21" max="21" width="19.5703125" customWidth="1"/>
    <col min="22" max="28" width="15.5703125" customWidth="1"/>
    <col min="30" max="30" width="12.28515625" customWidth="1"/>
    <col min="31" max="39" width="30.5703125" customWidth="1"/>
  </cols>
  <sheetData>
    <row r="4" spans="2:39">
      <c r="C4" s="311"/>
      <c r="D4" s="311"/>
      <c r="F4" s="311"/>
      <c r="G4" s="311"/>
      <c r="H4" s="311"/>
      <c r="J4" s="311"/>
      <c r="K4" s="311"/>
      <c r="L4" s="311"/>
      <c r="M4" s="311"/>
      <c r="N4" s="311"/>
      <c r="O4" s="311"/>
      <c r="P4" s="311"/>
      <c r="Q4" s="311"/>
      <c r="R4" s="311"/>
      <c r="S4" s="311"/>
      <c r="T4" s="363"/>
      <c r="U4" s="363"/>
      <c r="V4" s="363"/>
      <c r="W4" s="363"/>
      <c r="X4" s="363"/>
      <c r="Y4" s="363"/>
      <c r="Z4" s="363"/>
      <c r="AA4" s="363"/>
      <c r="AB4" s="311"/>
      <c r="AC4" s="311"/>
      <c r="AD4" s="311"/>
      <c r="AE4" s="311"/>
      <c r="AF4" s="311"/>
      <c r="AG4" s="311"/>
      <c r="AH4" s="311"/>
      <c r="AI4" s="311"/>
      <c r="AJ4" s="311"/>
      <c r="AK4" s="311"/>
      <c r="AL4" s="311"/>
      <c r="AM4" s="311"/>
    </row>
    <row r="5" spans="2:39">
      <c r="C5" s="311"/>
      <c r="D5" s="311"/>
      <c r="F5" s="311"/>
      <c r="G5" s="311"/>
      <c r="H5" s="311"/>
      <c r="J5" s="311"/>
      <c r="K5" s="311"/>
      <c r="L5" s="311"/>
      <c r="M5" s="311"/>
      <c r="N5" s="311"/>
      <c r="O5" s="311"/>
      <c r="P5" s="311"/>
      <c r="Q5" s="311"/>
      <c r="R5" s="311"/>
      <c r="S5" s="311"/>
      <c r="T5" s="311"/>
      <c r="U5" s="311"/>
      <c r="V5" s="311"/>
      <c r="W5" s="1"/>
      <c r="X5" s="311"/>
      <c r="Y5" s="311"/>
      <c r="Z5" s="311"/>
      <c r="AA5" s="311"/>
      <c r="AB5" s="311"/>
      <c r="AC5" s="311"/>
      <c r="AD5" s="311"/>
      <c r="AE5" s="311"/>
      <c r="AF5" s="311"/>
      <c r="AG5" s="311"/>
      <c r="AH5" s="311"/>
      <c r="AI5" s="311"/>
      <c r="AJ5" s="311"/>
      <c r="AK5" s="311"/>
      <c r="AL5" s="311"/>
      <c r="AM5" s="311"/>
    </row>
    <row r="7" spans="2:39">
      <c r="C7" s="311"/>
      <c r="D7" s="311"/>
      <c r="F7" s="311"/>
      <c r="G7" s="311"/>
      <c r="H7" s="311"/>
      <c r="J7" s="311"/>
      <c r="K7" s="311"/>
      <c r="L7" s="311"/>
      <c r="M7" s="311"/>
      <c r="N7" s="311"/>
      <c r="O7" s="311"/>
      <c r="P7" s="311"/>
      <c r="Q7" s="311"/>
      <c r="R7" s="128"/>
      <c r="S7" s="311"/>
      <c r="T7" s="311"/>
      <c r="U7" s="311"/>
      <c r="V7" s="311"/>
      <c r="W7" s="311"/>
      <c r="X7" s="311"/>
      <c r="Y7" s="311"/>
      <c r="Z7" s="311"/>
      <c r="AA7" s="311"/>
      <c r="AB7" s="311"/>
      <c r="AC7" s="311"/>
      <c r="AD7" s="311"/>
      <c r="AE7" s="311"/>
      <c r="AF7" s="311"/>
      <c r="AG7" s="311"/>
      <c r="AH7" s="311"/>
      <c r="AI7" s="311"/>
      <c r="AJ7" s="311"/>
      <c r="AK7" s="311"/>
      <c r="AL7" s="311"/>
      <c r="AM7" s="311"/>
    </row>
    <row r="8" spans="2:39">
      <c r="C8" s="311"/>
      <c r="D8" s="311"/>
      <c r="F8" s="311"/>
      <c r="G8" s="311"/>
      <c r="H8" s="311"/>
      <c r="J8" s="311"/>
      <c r="K8" s="311" t="s">
        <v>50</v>
      </c>
      <c r="L8" s="311" t="s">
        <v>259</v>
      </c>
      <c r="M8" s="311"/>
      <c r="N8" s="311"/>
      <c r="O8" s="311"/>
      <c r="P8" s="311"/>
      <c r="Q8" s="311"/>
      <c r="R8" s="311"/>
      <c r="S8" s="311"/>
      <c r="T8" s="311"/>
      <c r="U8" s="311"/>
      <c r="V8" s="311"/>
      <c r="W8" s="311"/>
      <c r="X8" s="311"/>
      <c r="Y8" s="311"/>
      <c r="Z8" s="311"/>
      <c r="AA8" s="311"/>
      <c r="AB8" s="311"/>
      <c r="AC8" s="311"/>
      <c r="AD8" s="311"/>
      <c r="AE8" s="311"/>
      <c r="AF8" s="311"/>
      <c r="AG8" s="311"/>
      <c r="AH8" s="311"/>
      <c r="AI8" s="311"/>
      <c r="AJ8" s="311"/>
      <c r="AK8" s="311"/>
      <c r="AL8" s="311"/>
      <c r="AM8" s="311"/>
    </row>
    <row r="9" spans="2:39">
      <c r="C9" s="311"/>
      <c r="D9" s="311"/>
      <c r="F9" s="311"/>
      <c r="G9" s="311"/>
      <c r="H9" s="311"/>
      <c r="J9" s="311"/>
      <c r="K9" s="311" t="s">
        <v>260</v>
      </c>
      <c r="L9" s="311" t="s">
        <v>261</v>
      </c>
      <c r="M9" s="311"/>
      <c r="N9" s="311"/>
      <c r="O9" s="311"/>
      <c r="P9" s="48"/>
      <c r="Q9" s="311"/>
      <c r="R9" s="311"/>
      <c r="S9" s="311"/>
      <c r="T9" s="311"/>
      <c r="U9" s="311"/>
      <c r="V9" s="311"/>
      <c r="W9" s="311"/>
      <c r="X9" s="311"/>
      <c r="Y9" s="311"/>
      <c r="Z9" s="311"/>
      <c r="AA9" s="311"/>
      <c r="AB9" s="311"/>
      <c r="AC9" s="311"/>
      <c r="AD9" s="311"/>
      <c r="AE9" s="311"/>
      <c r="AF9" s="311"/>
      <c r="AG9" s="311"/>
      <c r="AH9" s="311"/>
      <c r="AI9" s="311"/>
      <c r="AJ9" s="311"/>
      <c r="AK9" s="311"/>
      <c r="AL9" s="311"/>
      <c r="AM9" s="311"/>
    </row>
    <row r="10" spans="2:39">
      <c r="C10" s="311"/>
      <c r="D10" s="311"/>
      <c r="F10" s="311"/>
      <c r="G10" s="311"/>
      <c r="H10" s="311"/>
      <c r="J10" s="311"/>
      <c r="K10" s="311" t="s">
        <v>262</v>
      </c>
      <c r="L10" s="311" t="s">
        <v>263</v>
      </c>
      <c r="M10" s="311"/>
      <c r="N10" s="311"/>
      <c r="O10" s="311"/>
      <c r="P10" s="311"/>
      <c r="Q10" s="311"/>
      <c r="R10" s="311"/>
      <c r="S10" s="311"/>
      <c r="T10" s="311"/>
      <c r="U10" s="311"/>
      <c r="V10" s="311"/>
      <c r="W10" s="311"/>
      <c r="X10" s="311"/>
      <c r="Y10" s="311"/>
      <c r="Z10" s="311"/>
      <c r="AA10" s="311"/>
      <c r="AB10" s="311"/>
      <c r="AC10" s="311"/>
      <c r="AD10" s="311"/>
      <c r="AE10" s="311"/>
      <c r="AF10" s="311"/>
      <c r="AG10" s="311"/>
      <c r="AH10" s="311"/>
      <c r="AI10" s="311"/>
      <c r="AJ10" s="311"/>
      <c r="AK10" s="311"/>
      <c r="AL10" s="311"/>
      <c r="AM10" s="311"/>
    </row>
    <row r="11" spans="2:39" ht="39.75" customHeight="1">
      <c r="B11" s="347" t="s">
        <v>264</v>
      </c>
      <c r="C11" s="347"/>
      <c r="D11" s="347"/>
      <c r="E11" s="347"/>
      <c r="F11" s="347"/>
      <c r="G11" s="347"/>
      <c r="H11" s="347"/>
      <c r="I11" s="347"/>
      <c r="J11" s="347"/>
      <c r="K11" s="347"/>
      <c r="L11" s="347"/>
      <c r="M11" s="347"/>
      <c r="N11" s="347"/>
      <c r="O11" s="347"/>
      <c r="P11" s="347"/>
      <c r="Q11" s="347"/>
      <c r="R11" s="347"/>
      <c r="S11" s="347"/>
      <c r="T11" s="347"/>
      <c r="U11" s="347"/>
      <c r="V11" s="347"/>
      <c r="W11" s="347"/>
      <c r="X11" s="347"/>
      <c r="Y11" s="347"/>
      <c r="Z11" s="347"/>
      <c r="AA11" s="347"/>
      <c r="AB11" s="347"/>
      <c r="AC11" s="311"/>
      <c r="AD11" s="311"/>
      <c r="AE11" s="311"/>
      <c r="AF11" s="311"/>
      <c r="AG11" s="311"/>
      <c r="AH11" s="311"/>
      <c r="AI11" s="311"/>
      <c r="AJ11" s="311"/>
      <c r="AK11" s="311"/>
      <c r="AL11" s="311"/>
      <c r="AM11" s="311"/>
    </row>
    <row r="12" spans="2:39" s="44" customFormat="1" ht="50.25" customHeight="1">
      <c r="B12" s="192" t="s">
        <v>2</v>
      </c>
      <c r="C12" s="42" t="s">
        <v>265</v>
      </c>
      <c r="D12" s="42" t="s">
        <v>7</v>
      </c>
      <c r="E12" s="43" t="s">
        <v>4</v>
      </c>
      <c r="F12" s="43" t="s">
        <v>5</v>
      </c>
      <c r="G12" s="42" t="s">
        <v>6</v>
      </c>
      <c r="H12" s="73" t="s">
        <v>8</v>
      </c>
      <c r="I12" s="73" t="s">
        <v>9</v>
      </c>
      <c r="J12" s="12" t="s">
        <v>266</v>
      </c>
      <c r="K12" s="12" t="s">
        <v>267</v>
      </c>
      <c r="L12" s="12" t="s">
        <v>12</v>
      </c>
      <c r="M12" s="12" t="s">
        <v>268</v>
      </c>
      <c r="N12" s="12" t="s">
        <v>269</v>
      </c>
      <c r="O12" s="12" t="s">
        <v>21</v>
      </c>
      <c r="P12" s="12" t="s">
        <v>270</v>
      </c>
      <c r="Q12" s="12" t="s">
        <v>22</v>
      </c>
      <c r="R12" s="12" t="s">
        <v>23</v>
      </c>
      <c r="S12" s="56" t="s">
        <v>271</v>
      </c>
      <c r="T12" s="56" t="s">
        <v>37</v>
      </c>
      <c r="U12" s="56" t="s">
        <v>272</v>
      </c>
      <c r="V12" s="56" t="s">
        <v>39</v>
      </c>
      <c r="W12" s="56" t="s">
        <v>273</v>
      </c>
      <c r="X12" s="56" t="s">
        <v>31</v>
      </c>
      <c r="Y12" s="57" t="s">
        <v>32</v>
      </c>
      <c r="Z12" s="57" t="s">
        <v>33</v>
      </c>
      <c r="AA12" s="58" t="s">
        <v>34</v>
      </c>
      <c r="AB12" s="194" t="s">
        <v>35</v>
      </c>
      <c r="AD12" s="352" t="s">
        <v>274</v>
      </c>
      <c r="AE12" s="353"/>
      <c r="AF12" s="353"/>
      <c r="AG12" s="353"/>
      <c r="AH12" s="353"/>
      <c r="AI12" s="353"/>
      <c r="AJ12" s="353"/>
      <c r="AK12" s="353"/>
      <c r="AL12" s="353"/>
      <c r="AM12" s="354"/>
    </row>
    <row r="13" spans="2:39" ht="85.5" customHeight="1">
      <c r="B13" s="296" t="s">
        <v>275</v>
      </c>
      <c r="C13" s="80" t="s">
        <v>276</v>
      </c>
      <c r="D13" s="40" t="s">
        <v>277</v>
      </c>
      <c r="E13" s="40" t="s">
        <v>276</v>
      </c>
      <c r="F13" s="40" t="s">
        <v>211</v>
      </c>
      <c r="G13" s="39" t="s">
        <v>151</v>
      </c>
      <c r="H13" s="39"/>
      <c r="I13" s="76"/>
      <c r="J13" s="59"/>
      <c r="K13" s="41">
        <f>1250*0.75</f>
        <v>937.5</v>
      </c>
      <c r="L13" s="41">
        <v>2400</v>
      </c>
      <c r="M13" s="47">
        <f t="shared" ref="M13:M24" si="0">P13*0.01</f>
        <v>22500</v>
      </c>
      <c r="N13" s="47">
        <f t="shared" ref="N13:N24" si="1">P13*0.1</f>
        <v>225000</v>
      </c>
      <c r="O13" s="47">
        <f t="shared" ref="O13:O24" si="2">P13*0.07</f>
        <v>157500.00000000003</v>
      </c>
      <c r="P13" s="47">
        <f t="shared" ref="P13:P23" si="3">K13*L13</f>
        <v>2250000</v>
      </c>
      <c r="Q13" s="47">
        <f t="shared" ref="Q13:Q24" si="4">SUM(M13:P13)*0.2</f>
        <v>531000</v>
      </c>
      <c r="R13" s="47">
        <f t="shared" ref="R13:R27" si="5">SUM(M13:Q13)</f>
        <v>3186000</v>
      </c>
      <c r="S13" s="47">
        <v>3</v>
      </c>
      <c r="T13" s="47">
        <v>2</v>
      </c>
      <c r="U13" s="47">
        <v>1</v>
      </c>
      <c r="V13" s="47">
        <v>3</v>
      </c>
      <c r="W13" s="59">
        <v>2</v>
      </c>
      <c r="X13" s="59">
        <v>2</v>
      </c>
      <c r="Y13" s="59">
        <v>3</v>
      </c>
      <c r="Z13" s="47">
        <v>3</v>
      </c>
      <c r="AA13" s="47">
        <v>3</v>
      </c>
      <c r="AB13" s="195" cm="1">
        <f t="array" ref="AB13">SUM(T13:AA13/9)</f>
        <v>2.1111111111111112</v>
      </c>
      <c r="AC13" s="311"/>
      <c r="AD13" s="83" t="s">
        <v>36</v>
      </c>
      <c r="AE13" s="84" t="s">
        <v>271</v>
      </c>
      <c r="AF13" s="84" t="s">
        <v>37</v>
      </c>
      <c r="AG13" s="84" t="s">
        <v>272</v>
      </c>
      <c r="AH13" s="84" t="s">
        <v>39</v>
      </c>
      <c r="AI13" s="84" t="s">
        <v>273</v>
      </c>
      <c r="AJ13" s="84" t="s">
        <v>31</v>
      </c>
      <c r="AK13" s="85" t="s">
        <v>32</v>
      </c>
      <c r="AL13" s="85" t="s">
        <v>33</v>
      </c>
      <c r="AM13" s="86" t="s">
        <v>34</v>
      </c>
    </row>
    <row r="14" spans="2:39" ht="50.25" customHeight="1">
      <c r="B14" s="296" t="s">
        <v>278</v>
      </c>
      <c r="C14" s="81" t="s">
        <v>279</v>
      </c>
      <c r="D14" s="40" t="s">
        <v>280</v>
      </c>
      <c r="E14" s="40" t="s">
        <v>43</v>
      </c>
      <c r="F14" s="40" t="s">
        <v>42</v>
      </c>
      <c r="G14" s="39" t="s">
        <v>84</v>
      </c>
      <c r="H14" s="79">
        <v>1959620</v>
      </c>
      <c r="I14" s="76" t="s">
        <v>281</v>
      </c>
      <c r="J14" s="47"/>
      <c r="K14" s="41">
        <v>1600</v>
      </c>
      <c r="L14" s="41">
        <v>3200</v>
      </c>
      <c r="M14" s="47">
        <f>P14*0.01</f>
        <v>51200</v>
      </c>
      <c r="N14" s="47">
        <f>P14*0.1</f>
        <v>512000</v>
      </c>
      <c r="O14" s="47">
        <f>P14*0.07</f>
        <v>358400.00000000006</v>
      </c>
      <c r="P14" s="47">
        <f>K14*L14</f>
        <v>5120000</v>
      </c>
      <c r="Q14" s="47">
        <f>SUM(M14:P14)*0.2</f>
        <v>1208320</v>
      </c>
      <c r="R14" s="47">
        <f>SUM(M14:Q14)</f>
        <v>7249920</v>
      </c>
      <c r="S14" s="47">
        <v>3</v>
      </c>
      <c r="T14" s="47">
        <v>2</v>
      </c>
      <c r="U14" s="47">
        <v>1</v>
      </c>
      <c r="V14" s="47">
        <v>3</v>
      </c>
      <c r="W14" s="47">
        <v>2</v>
      </c>
      <c r="X14" s="47">
        <v>1</v>
      </c>
      <c r="Y14" s="47">
        <v>3</v>
      </c>
      <c r="Z14" s="47">
        <v>3</v>
      </c>
      <c r="AA14" s="47">
        <v>2</v>
      </c>
      <c r="AB14" s="195" cm="1">
        <f t="array" ref="AB14">SUM(T14:AA14/9)</f>
        <v>1.8888888888888888</v>
      </c>
      <c r="AC14" s="311"/>
      <c r="AD14" s="349" t="s">
        <v>48</v>
      </c>
      <c r="AE14" s="87" t="s">
        <v>62</v>
      </c>
      <c r="AF14" s="87" t="s">
        <v>50</v>
      </c>
      <c r="AG14" s="87" t="s">
        <v>282</v>
      </c>
      <c r="AH14" s="87" t="s">
        <v>52</v>
      </c>
      <c r="AI14" s="87"/>
      <c r="AJ14" s="87" t="s">
        <v>283</v>
      </c>
      <c r="AK14" s="88" t="s">
        <v>284</v>
      </c>
      <c r="AL14" s="88" t="s">
        <v>55</v>
      </c>
      <c r="AM14" s="89" t="s">
        <v>56</v>
      </c>
    </row>
    <row r="15" spans="2:39" ht="46.9">
      <c r="B15" s="296" t="s">
        <v>285</v>
      </c>
      <c r="C15" s="81" t="s">
        <v>286</v>
      </c>
      <c r="D15" s="40" t="s">
        <v>287</v>
      </c>
      <c r="E15" s="40" t="s">
        <v>84</v>
      </c>
      <c r="F15" s="40" t="s">
        <v>43</v>
      </c>
      <c r="G15" s="39" t="s">
        <v>43</v>
      </c>
      <c r="H15" s="79">
        <v>2500000</v>
      </c>
      <c r="I15" s="76" t="s">
        <v>288</v>
      </c>
      <c r="J15" s="47"/>
      <c r="K15" s="41"/>
      <c r="L15" s="41"/>
      <c r="M15" s="47"/>
      <c r="N15" s="47">
        <v>140000</v>
      </c>
      <c r="O15" s="47">
        <v>60000</v>
      </c>
      <c r="P15" s="47">
        <v>3000000</v>
      </c>
      <c r="Q15" s="47"/>
      <c r="R15" s="47">
        <f t="shared" si="5"/>
        <v>3200000</v>
      </c>
      <c r="S15" s="47">
        <v>3</v>
      </c>
      <c r="T15" s="47">
        <v>2</v>
      </c>
      <c r="U15" s="47">
        <v>1</v>
      </c>
      <c r="V15" s="47">
        <v>3</v>
      </c>
      <c r="W15" s="47">
        <v>2</v>
      </c>
      <c r="X15" s="47">
        <v>1</v>
      </c>
      <c r="Y15" s="47">
        <v>3</v>
      </c>
      <c r="Z15" s="47">
        <v>3</v>
      </c>
      <c r="AA15" s="47">
        <v>2</v>
      </c>
      <c r="AB15" s="195" cm="1">
        <f t="array" ref="AB15">SUM(T15:AA15/9)</f>
        <v>1.8888888888888888</v>
      </c>
      <c r="AC15" s="311"/>
      <c r="AD15" s="350"/>
      <c r="AE15" s="90"/>
      <c r="AF15" s="90" t="s">
        <v>63</v>
      </c>
      <c r="AG15" s="90" t="s">
        <v>289</v>
      </c>
      <c r="AH15" s="90" t="s">
        <v>64</v>
      </c>
      <c r="AI15" s="90"/>
      <c r="AJ15" s="90"/>
      <c r="AK15" s="91" t="s">
        <v>290</v>
      </c>
      <c r="AL15" s="91"/>
      <c r="AM15" s="92"/>
    </row>
    <row r="16" spans="2:39" ht="57.6">
      <c r="B16" s="296" t="s">
        <v>291</v>
      </c>
      <c r="C16" s="81" t="s">
        <v>292</v>
      </c>
      <c r="D16" s="40" t="s">
        <v>293</v>
      </c>
      <c r="E16" s="40" t="s">
        <v>294</v>
      </c>
      <c r="F16" s="39" t="s">
        <v>141</v>
      </c>
      <c r="G16" s="39" t="s">
        <v>295</v>
      </c>
      <c r="H16" s="39"/>
      <c r="I16" s="76"/>
      <c r="J16" s="47"/>
      <c r="K16" s="41"/>
      <c r="L16" s="41"/>
      <c r="M16" s="47"/>
      <c r="N16" s="47">
        <f>Table3[[#This Row],[Construction]]*0.1</f>
        <v>350000</v>
      </c>
      <c r="O16" s="47"/>
      <c r="P16" s="47">
        <v>3500000</v>
      </c>
      <c r="Q16" s="47"/>
      <c r="R16" s="47">
        <f t="shared" ref="R16" si="6">SUM(M16:Q16)</f>
        <v>3850000</v>
      </c>
      <c r="S16" s="47">
        <v>3</v>
      </c>
      <c r="T16" s="47">
        <v>2</v>
      </c>
      <c r="U16" s="47">
        <v>3</v>
      </c>
      <c r="V16" s="47">
        <v>3</v>
      </c>
      <c r="W16" s="47">
        <v>2</v>
      </c>
      <c r="X16" s="47">
        <v>1</v>
      </c>
      <c r="Y16" s="47">
        <v>2</v>
      </c>
      <c r="Z16" s="47">
        <v>3</v>
      </c>
      <c r="AA16" s="47">
        <v>1</v>
      </c>
      <c r="AB16" s="195" cm="1">
        <f t="array" ref="AB16">SUM(T16:AA16/9)</f>
        <v>1.8888888888888891</v>
      </c>
      <c r="AC16" s="311"/>
      <c r="AD16" s="350"/>
      <c r="AE16" s="90"/>
      <c r="AF16" s="90" t="s">
        <v>70</v>
      </c>
      <c r="AG16" s="90"/>
      <c r="AH16" s="90" t="s">
        <v>71</v>
      </c>
      <c r="AI16" s="90"/>
      <c r="AJ16" s="90"/>
      <c r="AK16" s="91"/>
      <c r="AL16" s="91"/>
      <c r="AM16" s="92"/>
    </row>
    <row r="17" spans="2:39" ht="50.25" customHeight="1">
      <c r="B17" s="296" t="s">
        <v>296</v>
      </c>
      <c r="C17" s="81" t="s">
        <v>297</v>
      </c>
      <c r="D17" s="40" t="s">
        <v>293</v>
      </c>
      <c r="E17" s="40" t="s">
        <v>294</v>
      </c>
      <c r="F17" s="39" t="s">
        <v>295</v>
      </c>
      <c r="G17" s="39" t="s">
        <v>236</v>
      </c>
      <c r="H17" s="39"/>
      <c r="I17" s="76"/>
      <c r="J17" s="47"/>
      <c r="K17" s="41"/>
      <c r="L17" s="41"/>
      <c r="M17" s="47"/>
      <c r="N17" s="47">
        <f>Table3[[#This Row],[Construction]]*0.1</f>
        <v>100000</v>
      </c>
      <c r="O17" s="47"/>
      <c r="P17" s="47">
        <v>1000000</v>
      </c>
      <c r="Q17" s="47"/>
      <c r="R17" s="47">
        <f t="shared" si="5"/>
        <v>1100000</v>
      </c>
      <c r="S17" s="47">
        <v>3</v>
      </c>
      <c r="T17" s="47">
        <v>2</v>
      </c>
      <c r="U17" s="47">
        <v>3</v>
      </c>
      <c r="V17" s="47">
        <v>3</v>
      </c>
      <c r="W17" s="47">
        <v>2</v>
      </c>
      <c r="X17" s="47">
        <v>1</v>
      </c>
      <c r="Y17" s="47">
        <v>2</v>
      </c>
      <c r="Z17" s="47">
        <v>3</v>
      </c>
      <c r="AA17" s="47">
        <v>1</v>
      </c>
      <c r="AB17" s="195" cm="1">
        <f t="array" ref="AB17">SUM(T17:AA17/9)</f>
        <v>1.8888888888888891</v>
      </c>
      <c r="AC17" s="311"/>
      <c r="AD17" s="350"/>
      <c r="AE17" s="90"/>
      <c r="AF17" s="90"/>
      <c r="AG17" s="90"/>
      <c r="AH17" s="90" t="s">
        <v>76</v>
      </c>
      <c r="AI17" s="90"/>
      <c r="AJ17" s="90"/>
      <c r="AK17" s="91"/>
      <c r="AL17" s="91"/>
      <c r="AM17" s="92"/>
    </row>
    <row r="18" spans="2:39" ht="50.25" customHeight="1">
      <c r="B18" s="193" t="s">
        <v>298</v>
      </c>
      <c r="C18" s="80" t="s">
        <v>299</v>
      </c>
      <c r="D18" s="40" t="s">
        <v>300</v>
      </c>
      <c r="E18" s="40" t="s">
        <v>124</v>
      </c>
      <c r="F18" s="40" t="s">
        <v>301</v>
      </c>
      <c r="G18" s="39" t="s">
        <v>120</v>
      </c>
      <c r="H18" s="39"/>
      <c r="I18" s="76"/>
      <c r="J18" s="47"/>
      <c r="K18" s="41">
        <v>1300</v>
      </c>
      <c r="L18" s="41">
        <v>3200</v>
      </c>
      <c r="M18" s="47">
        <f t="shared" si="0"/>
        <v>41600</v>
      </c>
      <c r="N18" s="47">
        <f t="shared" si="1"/>
        <v>416000</v>
      </c>
      <c r="O18" s="47">
        <f t="shared" si="2"/>
        <v>291200</v>
      </c>
      <c r="P18" s="47">
        <f t="shared" si="3"/>
        <v>4160000</v>
      </c>
      <c r="Q18" s="47">
        <f t="shared" si="4"/>
        <v>981760</v>
      </c>
      <c r="R18" s="47">
        <f t="shared" si="5"/>
        <v>5890560</v>
      </c>
      <c r="S18" s="47">
        <v>3</v>
      </c>
      <c r="T18" s="47">
        <v>2</v>
      </c>
      <c r="U18" s="47">
        <v>1</v>
      </c>
      <c r="V18" s="47">
        <v>3</v>
      </c>
      <c r="W18" s="59">
        <v>2</v>
      </c>
      <c r="X18" s="59">
        <v>1</v>
      </c>
      <c r="Y18" s="59">
        <v>1</v>
      </c>
      <c r="Z18" s="47">
        <v>3</v>
      </c>
      <c r="AA18" s="47">
        <v>1</v>
      </c>
      <c r="AB18" s="195" cm="1">
        <f t="array" ref="AB18">SUM(T18:AA18/9)</f>
        <v>1.5555555555555556</v>
      </c>
      <c r="AC18" s="311"/>
      <c r="AD18" s="350"/>
      <c r="AE18" s="90"/>
      <c r="AF18" s="90"/>
      <c r="AG18" s="90"/>
      <c r="AH18" s="90" t="s">
        <v>81</v>
      </c>
      <c r="AI18" s="90"/>
      <c r="AJ18" s="90"/>
      <c r="AK18" s="91"/>
      <c r="AL18" s="91"/>
      <c r="AM18" s="92"/>
    </row>
    <row r="19" spans="2:39" ht="63.75" customHeight="1">
      <c r="B19" s="193" t="s">
        <v>302</v>
      </c>
      <c r="C19" s="80" t="s">
        <v>303</v>
      </c>
      <c r="D19" s="40" t="s">
        <v>304</v>
      </c>
      <c r="E19" s="40" t="s">
        <v>74</v>
      </c>
      <c r="F19" s="40" t="s">
        <v>305</v>
      </c>
      <c r="G19" s="39" t="s">
        <v>306</v>
      </c>
      <c r="H19" s="39"/>
      <c r="I19" s="76"/>
      <c r="J19" s="47"/>
      <c r="K19" s="41">
        <v>3500</v>
      </c>
      <c r="L19" s="41">
        <v>3200</v>
      </c>
      <c r="M19" s="47">
        <f t="shared" si="0"/>
        <v>112000</v>
      </c>
      <c r="N19" s="47">
        <f t="shared" si="1"/>
        <v>1120000</v>
      </c>
      <c r="O19" s="47">
        <f t="shared" si="2"/>
        <v>784000.00000000012</v>
      </c>
      <c r="P19" s="47">
        <f t="shared" si="3"/>
        <v>11200000</v>
      </c>
      <c r="Q19" s="47">
        <f t="shared" si="4"/>
        <v>2643200</v>
      </c>
      <c r="R19" s="47">
        <f t="shared" si="5"/>
        <v>15859200</v>
      </c>
      <c r="S19" s="47">
        <v>3</v>
      </c>
      <c r="T19" s="47">
        <v>2</v>
      </c>
      <c r="U19" s="47">
        <v>1</v>
      </c>
      <c r="V19" s="47">
        <v>3</v>
      </c>
      <c r="W19" s="47">
        <v>2</v>
      </c>
      <c r="X19" s="47">
        <v>1</v>
      </c>
      <c r="Y19" s="47">
        <v>1</v>
      </c>
      <c r="Z19" s="47">
        <v>3</v>
      </c>
      <c r="AA19" s="47">
        <v>1</v>
      </c>
      <c r="AB19" s="195" cm="1">
        <f t="array" ref="AB19">SUM(T19:AA19/9)</f>
        <v>1.5555555555555556</v>
      </c>
      <c r="AC19" s="311"/>
      <c r="AD19" s="351"/>
      <c r="AE19" s="90"/>
      <c r="AF19" s="90"/>
      <c r="AG19" s="90"/>
      <c r="AH19" s="90" t="s">
        <v>86</v>
      </c>
      <c r="AI19" s="90"/>
      <c r="AJ19" s="90"/>
      <c r="AK19" s="91"/>
      <c r="AL19" s="91"/>
      <c r="AM19" s="92"/>
    </row>
    <row r="20" spans="2:39" ht="50.25" customHeight="1">
      <c r="B20" s="193" t="s">
        <v>307</v>
      </c>
      <c r="C20" s="81" t="s">
        <v>308</v>
      </c>
      <c r="D20" s="40" t="s">
        <v>309</v>
      </c>
      <c r="E20" s="40" t="s">
        <v>310</v>
      </c>
      <c r="F20" s="40" t="s">
        <v>311</v>
      </c>
      <c r="G20" s="40" t="s">
        <v>312</v>
      </c>
      <c r="H20" s="40"/>
      <c r="I20" s="77"/>
      <c r="J20" s="59"/>
      <c r="K20" s="41">
        <v>1230</v>
      </c>
      <c r="L20" s="41">
        <v>2400</v>
      </c>
      <c r="M20" s="59">
        <f t="shared" si="0"/>
        <v>29520</v>
      </c>
      <c r="N20" s="59">
        <f t="shared" si="1"/>
        <v>295200</v>
      </c>
      <c r="O20" s="59">
        <f t="shared" si="2"/>
        <v>206640.00000000003</v>
      </c>
      <c r="P20" s="59">
        <f t="shared" si="3"/>
        <v>2952000</v>
      </c>
      <c r="Q20" s="59">
        <f t="shared" si="4"/>
        <v>696672</v>
      </c>
      <c r="R20" s="47">
        <f t="shared" si="5"/>
        <v>4180032</v>
      </c>
      <c r="S20" s="59">
        <v>3</v>
      </c>
      <c r="T20" s="59">
        <v>1</v>
      </c>
      <c r="U20" s="59">
        <v>1</v>
      </c>
      <c r="V20" s="47">
        <v>3</v>
      </c>
      <c r="W20" s="47">
        <v>2</v>
      </c>
      <c r="X20" s="47">
        <v>2</v>
      </c>
      <c r="Y20" s="47">
        <v>1</v>
      </c>
      <c r="Z20" s="47">
        <v>3</v>
      </c>
      <c r="AA20" s="47">
        <v>1</v>
      </c>
      <c r="AB20" s="195" cm="1">
        <f t="array" ref="AB20">SUM(T20:AA20/9)</f>
        <v>1.5555555555555556</v>
      </c>
      <c r="AC20" s="311"/>
      <c r="AD20" s="93"/>
      <c r="AE20" s="94"/>
      <c r="AF20" s="94"/>
      <c r="AG20" s="94"/>
      <c r="AH20" s="94"/>
      <c r="AI20" s="94"/>
      <c r="AJ20" s="94"/>
      <c r="AK20" s="95"/>
      <c r="AL20" s="95"/>
      <c r="AM20" s="96"/>
    </row>
    <row r="21" spans="2:39" ht="62.25" customHeight="1">
      <c r="B21" s="296" t="s">
        <v>313</v>
      </c>
      <c r="C21" s="80" t="s">
        <v>314</v>
      </c>
      <c r="D21" s="40" t="s">
        <v>315</v>
      </c>
      <c r="E21" s="40" t="s">
        <v>316</v>
      </c>
      <c r="F21" s="40" t="s">
        <v>317</v>
      </c>
      <c r="G21" s="39" t="s">
        <v>151</v>
      </c>
      <c r="H21" s="39"/>
      <c r="I21" s="76"/>
      <c r="J21" s="59">
        <v>100000</v>
      </c>
      <c r="K21" s="41"/>
      <c r="L21" s="41"/>
      <c r="M21" s="47"/>
      <c r="N21" s="47">
        <f t="shared" si="1"/>
        <v>50000</v>
      </c>
      <c r="O21" s="47">
        <f t="shared" si="2"/>
        <v>35000</v>
      </c>
      <c r="P21" s="47">
        <v>500000</v>
      </c>
      <c r="Q21" s="47">
        <v>50000</v>
      </c>
      <c r="R21" s="47">
        <f t="shared" si="5"/>
        <v>635000</v>
      </c>
      <c r="S21" s="47">
        <v>1</v>
      </c>
      <c r="T21" s="47">
        <v>2</v>
      </c>
      <c r="U21" s="47">
        <v>1</v>
      </c>
      <c r="V21" s="47">
        <v>1</v>
      </c>
      <c r="W21" s="59">
        <v>0</v>
      </c>
      <c r="X21" s="59">
        <v>3</v>
      </c>
      <c r="Y21" s="59">
        <v>3</v>
      </c>
      <c r="Z21" s="47">
        <v>2</v>
      </c>
      <c r="AA21" s="47">
        <v>1</v>
      </c>
      <c r="AB21" s="195" cm="1">
        <f t="array" ref="AB21">SUM(T21:AA21/9)</f>
        <v>1.4444444444444442</v>
      </c>
      <c r="AC21" s="311"/>
      <c r="AD21" s="360" t="s">
        <v>97</v>
      </c>
      <c r="AE21" s="97" t="s">
        <v>98</v>
      </c>
      <c r="AF21" s="97" t="s">
        <v>99</v>
      </c>
      <c r="AG21" s="97" t="s">
        <v>318</v>
      </c>
      <c r="AH21" s="97" t="s">
        <v>101</v>
      </c>
      <c r="AI21" s="97" t="s">
        <v>52</v>
      </c>
      <c r="AJ21" s="97" t="s">
        <v>319</v>
      </c>
      <c r="AK21" s="98" t="s">
        <v>103</v>
      </c>
      <c r="AL21" s="98" t="s">
        <v>104</v>
      </c>
      <c r="AM21" s="99" t="s">
        <v>105</v>
      </c>
    </row>
    <row r="22" spans="2:39" ht="50.25" customHeight="1">
      <c r="B22" s="193" t="s">
        <v>320</v>
      </c>
      <c r="C22" s="80" t="s">
        <v>321</v>
      </c>
      <c r="D22" s="40" t="s">
        <v>322</v>
      </c>
      <c r="E22" s="40" t="s">
        <v>321</v>
      </c>
      <c r="F22" s="39" t="s">
        <v>94</v>
      </c>
      <c r="G22" s="40" t="s">
        <v>323</v>
      </c>
      <c r="H22" s="40"/>
      <c r="I22" s="77"/>
      <c r="J22" s="47"/>
      <c r="K22" s="41">
        <v>470</v>
      </c>
      <c r="L22" s="41">
        <v>1600</v>
      </c>
      <c r="M22" s="47">
        <f t="shared" si="0"/>
        <v>7520</v>
      </c>
      <c r="N22" s="47">
        <f t="shared" si="1"/>
        <v>75200</v>
      </c>
      <c r="O22" s="47">
        <f t="shared" si="2"/>
        <v>52640.000000000007</v>
      </c>
      <c r="P22" s="47">
        <f t="shared" si="3"/>
        <v>752000</v>
      </c>
      <c r="Q22" s="47">
        <f t="shared" si="4"/>
        <v>177472</v>
      </c>
      <c r="R22" s="47">
        <f t="shared" si="5"/>
        <v>1064832</v>
      </c>
      <c r="S22" s="47">
        <v>1</v>
      </c>
      <c r="T22" s="47">
        <v>1</v>
      </c>
      <c r="U22" s="47">
        <v>1</v>
      </c>
      <c r="V22" s="47">
        <v>2</v>
      </c>
      <c r="W22" s="59">
        <v>1</v>
      </c>
      <c r="X22" s="59">
        <v>2</v>
      </c>
      <c r="Y22" s="59">
        <v>1</v>
      </c>
      <c r="Z22" s="47">
        <v>1</v>
      </c>
      <c r="AA22" s="47">
        <v>1</v>
      </c>
      <c r="AB22" s="195" cm="1">
        <f t="array" ref="AB22">SUM(T22:AA22/9)</f>
        <v>1.1111111111111112</v>
      </c>
      <c r="AC22" s="311"/>
      <c r="AD22" s="361"/>
      <c r="AE22" s="97" t="s">
        <v>47</v>
      </c>
      <c r="AF22" s="97" t="s">
        <v>108</v>
      </c>
      <c r="AG22" s="97"/>
      <c r="AH22" s="97" t="s">
        <v>112</v>
      </c>
      <c r="AI22" s="97" t="s">
        <v>324</v>
      </c>
      <c r="AJ22" s="97"/>
      <c r="AK22" s="98"/>
      <c r="AL22" s="98"/>
      <c r="AM22" s="99"/>
    </row>
    <row r="23" spans="2:39" ht="50.25" customHeight="1">
      <c r="B23" s="193" t="s">
        <v>325</v>
      </c>
      <c r="C23" s="282" t="s">
        <v>326</v>
      </c>
      <c r="D23" s="61" t="s">
        <v>322</v>
      </c>
      <c r="E23" s="61" t="s">
        <v>326</v>
      </c>
      <c r="F23" s="61" t="s">
        <v>94</v>
      </c>
      <c r="G23" s="62" t="s">
        <v>323</v>
      </c>
      <c r="H23" s="62"/>
      <c r="I23" s="78"/>
      <c r="J23" s="291"/>
      <c r="K23" s="293">
        <v>700</v>
      </c>
      <c r="L23" s="293">
        <v>1600</v>
      </c>
      <c r="M23" s="63">
        <f t="shared" si="0"/>
        <v>11200</v>
      </c>
      <c r="N23" s="63">
        <f t="shared" si="1"/>
        <v>112000</v>
      </c>
      <c r="O23" s="63">
        <f t="shared" si="2"/>
        <v>78400.000000000015</v>
      </c>
      <c r="P23" s="63">
        <f t="shared" si="3"/>
        <v>1120000</v>
      </c>
      <c r="Q23" s="63">
        <f t="shared" si="4"/>
        <v>264320</v>
      </c>
      <c r="R23" s="47">
        <f t="shared" si="5"/>
        <v>1585920</v>
      </c>
      <c r="S23" s="63">
        <v>1</v>
      </c>
      <c r="T23" s="63">
        <v>1</v>
      </c>
      <c r="U23" s="64">
        <v>1</v>
      </c>
      <c r="V23" s="64">
        <v>2</v>
      </c>
      <c r="W23" s="60">
        <v>1</v>
      </c>
      <c r="X23" s="60">
        <v>2</v>
      </c>
      <c r="Y23" s="60">
        <v>1</v>
      </c>
      <c r="Z23" s="64">
        <v>1</v>
      </c>
      <c r="AA23" s="64">
        <v>1</v>
      </c>
      <c r="AB23" s="195" cm="1">
        <f t="array" ref="AB23">SUM(T23:AA23/9)</f>
        <v>1.1111111111111112</v>
      </c>
      <c r="AC23" s="311"/>
      <c r="AD23" s="361"/>
      <c r="AE23" s="97"/>
      <c r="AF23" s="97"/>
      <c r="AG23" s="97"/>
      <c r="AH23" s="97" t="s">
        <v>130</v>
      </c>
      <c r="AI23" s="97" t="s">
        <v>71</v>
      </c>
      <c r="AJ23" s="97"/>
      <c r="AK23" s="98"/>
      <c r="AL23" s="98"/>
      <c r="AM23" s="99"/>
    </row>
    <row r="24" spans="2:39" ht="50.25" customHeight="1">
      <c r="B24" s="193" t="s">
        <v>327</v>
      </c>
      <c r="C24" s="80" t="s">
        <v>328</v>
      </c>
      <c r="D24" s="40" t="s">
        <v>322</v>
      </c>
      <c r="E24" s="40" t="s">
        <v>328</v>
      </c>
      <c r="F24" s="40" t="s">
        <v>329</v>
      </c>
      <c r="G24" s="39" t="s">
        <v>78</v>
      </c>
      <c r="H24" s="39"/>
      <c r="I24" s="76"/>
      <c r="J24" s="59"/>
      <c r="K24" s="41">
        <v>2100</v>
      </c>
      <c r="L24" s="41">
        <v>1600</v>
      </c>
      <c r="M24" s="47">
        <f t="shared" si="0"/>
        <v>33600</v>
      </c>
      <c r="N24" s="47">
        <f t="shared" si="1"/>
        <v>336000</v>
      </c>
      <c r="O24" s="47">
        <f t="shared" si="2"/>
        <v>235200.00000000003</v>
      </c>
      <c r="P24" s="47">
        <f>K24*L24</f>
        <v>3360000</v>
      </c>
      <c r="Q24" s="47">
        <f t="shared" si="4"/>
        <v>792960</v>
      </c>
      <c r="R24" s="47">
        <f t="shared" si="5"/>
        <v>4757760</v>
      </c>
      <c r="S24" s="47">
        <v>1</v>
      </c>
      <c r="T24" s="47">
        <v>1</v>
      </c>
      <c r="U24" s="47">
        <v>1</v>
      </c>
      <c r="V24" s="47">
        <v>2</v>
      </c>
      <c r="W24" s="59">
        <v>1</v>
      </c>
      <c r="X24" s="59">
        <v>2</v>
      </c>
      <c r="Y24" s="59">
        <v>1</v>
      </c>
      <c r="Z24" s="47">
        <v>1</v>
      </c>
      <c r="AA24" s="47">
        <v>1</v>
      </c>
      <c r="AB24" s="195" cm="1">
        <f t="array" ref="AB24">SUM(T24:AA24/9)</f>
        <v>1.1111111111111112</v>
      </c>
      <c r="AC24" s="311"/>
      <c r="AD24" s="361"/>
      <c r="AE24" s="97"/>
      <c r="AF24" s="97"/>
      <c r="AG24" s="97"/>
      <c r="AH24" s="97"/>
      <c r="AI24" s="97" t="s">
        <v>76</v>
      </c>
      <c r="AJ24" s="97"/>
      <c r="AK24" s="98"/>
      <c r="AL24" s="98"/>
      <c r="AM24" s="99"/>
    </row>
    <row r="25" spans="2:39" ht="50.25" customHeight="1">
      <c r="B25" s="193" t="s">
        <v>330</v>
      </c>
      <c r="C25" s="81" t="s">
        <v>331</v>
      </c>
      <c r="D25" s="40" t="s">
        <v>332</v>
      </c>
      <c r="E25" s="40" t="s">
        <v>168</v>
      </c>
      <c r="F25" s="40" t="s">
        <v>144</v>
      </c>
      <c r="G25" s="39" t="s">
        <v>144</v>
      </c>
      <c r="H25" s="79"/>
      <c r="I25" s="76"/>
      <c r="J25" s="47">
        <v>30000</v>
      </c>
      <c r="K25" s="41">
        <v>100</v>
      </c>
      <c r="L25" s="41">
        <v>0</v>
      </c>
      <c r="M25" s="47"/>
      <c r="N25" s="47">
        <v>5000</v>
      </c>
      <c r="O25" s="47"/>
      <c r="P25" s="47">
        <v>25000</v>
      </c>
      <c r="Q25" s="47"/>
      <c r="R25" s="47">
        <f t="shared" si="5"/>
        <v>30000</v>
      </c>
      <c r="S25" s="47">
        <v>3</v>
      </c>
      <c r="T25" s="47">
        <v>3</v>
      </c>
      <c r="U25" s="47">
        <v>3</v>
      </c>
      <c r="V25" s="47">
        <v>2</v>
      </c>
      <c r="W25" s="47">
        <v>1</v>
      </c>
      <c r="X25" s="47">
        <v>3</v>
      </c>
      <c r="Y25" s="47">
        <v>3</v>
      </c>
      <c r="Z25" s="47">
        <v>1</v>
      </c>
      <c r="AA25" s="47">
        <v>3</v>
      </c>
      <c r="AB25" s="195" cm="1">
        <f t="array" ref="AB25">SUM(T25:AA25/9)</f>
        <v>2.1111111111111112</v>
      </c>
      <c r="AC25" s="311"/>
      <c r="AD25" s="362"/>
      <c r="AE25" s="97"/>
      <c r="AF25" s="97"/>
      <c r="AG25" s="97"/>
      <c r="AH25" s="97"/>
      <c r="AI25" s="97" t="s">
        <v>81</v>
      </c>
      <c r="AJ25" s="97"/>
      <c r="AK25" s="98"/>
      <c r="AL25" s="98"/>
      <c r="AM25" s="99"/>
    </row>
    <row r="26" spans="2:39" ht="50.25" customHeight="1">
      <c r="B26" s="193" t="s">
        <v>333</v>
      </c>
      <c r="C26" s="81" t="s">
        <v>334</v>
      </c>
      <c r="D26" s="40" t="s">
        <v>335</v>
      </c>
      <c r="E26" s="40"/>
      <c r="F26" s="40"/>
      <c r="G26" s="39"/>
      <c r="H26" s="47"/>
      <c r="I26" s="76"/>
      <c r="J26" s="47">
        <v>50000</v>
      </c>
      <c r="K26" s="41">
        <v>200</v>
      </c>
      <c r="L26" s="41">
        <v>1600</v>
      </c>
      <c r="M26" s="47">
        <f>P26*0.01</f>
        <v>3200</v>
      </c>
      <c r="N26" s="47">
        <v>10000</v>
      </c>
      <c r="O26" s="47">
        <f>P26*0.07</f>
        <v>22400.000000000004</v>
      </c>
      <c r="P26" s="47">
        <f>Table3[[#This Row],[Length  (LF)]]*Table3[[#This Row],[Cost/LF]]</f>
        <v>320000</v>
      </c>
      <c r="Q26" s="47">
        <f>SUM(M26:P26)*0.2</f>
        <v>71120</v>
      </c>
      <c r="R26" s="47">
        <f>SUM(M26:Q26)</f>
        <v>426720</v>
      </c>
      <c r="S26" s="47">
        <v>1</v>
      </c>
      <c r="T26" s="47">
        <v>1</v>
      </c>
      <c r="U26" s="47">
        <v>1</v>
      </c>
      <c r="V26" s="47">
        <v>1</v>
      </c>
      <c r="W26" s="47">
        <v>1</v>
      </c>
      <c r="X26" s="47">
        <v>3</v>
      </c>
      <c r="Y26" s="47">
        <v>3</v>
      </c>
      <c r="Z26" s="47">
        <v>1</v>
      </c>
      <c r="AA26" s="47">
        <v>3</v>
      </c>
      <c r="AB26" s="195" cm="1">
        <f t="array" ref="AB26">SUM(T26:AA26/9)</f>
        <v>1.5555555555555554</v>
      </c>
      <c r="AC26" s="311"/>
      <c r="AD26" s="100"/>
      <c r="AE26" s="94"/>
      <c r="AF26" s="94"/>
      <c r="AG26" s="94"/>
      <c r="AH26" s="94"/>
      <c r="AI26" s="94"/>
      <c r="AJ26" s="94"/>
      <c r="AK26" s="95"/>
      <c r="AL26" s="95"/>
      <c r="AM26" s="96"/>
    </row>
    <row r="27" spans="2:39" ht="79.900000000000006" customHeight="1">
      <c r="B27" s="284" t="s">
        <v>336</v>
      </c>
      <c r="C27" s="285" t="s">
        <v>337</v>
      </c>
      <c r="D27" s="286" t="s">
        <v>338</v>
      </c>
      <c r="E27" s="287" t="s">
        <v>174</v>
      </c>
      <c r="F27" s="287" t="s">
        <v>339</v>
      </c>
      <c r="G27" s="288" t="s">
        <v>250</v>
      </c>
      <c r="H27" s="289">
        <v>3000000</v>
      </c>
      <c r="I27" s="290" t="s">
        <v>340</v>
      </c>
      <c r="J27" s="289">
        <v>15500000</v>
      </c>
      <c r="K27" s="292"/>
      <c r="L27" s="292"/>
      <c r="M27" s="289"/>
      <c r="N27" s="289"/>
      <c r="O27" s="289"/>
      <c r="P27" s="289"/>
      <c r="Q27" s="289"/>
      <c r="R27" s="47">
        <f t="shared" si="5"/>
        <v>0</v>
      </c>
      <c r="S27" s="289">
        <v>3</v>
      </c>
      <c r="T27" s="289">
        <v>3</v>
      </c>
      <c r="U27" s="289">
        <v>1</v>
      </c>
      <c r="V27" s="289">
        <v>2</v>
      </c>
      <c r="W27" s="289">
        <v>1</v>
      </c>
      <c r="X27" s="289">
        <v>1</v>
      </c>
      <c r="Y27" s="289">
        <v>3</v>
      </c>
      <c r="Z27" s="289">
        <v>3</v>
      </c>
      <c r="AA27" s="289">
        <v>3</v>
      </c>
      <c r="AB27" s="198" cm="1">
        <f t="array" ref="AB27">SUM(T27:AA27/9)</f>
        <v>1.8888888888888886</v>
      </c>
      <c r="AC27" s="311"/>
      <c r="AD27" s="357" t="s">
        <v>127</v>
      </c>
      <c r="AE27" s="101" t="s">
        <v>80</v>
      </c>
      <c r="AF27" s="101" t="s">
        <v>128</v>
      </c>
      <c r="AG27" s="101" t="s">
        <v>341</v>
      </c>
      <c r="AH27" s="101"/>
      <c r="AI27" s="101" t="s">
        <v>86</v>
      </c>
      <c r="AJ27" s="101" t="s">
        <v>342</v>
      </c>
      <c r="AK27" s="102" t="s">
        <v>132</v>
      </c>
      <c r="AL27" s="102" t="s">
        <v>343</v>
      </c>
      <c r="AM27" s="103" t="s">
        <v>134</v>
      </c>
    </row>
    <row r="28" spans="2:39" s="340" customFormat="1" ht="79.900000000000006" customHeight="1">
      <c r="B28" s="333" t="s">
        <v>285</v>
      </c>
      <c r="C28" s="334" t="s">
        <v>344</v>
      </c>
      <c r="D28" s="335" t="s">
        <v>345</v>
      </c>
      <c r="E28" s="336"/>
      <c r="F28" s="336"/>
      <c r="G28" s="337"/>
      <c r="H28" s="291"/>
      <c r="I28" s="338"/>
      <c r="J28" s="291"/>
      <c r="K28" s="339"/>
      <c r="L28" s="339"/>
      <c r="M28" s="291"/>
      <c r="N28" s="291"/>
      <c r="O28" s="291"/>
      <c r="P28" s="291"/>
      <c r="Q28" s="291"/>
      <c r="R28" s="291"/>
      <c r="S28" s="291"/>
      <c r="T28" s="291"/>
      <c r="U28" s="291"/>
      <c r="V28" s="291"/>
      <c r="W28" s="291"/>
      <c r="X28" s="291"/>
      <c r="Y28" s="291"/>
      <c r="Z28" s="291"/>
      <c r="AA28" s="291"/>
      <c r="AB28" s="326"/>
      <c r="AD28" s="358"/>
      <c r="AE28" s="341"/>
      <c r="AF28" s="341"/>
      <c r="AG28" s="341"/>
      <c r="AH28" s="341"/>
      <c r="AI28" s="341"/>
      <c r="AJ28" s="341"/>
      <c r="AK28" s="342"/>
      <c r="AL28" s="342"/>
      <c r="AM28" s="343"/>
    </row>
    <row r="29" spans="2:39" s="311" customFormat="1" ht="110.25" customHeight="1">
      <c r="B29" s="327" t="s">
        <v>346</v>
      </c>
      <c r="C29" s="331" t="s">
        <v>347</v>
      </c>
      <c r="D29" s="323" t="s">
        <v>348</v>
      </c>
      <c r="E29" s="328"/>
      <c r="F29" s="328"/>
      <c r="G29" s="329"/>
      <c r="H29" s="324"/>
      <c r="I29" s="330"/>
      <c r="J29" s="324"/>
      <c r="K29" s="325"/>
      <c r="L29" s="325"/>
      <c r="M29" s="324"/>
      <c r="N29" s="324"/>
      <c r="O29" s="324"/>
      <c r="P29" s="324"/>
      <c r="Q29" s="324"/>
      <c r="R29" s="63"/>
      <c r="S29" s="324"/>
      <c r="T29" s="324"/>
      <c r="U29" s="324"/>
      <c r="V29" s="324"/>
      <c r="W29" s="324"/>
      <c r="X29" s="324"/>
      <c r="Y29" s="324"/>
      <c r="Z29" s="324"/>
      <c r="AA29" s="324"/>
      <c r="AB29" s="326"/>
      <c r="AD29" s="358"/>
      <c r="AE29" s="101"/>
      <c r="AF29" s="101"/>
      <c r="AG29" s="101"/>
      <c r="AH29" s="101"/>
      <c r="AI29" s="101"/>
      <c r="AJ29" s="101"/>
      <c r="AK29" s="102"/>
      <c r="AL29" s="102"/>
      <c r="AM29" s="103"/>
    </row>
    <row r="30" spans="2:39" s="311" customFormat="1" ht="110.25" customHeight="1">
      <c r="B30" s="333" t="s">
        <v>349</v>
      </c>
      <c r="C30" s="344" t="s">
        <v>350</v>
      </c>
      <c r="D30" s="335" t="s">
        <v>351</v>
      </c>
      <c r="E30" s="336"/>
      <c r="F30" s="336"/>
      <c r="G30" s="337"/>
      <c r="H30" s="291"/>
      <c r="I30" s="338"/>
      <c r="J30" s="291"/>
      <c r="K30" s="339"/>
      <c r="L30" s="339"/>
      <c r="M30" s="291"/>
      <c r="N30" s="291"/>
      <c r="O30" s="291"/>
      <c r="P30" s="291"/>
      <c r="Q30" s="291"/>
      <c r="R30" s="291"/>
      <c r="S30" s="291"/>
      <c r="T30" s="291"/>
      <c r="U30" s="291"/>
      <c r="V30" s="291"/>
      <c r="W30" s="291"/>
      <c r="X30" s="291"/>
      <c r="Y30" s="291"/>
      <c r="Z30" s="291"/>
      <c r="AA30" s="291"/>
      <c r="AB30" s="326"/>
      <c r="AD30" s="358"/>
      <c r="AE30" s="101"/>
      <c r="AF30" s="101"/>
      <c r="AG30" s="101"/>
      <c r="AH30" s="101"/>
      <c r="AI30" s="101"/>
      <c r="AJ30" s="101"/>
      <c r="AK30" s="102"/>
      <c r="AL30" s="102"/>
      <c r="AM30" s="103"/>
    </row>
    <row r="31" spans="2:39" s="311" customFormat="1" ht="110.25" customHeight="1">
      <c r="B31" s="333" t="s">
        <v>352</v>
      </c>
      <c r="C31" s="344" t="s">
        <v>353</v>
      </c>
      <c r="D31" s="413" t="s">
        <v>354</v>
      </c>
      <c r="E31" s="336"/>
      <c r="F31" s="336"/>
      <c r="G31" s="337"/>
      <c r="H31" s="291"/>
      <c r="I31" s="338"/>
      <c r="J31" s="291"/>
      <c r="K31" s="339"/>
      <c r="L31" s="339"/>
      <c r="M31" s="291"/>
      <c r="N31" s="291"/>
      <c r="O31" s="291"/>
      <c r="P31" s="291"/>
      <c r="Q31" s="291"/>
      <c r="R31" s="291"/>
      <c r="S31" s="291"/>
      <c r="T31" s="291"/>
      <c r="U31" s="291"/>
      <c r="V31" s="291"/>
      <c r="W31" s="291"/>
      <c r="X31" s="291"/>
      <c r="Y31" s="291"/>
      <c r="Z31" s="291"/>
      <c r="AA31" s="291"/>
      <c r="AB31" s="326"/>
      <c r="AD31" s="358"/>
      <c r="AE31" s="101"/>
      <c r="AF31" s="101"/>
      <c r="AG31" s="101"/>
      <c r="AH31" s="101"/>
      <c r="AI31" s="101"/>
      <c r="AJ31" s="101"/>
      <c r="AK31" s="102"/>
      <c r="AL31" s="102"/>
      <c r="AM31" s="103"/>
    </row>
    <row r="32" spans="2:39" s="311" customFormat="1" ht="275.25">
      <c r="B32" s="333" t="s">
        <v>355</v>
      </c>
      <c r="C32" s="332" t="s">
        <v>356</v>
      </c>
      <c r="D32" s="335" t="s">
        <v>357</v>
      </c>
      <c r="E32" s="336"/>
      <c r="F32" s="336"/>
      <c r="G32" s="337"/>
      <c r="H32" s="291"/>
      <c r="I32" s="338"/>
      <c r="J32" s="291"/>
      <c r="K32" s="339"/>
      <c r="L32" s="339"/>
      <c r="M32" s="291"/>
      <c r="N32" s="291"/>
      <c r="O32" s="291"/>
      <c r="P32" s="291"/>
      <c r="Q32" s="291"/>
      <c r="R32" s="291"/>
      <c r="S32" s="291"/>
      <c r="T32" s="291"/>
      <c r="U32" s="291"/>
      <c r="V32" s="291"/>
      <c r="W32" s="291"/>
      <c r="X32" s="291"/>
      <c r="Y32" s="291"/>
      <c r="Z32" s="291"/>
      <c r="AA32" s="291"/>
      <c r="AB32" s="326"/>
      <c r="AD32" s="358"/>
      <c r="AE32" s="101"/>
      <c r="AF32" s="101"/>
      <c r="AG32" s="101"/>
      <c r="AH32" s="101"/>
      <c r="AI32" s="101"/>
      <c r="AJ32" s="101"/>
      <c r="AK32" s="102"/>
      <c r="AL32" s="102"/>
      <c r="AM32" s="103"/>
    </row>
    <row r="33" spans="2:39" ht="18" customHeight="1">
      <c r="B33" s="196"/>
      <c r="C33" s="267"/>
      <c r="D33" s="268" t="s">
        <v>258</v>
      </c>
      <c r="E33" s="269"/>
      <c r="F33" s="269"/>
      <c r="G33" s="267"/>
      <c r="H33" s="270"/>
      <c r="I33" s="271"/>
      <c r="J33" s="272"/>
      <c r="K33" s="272"/>
      <c r="L33" s="272"/>
      <c r="M33" s="272"/>
      <c r="N33" s="272"/>
      <c r="O33" s="272"/>
      <c r="P33" s="272"/>
      <c r="Q33" s="272"/>
      <c r="R33" s="273">
        <f>SUM(R13:R27)</f>
        <v>53015944</v>
      </c>
      <c r="S33" s="63"/>
      <c r="T33" s="63"/>
      <c r="U33" s="63"/>
      <c r="V33" s="63"/>
      <c r="W33" s="63"/>
      <c r="X33" s="63"/>
      <c r="Y33" s="63"/>
      <c r="Z33" s="63"/>
      <c r="AA33" s="63"/>
      <c r="AB33" s="197"/>
      <c r="AC33" s="311"/>
      <c r="AD33" s="358"/>
      <c r="AE33" s="104" t="s">
        <v>139</v>
      </c>
      <c r="AF33" s="104"/>
      <c r="AG33" s="104"/>
      <c r="AH33" s="104"/>
      <c r="AI33" s="101" t="s">
        <v>101</v>
      </c>
      <c r="AJ33" s="104"/>
      <c r="AK33" s="105"/>
      <c r="AL33" s="105"/>
      <c r="AM33" s="106"/>
    </row>
    <row r="34" spans="2:39" ht="23.45">
      <c r="C34" s="5"/>
      <c r="D34" s="5"/>
      <c r="E34" s="6"/>
      <c r="F34" s="6"/>
      <c r="G34" s="5"/>
      <c r="H34" s="5"/>
      <c r="I34" s="46"/>
      <c r="J34" s="60"/>
      <c r="K34" s="311"/>
      <c r="L34" s="311"/>
      <c r="M34" s="64"/>
      <c r="N34" s="64"/>
      <c r="O34" s="64"/>
      <c r="P34" s="64"/>
      <c r="Q34" s="64"/>
      <c r="R34" s="64"/>
      <c r="S34" s="64"/>
      <c r="T34" s="8"/>
      <c r="U34" s="8"/>
      <c r="V34" s="36"/>
      <c r="W34" s="311"/>
      <c r="X34" s="311"/>
      <c r="Y34" s="311"/>
      <c r="Z34" s="311"/>
      <c r="AA34" s="311"/>
      <c r="AB34" s="311"/>
      <c r="AC34" s="311"/>
      <c r="AD34" s="358"/>
      <c r="AE34" s="104"/>
      <c r="AF34" s="104"/>
      <c r="AG34" s="104"/>
      <c r="AH34" s="104"/>
      <c r="AI34" s="101" t="s">
        <v>112</v>
      </c>
      <c r="AJ34" s="104"/>
      <c r="AK34" s="105"/>
      <c r="AL34" s="105"/>
      <c r="AM34" s="106"/>
    </row>
    <row r="35" spans="2:39" ht="46.9">
      <c r="C35" s="5"/>
      <c r="D35" s="5"/>
      <c r="E35" s="6"/>
      <c r="F35" s="6"/>
      <c r="G35" s="5"/>
      <c r="H35" s="5"/>
      <c r="I35" s="46"/>
      <c r="J35" s="60"/>
      <c r="K35" s="311"/>
      <c r="L35" s="311"/>
      <c r="M35" s="64"/>
      <c r="N35" s="64"/>
      <c r="O35" s="64"/>
      <c r="P35" s="64"/>
      <c r="Q35" s="64"/>
      <c r="R35" s="64"/>
      <c r="S35" s="64"/>
      <c r="T35" s="8"/>
      <c r="U35" s="8"/>
      <c r="V35" s="36"/>
      <c r="W35" s="311"/>
      <c r="X35" s="311"/>
      <c r="Y35" s="311"/>
      <c r="Z35" s="311"/>
      <c r="AA35" s="311"/>
      <c r="AB35" s="311"/>
      <c r="AC35" s="311"/>
      <c r="AD35" s="358"/>
      <c r="AE35" s="104"/>
      <c r="AF35" s="104"/>
      <c r="AG35" s="104"/>
      <c r="AH35" s="104"/>
      <c r="AI35" s="101" t="s">
        <v>130</v>
      </c>
      <c r="AJ35" s="104"/>
      <c r="AK35" s="105"/>
      <c r="AL35" s="105"/>
      <c r="AM35" s="106"/>
    </row>
    <row r="36" spans="2:39" ht="23.45">
      <c r="C36" s="5"/>
      <c r="D36" s="5"/>
      <c r="E36" s="6"/>
      <c r="F36" s="6"/>
      <c r="G36" s="5"/>
      <c r="H36" s="5"/>
      <c r="I36" s="46"/>
      <c r="J36" s="60"/>
      <c r="K36" s="311"/>
      <c r="L36" s="311"/>
      <c r="M36" s="64"/>
      <c r="N36" s="64"/>
      <c r="O36" s="64"/>
      <c r="P36" s="64"/>
      <c r="Q36" s="64"/>
      <c r="R36" s="64"/>
      <c r="S36" s="64"/>
      <c r="T36" s="8"/>
      <c r="U36" s="8"/>
      <c r="V36" s="36"/>
      <c r="W36" s="311"/>
      <c r="X36" s="311"/>
      <c r="Y36" s="311"/>
      <c r="Z36" s="311"/>
      <c r="AA36" s="311"/>
      <c r="AB36" s="311"/>
      <c r="AC36" s="311"/>
      <c r="AD36" s="359"/>
      <c r="AE36" s="107"/>
      <c r="AF36" s="107"/>
      <c r="AG36" s="107"/>
      <c r="AH36" s="107"/>
      <c r="AI36" s="107"/>
      <c r="AJ36" s="107"/>
      <c r="AK36" s="108"/>
      <c r="AL36" s="108"/>
      <c r="AM36" s="109"/>
    </row>
    <row r="37" spans="2:39" ht="117">
      <c r="C37" s="5"/>
      <c r="D37" s="5"/>
      <c r="E37" s="6"/>
      <c r="F37" s="6"/>
      <c r="G37" s="5"/>
      <c r="H37" s="5"/>
      <c r="I37" s="46"/>
      <c r="J37" s="60"/>
      <c r="K37" s="311"/>
      <c r="L37" s="311"/>
      <c r="M37" s="64"/>
      <c r="N37" s="64"/>
      <c r="O37" s="64"/>
      <c r="P37" s="64"/>
      <c r="Q37" s="64"/>
      <c r="R37" s="64"/>
      <c r="S37" s="64"/>
      <c r="T37" s="8"/>
      <c r="U37" s="8"/>
      <c r="V37" s="36"/>
      <c r="W37" s="311"/>
      <c r="X37" s="311"/>
      <c r="Y37" s="311"/>
      <c r="Z37" s="311"/>
      <c r="AA37" s="311"/>
      <c r="AB37" s="311"/>
      <c r="AC37" s="311"/>
      <c r="AD37" s="297" t="s">
        <v>152</v>
      </c>
      <c r="AE37" s="298"/>
      <c r="AF37" s="298"/>
      <c r="AG37" s="298"/>
      <c r="AH37" s="298"/>
      <c r="AI37" s="298"/>
      <c r="AJ37" s="298"/>
      <c r="AK37" s="298"/>
      <c r="AL37" s="298"/>
      <c r="AM37" s="299"/>
    </row>
    <row r="38" spans="2:39" ht="15" customHeight="1">
      <c r="C38" s="5"/>
      <c r="D38" s="5"/>
      <c r="E38" s="6"/>
      <c r="F38" s="6"/>
      <c r="G38" s="5"/>
      <c r="H38" s="5"/>
      <c r="I38" s="46"/>
      <c r="J38" s="311"/>
      <c r="K38" s="311"/>
      <c r="L38" s="311"/>
      <c r="M38" s="64"/>
      <c r="N38" s="64"/>
      <c r="O38" s="64"/>
      <c r="P38" s="64"/>
      <c r="Q38" s="64"/>
      <c r="R38" s="64"/>
      <c r="S38" s="64"/>
      <c r="T38" s="8"/>
      <c r="U38" s="8"/>
      <c r="V38" s="36"/>
      <c r="W38" s="311"/>
      <c r="X38" s="311"/>
      <c r="Y38" s="311"/>
      <c r="Z38" s="311"/>
      <c r="AA38" s="311"/>
      <c r="AB38" s="311"/>
      <c r="AC38" s="311"/>
      <c r="AD38" s="311"/>
      <c r="AE38" s="311"/>
      <c r="AF38" s="311"/>
      <c r="AG38" s="311"/>
      <c r="AH38" s="311"/>
      <c r="AI38" s="311"/>
      <c r="AJ38" s="311"/>
      <c r="AK38" s="311"/>
      <c r="AL38" s="311"/>
      <c r="AM38" s="311"/>
    </row>
    <row r="39" spans="2:39">
      <c r="C39" s="5"/>
      <c r="D39" s="5"/>
      <c r="E39" s="6"/>
      <c r="F39" s="6"/>
      <c r="G39" s="5"/>
      <c r="H39" s="5"/>
      <c r="I39" s="46"/>
      <c r="J39" s="311"/>
      <c r="K39" s="311"/>
      <c r="L39" s="311"/>
      <c r="M39" s="64"/>
      <c r="N39" s="64"/>
      <c r="O39" s="64"/>
      <c r="P39" s="64"/>
      <c r="Q39" s="64"/>
      <c r="R39" s="64"/>
      <c r="S39" s="64"/>
      <c r="T39" s="8"/>
      <c r="U39" s="8"/>
      <c r="V39" s="36"/>
      <c r="W39" s="311"/>
      <c r="X39" s="311"/>
      <c r="Y39" s="311"/>
      <c r="Z39" s="311"/>
      <c r="AA39" s="311"/>
      <c r="AB39" s="311"/>
      <c r="AC39" s="311"/>
      <c r="AD39" s="311"/>
      <c r="AE39" s="311"/>
      <c r="AF39" s="311"/>
      <c r="AG39" s="311"/>
      <c r="AH39" s="311"/>
      <c r="AI39" s="311"/>
      <c r="AJ39" s="311"/>
      <c r="AK39" s="311"/>
      <c r="AL39" s="311"/>
      <c r="AM39" s="311"/>
    </row>
    <row r="40" spans="2:39">
      <c r="C40" s="5"/>
      <c r="D40" s="5"/>
      <c r="E40" s="6"/>
      <c r="F40" s="6"/>
      <c r="G40" s="5"/>
      <c r="H40" s="5"/>
      <c r="I40" s="46"/>
      <c r="J40" s="311"/>
      <c r="K40" s="311"/>
      <c r="L40" s="311"/>
      <c r="M40" s="311"/>
      <c r="N40" s="311"/>
      <c r="O40" s="311"/>
      <c r="P40" s="311"/>
      <c r="Q40" s="311"/>
      <c r="R40" s="8"/>
      <c r="S40" s="8"/>
      <c r="T40" s="8"/>
      <c r="U40" s="8"/>
      <c r="V40" s="36"/>
      <c r="W40" s="311"/>
      <c r="X40" s="311"/>
      <c r="Y40" s="311"/>
      <c r="Z40" s="311"/>
      <c r="AA40" s="311"/>
      <c r="AB40" s="311"/>
      <c r="AC40" s="311"/>
      <c r="AD40" s="311"/>
      <c r="AE40" s="311"/>
      <c r="AF40" s="311"/>
      <c r="AG40" s="311"/>
      <c r="AH40" s="311"/>
      <c r="AI40" s="311"/>
      <c r="AJ40" s="311"/>
      <c r="AK40" s="311"/>
      <c r="AL40" s="311"/>
      <c r="AM40" s="311"/>
    </row>
    <row r="41" spans="2:39">
      <c r="C41" s="5"/>
      <c r="D41" s="5"/>
      <c r="E41" s="6"/>
      <c r="F41" s="6"/>
      <c r="G41" s="5"/>
      <c r="H41" s="5"/>
      <c r="I41" s="46"/>
      <c r="J41" s="311"/>
      <c r="K41" s="311"/>
      <c r="L41" s="311"/>
      <c r="M41" s="311"/>
      <c r="N41" s="311"/>
      <c r="O41" s="311"/>
      <c r="P41" s="311"/>
      <c r="Q41" s="311"/>
      <c r="R41" s="8"/>
      <c r="S41" s="8"/>
      <c r="T41" s="8"/>
      <c r="U41" s="8"/>
      <c r="V41" s="8"/>
      <c r="W41" s="311"/>
      <c r="X41" s="311"/>
      <c r="Y41" s="311"/>
      <c r="Z41" s="311"/>
      <c r="AA41" s="311"/>
      <c r="AB41" s="311"/>
      <c r="AC41" s="311"/>
      <c r="AD41" s="311"/>
      <c r="AE41" s="311"/>
      <c r="AF41" s="311"/>
      <c r="AG41" s="311"/>
      <c r="AH41" s="311"/>
      <c r="AI41" s="311"/>
      <c r="AJ41" s="311"/>
      <c r="AK41" s="311"/>
      <c r="AL41" s="311"/>
      <c r="AM41" s="311"/>
    </row>
    <row r="42" spans="2:39" ht="15">
      <c r="C42" s="311"/>
      <c r="D42" s="311"/>
      <c r="F42" s="311"/>
      <c r="G42" s="311"/>
      <c r="H42" s="311"/>
      <c r="J42" s="311"/>
      <c r="K42" s="311"/>
      <c r="L42" s="311"/>
      <c r="M42" s="311"/>
      <c r="N42" s="311"/>
      <c r="O42" s="311"/>
      <c r="P42" s="311"/>
      <c r="Q42" s="311"/>
      <c r="R42" s="311"/>
      <c r="S42" s="311"/>
      <c r="T42" s="311"/>
      <c r="U42" s="311"/>
      <c r="V42" s="311"/>
      <c r="W42" s="311"/>
      <c r="X42" s="311"/>
      <c r="Y42" s="311"/>
      <c r="Z42" s="311"/>
      <c r="AA42" s="311"/>
      <c r="AB42" s="311"/>
      <c r="AC42" s="311"/>
      <c r="AD42" s="311"/>
      <c r="AE42" s="311"/>
      <c r="AF42" s="311"/>
      <c r="AG42" s="311"/>
      <c r="AH42" s="311"/>
      <c r="AI42" s="311"/>
      <c r="AJ42" s="311"/>
      <c r="AK42" s="311"/>
      <c r="AL42" s="311"/>
      <c r="AM42" s="311"/>
    </row>
    <row r="43" spans="2:39" ht="15">
      <c r="C43" s="311"/>
      <c r="D43" s="311"/>
      <c r="F43" s="311"/>
      <c r="G43" s="311"/>
      <c r="H43" s="311"/>
      <c r="J43" s="311"/>
      <c r="K43" s="311"/>
      <c r="L43" s="311"/>
      <c r="M43" s="311"/>
      <c r="N43" s="311"/>
      <c r="O43" s="311"/>
      <c r="P43" s="311"/>
      <c r="Q43" s="311"/>
      <c r="R43" s="311"/>
      <c r="S43" s="311"/>
      <c r="T43" s="311"/>
      <c r="U43" s="311"/>
      <c r="V43" s="311"/>
      <c r="W43" s="311"/>
      <c r="X43" s="311"/>
      <c r="Y43" s="311"/>
      <c r="Z43" s="311"/>
      <c r="AA43" s="311"/>
      <c r="AB43" s="311"/>
      <c r="AC43" s="311"/>
      <c r="AD43" s="311"/>
      <c r="AE43" s="311"/>
      <c r="AF43" s="311"/>
      <c r="AG43" s="311"/>
      <c r="AH43" s="311"/>
      <c r="AI43" s="311"/>
      <c r="AJ43" s="311"/>
      <c r="AK43" s="311"/>
      <c r="AL43" s="311"/>
      <c r="AM43" s="311"/>
    </row>
    <row r="44" spans="2:39" ht="15">
      <c r="C44" s="311"/>
      <c r="D44" s="311"/>
      <c r="F44" s="311"/>
      <c r="G44" s="311"/>
      <c r="H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row>
    <row r="45" spans="2:39" ht="15">
      <c r="C45" s="311"/>
      <c r="D45" s="311"/>
      <c r="F45" s="311"/>
      <c r="G45" s="311"/>
      <c r="H45" s="311"/>
      <c r="J45" s="311"/>
      <c r="K45" s="311"/>
      <c r="L45" s="311"/>
      <c r="M45" s="311"/>
      <c r="N45" s="311"/>
      <c r="O45" s="311"/>
      <c r="P45" s="311"/>
      <c r="Q45" s="311"/>
      <c r="R45" s="311"/>
      <c r="S45" s="311"/>
      <c r="T45" s="311"/>
      <c r="U45" s="311"/>
      <c r="V45" s="311"/>
      <c r="W45" s="311"/>
      <c r="X45" s="311"/>
      <c r="Y45" s="311"/>
      <c r="Z45" s="311"/>
      <c r="AA45" s="311"/>
      <c r="AB45" s="311"/>
      <c r="AC45" s="311"/>
      <c r="AD45" s="311"/>
      <c r="AE45" s="311"/>
      <c r="AF45" s="311"/>
      <c r="AG45" s="311"/>
      <c r="AH45" s="311"/>
      <c r="AI45" s="311"/>
      <c r="AJ45" s="311"/>
      <c r="AK45" s="311"/>
      <c r="AL45" s="311"/>
      <c r="AM45" s="311"/>
    </row>
    <row r="46" spans="2:39" ht="15">
      <c r="C46" s="311"/>
      <c r="D46" s="311"/>
      <c r="F46" s="311"/>
      <c r="G46" s="311"/>
      <c r="H46" s="311"/>
      <c r="J46" s="311"/>
      <c r="K46" s="311"/>
      <c r="L46" s="311"/>
      <c r="M46" s="311"/>
      <c r="N46" s="311"/>
      <c r="O46" s="311"/>
      <c r="P46" s="311"/>
      <c r="Q46" s="311"/>
      <c r="R46" s="311"/>
      <c r="S46" s="311"/>
      <c r="T46" s="311"/>
      <c r="U46" s="311"/>
      <c r="V46" s="311"/>
      <c r="W46" s="311"/>
      <c r="X46" s="311"/>
      <c r="Y46" s="311"/>
      <c r="Z46" s="311"/>
      <c r="AA46" s="311"/>
      <c r="AB46" s="311"/>
      <c r="AC46" s="311"/>
      <c r="AD46" s="311"/>
      <c r="AE46" s="311"/>
      <c r="AF46" s="311"/>
      <c r="AG46" s="311"/>
      <c r="AH46" s="311"/>
      <c r="AI46" s="311"/>
      <c r="AJ46" s="311"/>
      <c r="AK46" s="311"/>
      <c r="AL46" s="311"/>
      <c r="AM46" s="311"/>
    </row>
    <row r="47" spans="2:39" ht="15">
      <c r="C47" s="311"/>
      <c r="D47" s="311"/>
      <c r="F47" s="311"/>
      <c r="G47" s="311"/>
      <c r="H47" s="311"/>
      <c r="J47" s="311"/>
      <c r="K47" s="311"/>
      <c r="L47" s="311"/>
      <c r="M47" s="311"/>
      <c r="N47" s="311"/>
      <c r="O47" s="311"/>
      <c r="P47" s="311"/>
      <c r="Q47" s="311"/>
      <c r="R47" s="311"/>
      <c r="S47" s="311"/>
      <c r="T47" s="311"/>
      <c r="U47" s="311"/>
      <c r="V47" s="311"/>
      <c r="W47" s="311"/>
      <c r="X47" s="311"/>
      <c r="Y47" s="311"/>
      <c r="Z47" s="311"/>
      <c r="AA47" s="311"/>
      <c r="AB47" s="311"/>
      <c r="AC47" s="311"/>
      <c r="AD47" s="311"/>
      <c r="AE47" s="311"/>
      <c r="AF47" s="311"/>
      <c r="AG47" s="311"/>
      <c r="AH47" s="311"/>
      <c r="AI47" s="311"/>
      <c r="AJ47" s="311"/>
      <c r="AK47" s="311"/>
      <c r="AL47" s="311"/>
      <c r="AM47" s="311"/>
    </row>
  </sheetData>
  <mergeCells count="6">
    <mergeCell ref="AD27:AD36"/>
    <mergeCell ref="T4:AA4"/>
    <mergeCell ref="AD12:AM12"/>
    <mergeCell ref="AD21:AD25"/>
    <mergeCell ref="B11:AB11"/>
    <mergeCell ref="AD14:AD19"/>
  </mergeCells>
  <phoneticPr fontId="5" type="noConversion"/>
  <printOptions horizontalCentered="1"/>
  <pageMargins left="0.7" right="0.7" top="0.75" bottom="0.75" header="0.3" footer="0.3"/>
  <pageSetup scale="28" fitToHeight="0" orientation="landscape" horizontalDpi="1200" verticalDpi="1200" r:id="rId1"/>
  <headerFooter>
    <oddFooter>&amp;L&amp;P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634A2-82EA-4FA3-A60A-CC2BB9009F78}">
  <sheetPr>
    <pageSetUpPr fitToPage="1"/>
  </sheetPr>
  <dimension ref="A1:AK43"/>
  <sheetViews>
    <sheetView zoomScaleNormal="100" workbookViewId="0">
      <pane xSplit="4" ySplit="3" topLeftCell="E27" activePane="bottomRight" state="frozen"/>
      <selection pane="bottomRight" activeCell="E39" sqref="E39"/>
      <selection pane="bottomLeft" activeCell="B4" sqref="B4"/>
      <selection pane="topRight" activeCell="D1" sqref="D1"/>
    </sheetView>
  </sheetViews>
  <sheetFormatPr defaultRowHeight="14.45"/>
  <cols>
    <col min="1" max="1" width="17.28515625" hidden="1" customWidth="1"/>
    <col min="2" max="2" width="15.5703125" customWidth="1"/>
    <col min="3" max="3" width="30.28515625" style="1" customWidth="1"/>
    <col min="4" max="4" width="29.85546875" customWidth="1"/>
    <col min="5" max="5" width="63.28515625" style="1" customWidth="1"/>
    <col min="6" max="25" width="15.5703125" customWidth="1"/>
    <col min="28" max="28" width="10" customWidth="1"/>
    <col min="29" max="29" width="29" customWidth="1"/>
    <col min="30" max="32" width="35.85546875" customWidth="1"/>
    <col min="33" max="33" width="34.85546875" customWidth="1"/>
    <col min="34" max="35" width="29" customWidth="1"/>
    <col min="36" max="36" width="32.5703125" customWidth="1"/>
    <col min="37" max="37" width="23" customWidth="1"/>
  </cols>
  <sheetData>
    <row r="1" spans="1:37">
      <c r="A1" s="311"/>
      <c r="B1" s="311"/>
      <c r="D1" s="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row>
    <row r="2" spans="1:37" ht="32.65" customHeight="1">
      <c r="A2" s="311"/>
      <c r="B2" s="347" t="s">
        <v>358</v>
      </c>
      <c r="C2" s="347"/>
      <c r="D2" s="347"/>
      <c r="E2" s="347"/>
      <c r="F2" s="347"/>
      <c r="G2" s="347"/>
      <c r="H2" s="347"/>
      <c r="I2" s="347"/>
      <c r="J2" s="347"/>
      <c r="K2" s="347"/>
      <c r="L2" s="347"/>
      <c r="M2" s="347"/>
      <c r="N2" s="347"/>
      <c r="O2" s="347"/>
      <c r="P2" s="347"/>
      <c r="Q2" s="347"/>
      <c r="R2" s="347"/>
      <c r="S2" s="347"/>
      <c r="T2" s="347"/>
      <c r="U2" s="347"/>
      <c r="V2" s="347"/>
      <c r="W2" s="347"/>
      <c r="X2" s="347"/>
      <c r="Y2" s="347"/>
      <c r="Z2" s="311"/>
      <c r="AA2" s="311"/>
      <c r="AB2" s="366" t="s">
        <v>359</v>
      </c>
      <c r="AC2" s="367"/>
      <c r="AD2" s="367"/>
      <c r="AE2" s="367"/>
      <c r="AF2" s="367"/>
      <c r="AG2" s="367"/>
      <c r="AH2" s="367"/>
      <c r="AI2" s="367"/>
      <c r="AJ2" s="367"/>
      <c r="AK2" s="368"/>
    </row>
    <row r="3" spans="1:37" ht="43.15">
      <c r="A3" s="3" t="s">
        <v>2</v>
      </c>
      <c r="B3" s="186" t="s">
        <v>360</v>
      </c>
      <c r="C3" s="3" t="s">
        <v>265</v>
      </c>
      <c r="D3" s="3" t="s">
        <v>361</v>
      </c>
      <c r="E3" s="3" t="s">
        <v>7</v>
      </c>
      <c r="F3" s="187" t="s">
        <v>8</v>
      </c>
      <c r="G3" s="187" t="s">
        <v>9</v>
      </c>
      <c r="H3" s="187" t="s">
        <v>266</v>
      </c>
      <c r="I3" s="3" t="s">
        <v>362</v>
      </c>
      <c r="J3" s="3" t="s">
        <v>363</v>
      </c>
      <c r="K3" s="3" t="s">
        <v>364</v>
      </c>
      <c r="L3" s="3" t="s">
        <v>22</v>
      </c>
      <c r="M3" s="3" t="s">
        <v>365</v>
      </c>
      <c r="N3" s="3" t="s">
        <v>23</v>
      </c>
      <c r="O3" s="186" t="s">
        <v>26</v>
      </c>
      <c r="P3" s="3" t="s">
        <v>27</v>
      </c>
      <c r="Q3" s="3" t="s">
        <v>366</v>
      </c>
      <c r="R3" s="3" t="s">
        <v>367</v>
      </c>
      <c r="S3" s="3" t="s">
        <v>368</v>
      </c>
      <c r="T3" s="3" t="s">
        <v>31</v>
      </c>
      <c r="U3" s="3" t="s">
        <v>32</v>
      </c>
      <c r="V3" s="3" t="s">
        <v>369</v>
      </c>
      <c r="W3" s="3" t="s">
        <v>33</v>
      </c>
      <c r="X3" s="3" t="s">
        <v>34</v>
      </c>
      <c r="Y3" s="188" t="s">
        <v>35</v>
      </c>
      <c r="Z3" s="311"/>
      <c r="AA3" s="311"/>
      <c r="AB3" s="210" t="s">
        <v>36</v>
      </c>
      <c r="AC3" s="211" t="s">
        <v>26</v>
      </c>
      <c r="AD3" s="211" t="s">
        <v>370</v>
      </c>
      <c r="AE3" s="211" t="s">
        <v>367</v>
      </c>
      <c r="AF3" s="211" t="s">
        <v>368</v>
      </c>
      <c r="AG3" s="211" t="s">
        <v>31</v>
      </c>
      <c r="AH3" s="211" t="s">
        <v>32</v>
      </c>
      <c r="AI3" s="212" t="s">
        <v>369</v>
      </c>
      <c r="AJ3" s="212" t="s">
        <v>33</v>
      </c>
      <c r="AK3" s="213" t="s">
        <v>34</v>
      </c>
    </row>
    <row r="4" spans="1:37" ht="50.25" customHeight="1">
      <c r="A4" s="179"/>
      <c r="B4" s="35" t="s">
        <v>371</v>
      </c>
      <c r="C4" s="6" t="s">
        <v>372</v>
      </c>
      <c r="D4" s="5" t="s">
        <v>373</v>
      </c>
      <c r="E4" s="6" t="s">
        <v>374</v>
      </c>
      <c r="F4" s="64">
        <v>0</v>
      </c>
      <c r="G4" s="6" t="s">
        <v>375</v>
      </c>
      <c r="H4" s="60">
        <v>225000</v>
      </c>
      <c r="I4" s="60">
        <v>3040314</v>
      </c>
      <c r="J4" s="64">
        <f>I4*0.1</f>
        <v>304031.40000000002</v>
      </c>
      <c r="K4" s="64">
        <v>0</v>
      </c>
      <c r="L4" s="64">
        <f>SUM(I4*0.1)</f>
        <v>304031.40000000002</v>
      </c>
      <c r="M4" s="60">
        <f>I4*0.07</f>
        <v>212821.98</v>
      </c>
      <c r="N4" s="180">
        <f>SUM(I4:M4)</f>
        <v>3861198.78</v>
      </c>
      <c r="O4" s="181" t="s">
        <v>376</v>
      </c>
      <c r="P4" s="311">
        <v>3</v>
      </c>
      <c r="Q4" s="311">
        <v>3</v>
      </c>
      <c r="R4" s="311">
        <v>3</v>
      </c>
      <c r="S4" s="311">
        <v>3</v>
      </c>
      <c r="T4" s="65" t="str">
        <f>IF(N4&lt;150000,"3",IF(N4&lt;500000,"2",IF(N4&gt;500000,"1")))</f>
        <v>1</v>
      </c>
      <c r="U4" s="65">
        <v>3</v>
      </c>
      <c r="V4" s="311">
        <v>2</v>
      </c>
      <c r="W4" s="311">
        <v>3</v>
      </c>
      <c r="X4" s="311">
        <v>2</v>
      </c>
      <c r="Y4" s="14">
        <f>SUM(P4:X4)/8</f>
        <v>2.75</v>
      </c>
      <c r="Z4" s="311"/>
      <c r="AA4" s="311"/>
      <c r="AB4" s="369" t="s">
        <v>48</v>
      </c>
      <c r="AC4" s="214" t="s">
        <v>47</v>
      </c>
      <c r="AD4" s="214" t="s">
        <v>377</v>
      </c>
      <c r="AE4" s="214" t="s">
        <v>378</v>
      </c>
      <c r="AF4" s="214" t="s">
        <v>379</v>
      </c>
      <c r="AG4" s="214" t="s">
        <v>53</v>
      </c>
      <c r="AH4" s="215" t="s">
        <v>380</v>
      </c>
      <c r="AI4" s="215" t="s">
        <v>381</v>
      </c>
      <c r="AJ4" s="215" t="s">
        <v>55</v>
      </c>
      <c r="AK4" s="216" t="s">
        <v>56</v>
      </c>
    </row>
    <row r="5" spans="1:37" ht="50.25" customHeight="1">
      <c r="A5" s="179"/>
      <c r="B5" s="295" t="s">
        <v>382</v>
      </c>
      <c r="C5" s="300" t="s">
        <v>383</v>
      </c>
      <c r="D5" s="300"/>
      <c r="E5" s="300" t="s">
        <v>384</v>
      </c>
      <c r="F5" s="301"/>
      <c r="G5" s="82"/>
      <c r="H5" s="302">
        <v>200000</v>
      </c>
      <c r="I5" s="302">
        <v>180000</v>
      </c>
      <c r="J5" s="302">
        <f>I5*0.1</f>
        <v>18000</v>
      </c>
      <c r="K5" s="302"/>
      <c r="L5" s="302">
        <f>SUM(I5*0.1)</f>
        <v>18000</v>
      </c>
      <c r="M5" s="302">
        <f>I5*0.07</f>
        <v>12600.000000000002</v>
      </c>
      <c r="N5" s="303">
        <f>SUM(I5:M5)</f>
        <v>228600</v>
      </c>
      <c r="O5" s="304" t="s">
        <v>376</v>
      </c>
      <c r="P5" s="305">
        <v>3</v>
      </c>
      <c r="Q5" s="305">
        <v>2</v>
      </c>
      <c r="R5" s="305">
        <v>3</v>
      </c>
      <c r="S5" s="305">
        <v>3</v>
      </c>
      <c r="T5" s="306" t="str">
        <f>IF(N5&lt;150000,"3",IF(N5&lt;500000,"2",IF(N5&gt;500000,"1")))</f>
        <v>2</v>
      </c>
      <c r="U5" s="306">
        <v>3</v>
      </c>
      <c r="V5" s="305">
        <v>3</v>
      </c>
      <c r="W5" s="305">
        <v>3</v>
      </c>
      <c r="X5" s="305">
        <v>2</v>
      </c>
      <c r="Y5" s="307">
        <f>SUM(P5:X5)/8</f>
        <v>2.75</v>
      </c>
      <c r="Z5" s="311"/>
      <c r="AA5" s="311"/>
      <c r="AB5" s="370"/>
      <c r="AC5" s="214"/>
      <c r="AD5" s="214" t="s">
        <v>385</v>
      </c>
      <c r="AE5" s="214" t="s">
        <v>386</v>
      </c>
      <c r="AF5" s="214" t="s">
        <v>387</v>
      </c>
      <c r="AG5" s="214"/>
      <c r="AH5" s="215"/>
      <c r="AI5" s="215"/>
      <c r="AJ5" s="215"/>
      <c r="AK5" s="216"/>
    </row>
    <row r="6" spans="1:37" ht="50.25" customHeight="1">
      <c r="A6" s="179"/>
      <c r="B6" s="35" t="s">
        <v>388</v>
      </c>
      <c r="C6" s="6" t="s">
        <v>389</v>
      </c>
      <c r="D6" s="6" t="s">
        <v>390</v>
      </c>
      <c r="E6" s="6" t="s">
        <v>391</v>
      </c>
      <c r="F6" s="74">
        <v>428000</v>
      </c>
      <c r="G6" s="5" t="s">
        <v>392</v>
      </c>
      <c r="H6" s="60">
        <v>995200</v>
      </c>
      <c r="I6" s="64">
        <v>3200000</v>
      </c>
      <c r="J6" s="64">
        <v>500000</v>
      </c>
      <c r="K6" s="64">
        <v>0</v>
      </c>
      <c r="L6" s="64">
        <f>SUM(I6*0.1)</f>
        <v>320000</v>
      </c>
      <c r="M6" s="60">
        <f>I6*0.07</f>
        <v>224000.00000000003</v>
      </c>
      <c r="N6" s="180">
        <f>SUM(I6:M6)</f>
        <v>4244000</v>
      </c>
      <c r="O6" s="181" t="s">
        <v>376</v>
      </c>
      <c r="P6" s="311">
        <v>2</v>
      </c>
      <c r="Q6" s="311">
        <v>3</v>
      </c>
      <c r="R6" s="311">
        <v>3</v>
      </c>
      <c r="S6" s="311">
        <v>3</v>
      </c>
      <c r="T6" s="65" t="str">
        <f>IF(N6&lt;150000,"3",IF(N6&lt;500000,"2",IF(N6&gt;500000,"1")))</f>
        <v>1</v>
      </c>
      <c r="U6" s="65">
        <v>3</v>
      </c>
      <c r="V6" s="311">
        <v>2</v>
      </c>
      <c r="W6" s="311">
        <v>3</v>
      </c>
      <c r="X6" s="311">
        <v>2</v>
      </c>
      <c r="Y6" s="14">
        <f>SUM(P6:X6)/8</f>
        <v>2.625</v>
      </c>
      <c r="Z6" s="311"/>
      <c r="AA6" s="311"/>
      <c r="AB6" s="370"/>
      <c r="AC6" s="217" t="s">
        <v>98</v>
      </c>
      <c r="AD6" s="217"/>
      <c r="AE6" s="217" t="s">
        <v>393</v>
      </c>
      <c r="AF6" s="217" t="s">
        <v>394</v>
      </c>
      <c r="AG6" s="217"/>
      <c r="AH6" s="218"/>
      <c r="AI6" s="218"/>
      <c r="AJ6" s="218"/>
      <c r="AK6" s="219"/>
    </row>
    <row r="7" spans="1:37" ht="50.25" customHeight="1">
      <c r="A7" s="179"/>
      <c r="B7" s="295" t="s">
        <v>395</v>
      </c>
      <c r="C7" s="300" t="s">
        <v>396</v>
      </c>
      <c r="D7" s="300"/>
      <c r="E7" s="300" t="s">
        <v>397</v>
      </c>
      <c r="F7" s="301">
        <v>116245</v>
      </c>
      <c r="G7" s="82" t="s">
        <v>392</v>
      </c>
      <c r="H7" s="302">
        <f>F7</f>
        <v>116245</v>
      </c>
      <c r="I7" s="302">
        <v>100000</v>
      </c>
      <c r="J7" s="302">
        <f>I7*0.1</f>
        <v>10000</v>
      </c>
      <c r="K7" s="302">
        <f>I7*0.07</f>
        <v>7000.0000000000009</v>
      </c>
      <c r="L7" s="302">
        <f>SUM(I7*0.1)</f>
        <v>10000</v>
      </c>
      <c r="M7" s="302">
        <f>I7*0.07</f>
        <v>7000.0000000000009</v>
      </c>
      <c r="N7" s="303">
        <f>SUM(I7:M7)</f>
        <v>134000</v>
      </c>
      <c r="O7" s="304" t="s">
        <v>398</v>
      </c>
      <c r="P7" s="305">
        <v>3</v>
      </c>
      <c r="Q7" s="305">
        <v>2</v>
      </c>
      <c r="R7" s="305">
        <v>3</v>
      </c>
      <c r="S7" s="305">
        <v>3</v>
      </c>
      <c r="T7" s="306" t="str">
        <f>IF(N7&lt;150000,"3",IF(N7&lt;500000,"2",IF(N7&gt;500000,"1")))</f>
        <v>3</v>
      </c>
      <c r="U7" s="306">
        <v>3</v>
      </c>
      <c r="V7" s="305">
        <v>2</v>
      </c>
      <c r="W7" s="305">
        <v>2</v>
      </c>
      <c r="X7" s="305">
        <v>3</v>
      </c>
      <c r="Y7" s="307">
        <f>SUM(P7:X7)/8</f>
        <v>2.625</v>
      </c>
      <c r="Z7" s="311"/>
      <c r="AA7" s="311"/>
      <c r="AB7" s="370"/>
      <c r="AC7" s="217"/>
      <c r="AD7" s="217"/>
      <c r="AE7" s="217"/>
      <c r="AF7" s="217" t="s">
        <v>399</v>
      </c>
      <c r="AG7" s="217"/>
      <c r="AH7" s="218"/>
      <c r="AI7" s="218"/>
      <c r="AJ7" s="218"/>
      <c r="AK7" s="219"/>
    </row>
    <row r="8" spans="1:37" ht="50.25" customHeight="1">
      <c r="A8" s="179"/>
      <c r="B8" s="35" t="s">
        <v>400</v>
      </c>
      <c r="C8" s="6" t="s">
        <v>401</v>
      </c>
      <c r="D8" s="6"/>
      <c r="E8" s="6" t="s">
        <v>402</v>
      </c>
      <c r="F8" s="74"/>
      <c r="G8" s="5"/>
      <c r="H8" s="60">
        <v>100000</v>
      </c>
      <c r="I8" s="60">
        <v>4950000</v>
      </c>
      <c r="J8" s="64">
        <v>1031073</v>
      </c>
      <c r="K8" s="64">
        <v>340000</v>
      </c>
      <c r="L8" s="64">
        <f>SUM(I8*0.1)</f>
        <v>495000</v>
      </c>
      <c r="M8" s="60">
        <f>I8*0.07</f>
        <v>346500.00000000006</v>
      </c>
      <c r="N8" s="180">
        <f>SUM(I8:M8)</f>
        <v>7162573</v>
      </c>
      <c r="O8" s="181" t="s">
        <v>376</v>
      </c>
      <c r="P8" s="311">
        <v>3</v>
      </c>
      <c r="Q8" s="311">
        <v>3</v>
      </c>
      <c r="R8" s="311">
        <v>2</v>
      </c>
      <c r="S8" s="311">
        <v>3</v>
      </c>
      <c r="T8" s="65" t="str">
        <f>IF(N8&lt;150000,"3",IF(N8&lt;500000,"2",IF(N8&gt;500000,"1")))</f>
        <v>1</v>
      </c>
      <c r="U8" s="65">
        <v>3</v>
      </c>
      <c r="V8" s="311">
        <v>3</v>
      </c>
      <c r="W8" s="311">
        <v>2</v>
      </c>
      <c r="X8" s="311">
        <v>1</v>
      </c>
      <c r="Y8" s="14">
        <f>SUM(P8:X8)/8</f>
        <v>2.5</v>
      </c>
      <c r="Z8" s="311"/>
      <c r="AA8" s="311"/>
      <c r="AB8" s="370"/>
      <c r="AC8" s="217"/>
      <c r="AD8" s="217"/>
      <c r="AE8" s="217"/>
      <c r="AF8" s="217"/>
      <c r="AG8" s="217"/>
      <c r="AH8" s="218"/>
      <c r="AI8" s="218"/>
      <c r="AJ8" s="218"/>
      <c r="AK8" s="219"/>
    </row>
    <row r="9" spans="1:37" ht="50.25" customHeight="1">
      <c r="A9" s="179"/>
      <c r="B9" s="295" t="s">
        <v>403</v>
      </c>
      <c r="C9" s="300" t="s">
        <v>404</v>
      </c>
      <c r="D9" s="82"/>
      <c r="E9" s="300" t="s">
        <v>405</v>
      </c>
      <c r="F9" s="301"/>
      <c r="G9" s="82"/>
      <c r="H9" s="301">
        <v>50000</v>
      </c>
      <c r="I9" s="308">
        <v>50000</v>
      </c>
      <c r="J9" s="302">
        <f>I9*0.1</f>
        <v>5000</v>
      </c>
      <c r="K9" s="302">
        <f>I9*0.07</f>
        <v>3500.0000000000005</v>
      </c>
      <c r="L9" s="302">
        <f>SUM(I9*0.1)</f>
        <v>5000</v>
      </c>
      <c r="M9" s="302">
        <f>I9*0.07</f>
        <v>3500.0000000000005</v>
      </c>
      <c r="N9" s="303">
        <f>SUM(I9:M9)</f>
        <v>67000</v>
      </c>
      <c r="O9" s="304" t="s">
        <v>62</v>
      </c>
      <c r="P9" s="305">
        <v>1</v>
      </c>
      <c r="Q9" s="305">
        <v>2</v>
      </c>
      <c r="R9" s="305">
        <v>3</v>
      </c>
      <c r="S9" s="305">
        <v>3</v>
      </c>
      <c r="T9" s="306" t="str">
        <f>IF(N9&lt;150000,"3",IF(N9&lt;500000,"2",IF(N9&gt;500000,"1")))</f>
        <v>3</v>
      </c>
      <c r="U9" s="306">
        <v>1</v>
      </c>
      <c r="V9" s="305">
        <v>3</v>
      </c>
      <c r="W9" s="305">
        <v>3</v>
      </c>
      <c r="X9" s="305">
        <v>2</v>
      </c>
      <c r="Y9" s="307">
        <f>SUM(P9:X9)/8</f>
        <v>2.25</v>
      </c>
      <c r="Z9" s="311"/>
      <c r="AA9" s="311"/>
      <c r="AB9" s="370"/>
      <c r="AC9" s="217"/>
      <c r="AD9" s="217"/>
      <c r="AE9" s="217"/>
      <c r="AF9" s="217"/>
      <c r="AG9" s="217"/>
      <c r="AH9" s="218"/>
      <c r="AI9" s="218"/>
      <c r="AJ9" s="218"/>
      <c r="AK9" s="219"/>
    </row>
    <row r="10" spans="1:37" ht="50.25" customHeight="1">
      <c r="A10" s="179"/>
      <c r="B10" s="309" t="s">
        <v>406</v>
      </c>
      <c r="C10" s="345" t="s">
        <v>407</v>
      </c>
      <c r="D10" s="346"/>
      <c r="E10" s="315" t="s">
        <v>408</v>
      </c>
      <c r="F10" s="74"/>
      <c r="G10" s="316" t="s">
        <v>409</v>
      </c>
      <c r="H10" s="60">
        <v>0</v>
      </c>
      <c r="I10" s="60">
        <v>0</v>
      </c>
      <c r="J10" s="64">
        <f>I10*0.1</f>
        <v>0</v>
      </c>
      <c r="K10" s="64">
        <v>0</v>
      </c>
      <c r="L10" s="64">
        <f>SUM(I10*0.1)</f>
        <v>0</v>
      </c>
      <c r="M10" s="60">
        <f>I10*0.07</f>
        <v>0</v>
      </c>
      <c r="N10" s="180">
        <f>SUM(I10:M10)</f>
        <v>0</v>
      </c>
      <c r="O10" s="181" t="s">
        <v>80</v>
      </c>
      <c r="P10" s="312">
        <v>2</v>
      </c>
      <c r="Q10" s="312">
        <v>1</v>
      </c>
      <c r="R10" s="312">
        <v>3</v>
      </c>
      <c r="S10" s="312">
        <v>3</v>
      </c>
      <c r="T10" s="319" t="str">
        <f>IF(N10&lt;150000,"3",IF(N10&lt;500000,"2",IF(N10&gt;500000,"1")))</f>
        <v>3</v>
      </c>
      <c r="U10" s="319">
        <v>3</v>
      </c>
      <c r="V10" s="312">
        <v>3</v>
      </c>
      <c r="W10" s="312">
        <v>2</v>
      </c>
      <c r="X10" s="312">
        <v>2</v>
      </c>
      <c r="Y10" s="14">
        <f>SUM(P10:X10)/8</f>
        <v>2.375</v>
      </c>
      <c r="Z10" s="311"/>
      <c r="AA10" s="311"/>
      <c r="AB10" s="370"/>
      <c r="AC10" s="217"/>
      <c r="AD10" s="217"/>
      <c r="AE10" s="217"/>
      <c r="AF10" s="217"/>
      <c r="AG10" s="217"/>
      <c r="AH10" s="218"/>
      <c r="AI10" s="218"/>
      <c r="AJ10" s="218"/>
      <c r="AK10" s="219"/>
    </row>
    <row r="11" spans="1:37" ht="50.25" customHeight="1">
      <c r="A11" s="179"/>
      <c r="B11" s="35" t="s">
        <v>410</v>
      </c>
      <c r="C11" s="6" t="s">
        <v>411</v>
      </c>
      <c r="D11" s="6"/>
      <c r="E11" s="6" t="s">
        <v>412</v>
      </c>
      <c r="F11" s="74"/>
      <c r="G11" s="5"/>
      <c r="H11" s="60">
        <v>0</v>
      </c>
      <c r="I11" s="60">
        <v>2300000</v>
      </c>
      <c r="J11" s="64">
        <f>I11*0.1</f>
        <v>230000</v>
      </c>
      <c r="K11" s="64">
        <v>0</v>
      </c>
      <c r="L11" s="64">
        <f>SUM(I11*0.1)</f>
        <v>230000</v>
      </c>
      <c r="M11" s="60">
        <f>I11*0.07</f>
        <v>161000.00000000003</v>
      </c>
      <c r="N11" s="180">
        <f>SUM(I11:M11)</f>
        <v>2921000</v>
      </c>
      <c r="O11" s="181" t="s">
        <v>62</v>
      </c>
      <c r="P11" s="311">
        <v>1</v>
      </c>
      <c r="Q11" s="311">
        <v>2</v>
      </c>
      <c r="R11" s="311">
        <v>3</v>
      </c>
      <c r="S11" s="311">
        <v>3</v>
      </c>
      <c r="T11" s="65" t="str">
        <f>IF(N11&lt;150000,"3",IF(N11&lt;500000,"2",IF(N11&gt;500000,"1")))</f>
        <v>1</v>
      </c>
      <c r="U11" s="65">
        <v>3</v>
      </c>
      <c r="V11" s="311">
        <v>3</v>
      </c>
      <c r="W11" s="311">
        <v>3</v>
      </c>
      <c r="X11" s="311">
        <v>1</v>
      </c>
      <c r="Y11" s="14">
        <f>SUM(P11:X11)/8</f>
        <v>2.375</v>
      </c>
      <c r="Z11" s="311"/>
      <c r="AA11" s="311"/>
      <c r="AB11" s="220"/>
      <c r="AC11" s="221"/>
      <c r="AD11" s="221"/>
      <c r="AE11" s="221"/>
      <c r="AF11" s="221"/>
      <c r="AG11" s="221"/>
      <c r="AH11" s="222"/>
      <c r="AI11" s="222"/>
      <c r="AJ11" s="222"/>
      <c r="AK11" s="223"/>
    </row>
    <row r="12" spans="1:37" ht="50.25" customHeight="1">
      <c r="A12" s="179"/>
      <c r="B12" s="35" t="s">
        <v>413</v>
      </c>
      <c r="C12" s="6" t="s">
        <v>414</v>
      </c>
      <c r="D12" s="5" t="s">
        <v>373</v>
      </c>
      <c r="E12" s="6" t="s">
        <v>415</v>
      </c>
      <c r="F12" s="64"/>
      <c r="G12" s="6"/>
      <c r="H12" s="60">
        <v>0</v>
      </c>
      <c r="I12" s="60">
        <v>150000</v>
      </c>
      <c r="J12" s="64">
        <f>I12*0.1</f>
        <v>15000</v>
      </c>
      <c r="K12" s="64">
        <v>0</v>
      </c>
      <c r="L12" s="64">
        <f>SUM(I12*0.1)</f>
        <v>15000</v>
      </c>
      <c r="M12" s="60">
        <f>I12*0.07</f>
        <v>10500.000000000002</v>
      </c>
      <c r="N12" s="180">
        <f>SUM(I12:M12)</f>
        <v>190500</v>
      </c>
      <c r="O12" s="181" t="s">
        <v>376</v>
      </c>
      <c r="P12" s="311">
        <v>3</v>
      </c>
      <c r="Q12" s="311">
        <v>3</v>
      </c>
      <c r="R12" s="311">
        <v>3</v>
      </c>
      <c r="S12" s="311">
        <v>3</v>
      </c>
      <c r="T12" s="65" t="str">
        <f>IF(N12&lt;150000,"3",IF(N12&lt;500000,"2",IF(N12&gt;500000,"1")))</f>
        <v>2</v>
      </c>
      <c r="U12" s="65">
        <v>3</v>
      </c>
      <c r="V12" s="311">
        <v>1</v>
      </c>
      <c r="W12" s="311">
        <v>1</v>
      </c>
      <c r="X12" s="311">
        <v>1</v>
      </c>
      <c r="Y12" s="14">
        <f>SUM(P12:X12)/8</f>
        <v>2.25</v>
      </c>
      <c r="Z12" s="311"/>
      <c r="AA12" s="311"/>
      <c r="AB12" s="371" t="s">
        <v>97</v>
      </c>
      <c r="AC12" s="224" t="s">
        <v>80</v>
      </c>
      <c r="AD12" s="224" t="s">
        <v>416</v>
      </c>
      <c r="AE12" s="224" t="s">
        <v>417</v>
      </c>
      <c r="AF12" s="224" t="s">
        <v>418</v>
      </c>
      <c r="AG12" s="224" t="s">
        <v>102</v>
      </c>
      <c r="AH12" s="225" t="s">
        <v>103</v>
      </c>
      <c r="AI12" s="225" t="s">
        <v>419</v>
      </c>
      <c r="AJ12" s="225" t="s">
        <v>104</v>
      </c>
      <c r="AK12" s="226" t="s">
        <v>105</v>
      </c>
    </row>
    <row r="13" spans="1:37" ht="50.25" customHeight="1">
      <c r="A13" s="179"/>
      <c r="B13" s="35" t="s">
        <v>420</v>
      </c>
      <c r="C13" s="6" t="s">
        <v>421</v>
      </c>
      <c r="D13" s="6" t="s">
        <v>422</v>
      </c>
      <c r="E13" s="6" t="s">
        <v>423</v>
      </c>
      <c r="F13" s="74"/>
      <c r="G13" s="6" t="s">
        <v>424</v>
      </c>
      <c r="H13" s="60">
        <v>475000</v>
      </c>
      <c r="I13" s="60">
        <f>125000+3800*(300)</f>
        <v>1265000</v>
      </c>
      <c r="J13" s="64">
        <f>I13*0.1</f>
        <v>126500</v>
      </c>
      <c r="K13" s="64">
        <f>I13*0.01</f>
        <v>12650</v>
      </c>
      <c r="L13" s="64">
        <f>SUM(I13*0.12)</f>
        <v>151800</v>
      </c>
      <c r="M13" s="60">
        <f>I13*0.07</f>
        <v>88550.000000000015</v>
      </c>
      <c r="N13" s="180">
        <f>SUM(I13:M13)</f>
        <v>1644500</v>
      </c>
      <c r="O13" s="181" t="s">
        <v>80</v>
      </c>
      <c r="P13" s="311">
        <v>2</v>
      </c>
      <c r="Q13" s="311">
        <v>2</v>
      </c>
      <c r="R13" s="311">
        <v>3</v>
      </c>
      <c r="S13" s="311">
        <v>3</v>
      </c>
      <c r="T13" s="65" t="str">
        <f>IF(N13&lt;150000,"3",IF(N13&lt;500000,"2",IF(N13&gt;500000,"1")))</f>
        <v>1</v>
      </c>
      <c r="U13" s="65">
        <v>2</v>
      </c>
      <c r="V13" s="311">
        <v>2</v>
      </c>
      <c r="W13" s="311">
        <v>2</v>
      </c>
      <c r="X13" s="311">
        <v>2</v>
      </c>
      <c r="Y13" s="14">
        <f>SUM(P13:X13)/8</f>
        <v>2.25</v>
      </c>
      <c r="Z13" s="311"/>
      <c r="AA13" s="311"/>
      <c r="AB13" s="372"/>
      <c r="AC13" s="224"/>
      <c r="AD13" s="224" t="s">
        <v>425</v>
      </c>
      <c r="AE13" s="224" t="s">
        <v>426</v>
      </c>
      <c r="AF13" s="224"/>
      <c r="AG13" s="224"/>
      <c r="AH13" s="225"/>
      <c r="AI13" s="225"/>
      <c r="AJ13" s="225"/>
      <c r="AK13" s="226"/>
    </row>
    <row r="14" spans="1:37" ht="50.25" customHeight="1">
      <c r="A14" s="179"/>
      <c r="B14" s="35" t="s">
        <v>427</v>
      </c>
      <c r="C14" s="6" t="s">
        <v>428</v>
      </c>
      <c r="D14" s="5"/>
      <c r="E14" s="6" t="s">
        <v>429</v>
      </c>
      <c r="F14" s="5"/>
      <c r="G14" s="5"/>
      <c r="H14" s="74">
        <v>0</v>
      </c>
      <c r="I14" s="60">
        <v>150000</v>
      </c>
      <c r="J14" s="311">
        <v>45000</v>
      </c>
      <c r="K14" s="64">
        <v>700000</v>
      </c>
      <c r="L14" s="64">
        <f>SUM(I14*0.1)</f>
        <v>15000</v>
      </c>
      <c r="M14" s="60">
        <f>I14*0.07</f>
        <v>10500.000000000002</v>
      </c>
      <c r="N14" s="180">
        <f>SUM(I14:M14)</f>
        <v>920500</v>
      </c>
      <c r="O14" s="181" t="s">
        <v>80</v>
      </c>
      <c r="P14" s="311">
        <v>2</v>
      </c>
      <c r="Q14" s="311">
        <v>3</v>
      </c>
      <c r="R14" s="311">
        <v>3</v>
      </c>
      <c r="S14" s="311">
        <v>3</v>
      </c>
      <c r="T14" s="65" t="str">
        <f>IF(N14&lt;150000,"3",IF(N14&lt;500000,"2",IF(N14&gt;500000,"1")))</f>
        <v>1</v>
      </c>
      <c r="U14" s="65">
        <v>3</v>
      </c>
      <c r="V14" s="311">
        <v>2</v>
      </c>
      <c r="W14" s="311">
        <v>1</v>
      </c>
      <c r="X14" s="311">
        <v>1</v>
      </c>
      <c r="Y14" s="14">
        <f>SUM(P14:X14)/8</f>
        <v>2.25</v>
      </c>
      <c r="Z14" s="311"/>
      <c r="AA14" s="311"/>
      <c r="AB14" s="373"/>
      <c r="AC14" s="224"/>
      <c r="AD14" s="224"/>
      <c r="AE14" s="224"/>
      <c r="AF14" s="224" t="s">
        <v>430</v>
      </c>
      <c r="AG14" s="224"/>
      <c r="AH14" s="225"/>
      <c r="AI14" s="225"/>
      <c r="AJ14" s="225"/>
      <c r="AK14" s="226"/>
    </row>
    <row r="15" spans="1:37" ht="50.25" customHeight="1">
      <c r="A15" s="179"/>
      <c r="B15" s="309" t="s">
        <v>431</v>
      </c>
      <c r="C15" s="345" t="s">
        <v>432</v>
      </c>
      <c r="D15" s="346"/>
      <c r="E15" s="315" t="s">
        <v>433</v>
      </c>
      <c r="F15" s="74">
        <v>5000</v>
      </c>
      <c r="G15" s="316" t="s">
        <v>434</v>
      </c>
      <c r="H15" s="60">
        <v>0</v>
      </c>
      <c r="I15" s="60">
        <v>0</v>
      </c>
      <c r="J15" s="64">
        <v>0</v>
      </c>
      <c r="K15" s="64"/>
      <c r="L15" s="64">
        <f>SUM(I15*0.1)</f>
        <v>0</v>
      </c>
      <c r="M15" s="60">
        <f>I15*0.07</f>
        <v>0</v>
      </c>
      <c r="N15" s="180">
        <f>SUM(I15:M15)</f>
        <v>0</v>
      </c>
      <c r="O15" s="181" t="s">
        <v>80</v>
      </c>
      <c r="P15" s="312">
        <v>2</v>
      </c>
      <c r="Q15" s="312">
        <v>1</v>
      </c>
      <c r="R15" s="312">
        <v>3</v>
      </c>
      <c r="S15" s="312">
        <v>3</v>
      </c>
      <c r="T15" s="319" t="str">
        <f>IF(N15&lt;150000,"3",IF(N15&lt;500000,"2",IF(N15&gt;500000,"1")))</f>
        <v>3</v>
      </c>
      <c r="U15" s="319">
        <v>3</v>
      </c>
      <c r="V15" s="312">
        <v>3</v>
      </c>
      <c r="W15" s="312">
        <v>1</v>
      </c>
      <c r="X15" s="312">
        <v>1</v>
      </c>
      <c r="Y15" s="14">
        <f>SUM(P15:X15)/8</f>
        <v>2.125</v>
      </c>
      <c r="Z15" s="311"/>
      <c r="AA15" s="311"/>
      <c r="AB15" s="220"/>
      <c r="AC15" s="221"/>
      <c r="AD15" s="221"/>
      <c r="AE15" s="221"/>
      <c r="AF15" s="221"/>
      <c r="AG15" s="221"/>
      <c r="AH15" s="222"/>
      <c r="AI15" s="222"/>
      <c r="AJ15" s="222"/>
      <c r="AK15" s="223"/>
    </row>
    <row r="16" spans="1:37" ht="50.25" customHeight="1">
      <c r="A16" s="179"/>
      <c r="B16" s="35" t="s">
        <v>435</v>
      </c>
      <c r="C16" s="6" t="s">
        <v>436</v>
      </c>
      <c r="D16" s="5" t="s">
        <v>437</v>
      </c>
      <c r="E16" s="6" t="s">
        <v>438</v>
      </c>
      <c r="F16" s="5"/>
      <c r="G16" s="5"/>
      <c r="H16" s="74">
        <v>0</v>
      </c>
      <c r="I16" s="311">
        <v>750000</v>
      </c>
      <c r="J16" s="64">
        <f>I16*0.1</f>
        <v>75000</v>
      </c>
      <c r="K16" s="60">
        <v>1000000</v>
      </c>
      <c r="L16" s="64">
        <f>SUM(I16*0.1)</f>
        <v>75000</v>
      </c>
      <c r="M16" s="60">
        <f>I16*0.07</f>
        <v>52500.000000000007</v>
      </c>
      <c r="N16" s="180">
        <f>SUM(I16:M16)</f>
        <v>1952500</v>
      </c>
      <c r="O16" s="181" t="s">
        <v>376</v>
      </c>
      <c r="P16" s="311">
        <v>2</v>
      </c>
      <c r="Q16" s="311">
        <v>2</v>
      </c>
      <c r="R16" s="311">
        <v>3</v>
      </c>
      <c r="S16" s="311">
        <v>3</v>
      </c>
      <c r="T16" s="65" t="str">
        <f>IF(N16&lt;150000,"3",IF(N16&lt;500000,"2",IF(N16&gt;500000,"1")))</f>
        <v>1</v>
      </c>
      <c r="U16" s="65">
        <v>3</v>
      </c>
      <c r="V16" s="311">
        <v>1</v>
      </c>
      <c r="W16" s="311">
        <v>2</v>
      </c>
      <c r="X16" s="311">
        <v>1</v>
      </c>
      <c r="Y16" s="14">
        <f>SUM(P16:X16)/8</f>
        <v>2.125</v>
      </c>
      <c r="Z16" s="311"/>
      <c r="AA16" s="311"/>
      <c r="AB16" s="364" t="s">
        <v>127</v>
      </c>
      <c r="AC16" s="227" t="s">
        <v>62</v>
      </c>
      <c r="AD16" s="227" t="s">
        <v>439</v>
      </c>
      <c r="AE16" s="227" t="s">
        <v>440</v>
      </c>
      <c r="AF16" s="227" t="s">
        <v>441</v>
      </c>
      <c r="AG16" s="227" t="s">
        <v>131</v>
      </c>
      <c r="AH16" s="228" t="s">
        <v>132</v>
      </c>
      <c r="AI16" s="228" t="s">
        <v>442</v>
      </c>
      <c r="AJ16" s="228" t="s">
        <v>133</v>
      </c>
      <c r="AK16" s="229" t="s">
        <v>134</v>
      </c>
    </row>
    <row r="17" spans="1:37" ht="50.25" customHeight="1">
      <c r="A17" s="179"/>
      <c r="B17" s="35" t="s">
        <v>443</v>
      </c>
      <c r="C17" s="6" t="s">
        <v>444</v>
      </c>
      <c r="D17" s="5"/>
      <c r="E17" s="6" t="s">
        <v>445</v>
      </c>
      <c r="F17" s="74"/>
      <c r="G17" s="5"/>
      <c r="H17" s="60">
        <v>50000</v>
      </c>
      <c r="I17" s="60">
        <v>280000</v>
      </c>
      <c r="J17" s="64">
        <f>I17*0.1</f>
        <v>28000</v>
      </c>
      <c r="K17" s="64">
        <f>I17*0.07</f>
        <v>19600.000000000004</v>
      </c>
      <c r="L17" s="64">
        <f>SUM(I17*0.1)</f>
        <v>28000</v>
      </c>
      <c r="M17" s="60">
        <f>I17*0.07</f>
        <v>19600.000000000004</v>
      </c>
      <c r="N17" s="180">
        <f>SUM(I17:M17)</f>
        <v>375200</v>
      </c>
      <c r="O17" s="181" t="s">
        <v>376</v>
      </c>
      <c r="P17" s="311">
        <v>2</v>
      </c>
      <c r="Q17" s="311">
        <v>2</v>
      </c>
      <c r="R17" s="311">
        <v>2</v>
      </c>
      <c r="S17" s="311">
        <v>3</v>
      </c>
      <c r="T17" s="65" t="str">
        <f>IF(N17&lt;150000,"3",IF(N17&lt;500000,"2",IF(N17&gt;500000,"1")))</f>
        <v>2</v>
      </c>
      <c r="U17" s="65">
        <v>2</v>
      </c>
      <c r="V17" s="311">
        <v>3</v>
      </c>
      <c r="W17" s="311">
        <v>1</v>
      </c>
      <c r="X17" s="311">
        <v>1</v>
      </c>
      <c r="Y17" s="14">
        <f>SUM(P17:X17)/8</f>
        <v>2</v>
      </c>
      <c r="Z17" s="311"/>
      <c r="AA17" s="311"/>
      <c r="AB17" s="365"/>
      <c r="AC17" s="230" t="s">
        <v>139</v>
      </c>
      <c r="AD17" s="230" t="s">
        <v>446</v>
      </c>
      <c r="AE17" s="227" t="s">
        <v>447</v>
      </c>
      <c r="AF17" s="230" t="s">
        <v>446</v>
      </c>
      <c r="AG17" s="227"/>
      <c r="AH17" s="230"/>
      <c r="AI17" s="231"/>
      <c r="AJ17" s="231"/>
      <c r="AK17" s="232"/>
    </row>
    <row r="18" spans="1:37" ht="50.25" customHeight="1">
      <c r="A18" s="179"/>
      <c r="B18" s="35" t="s">
        <v>448</v>
      </c>
      <c r="C18" s="6" t="s">
        <v>449</v>
      </c>
      <c r="D18" s="5"/>
      <c r="E18" s="6" t="s">
        <v>450</v>
      </c>
      <c r="F18" s="74"/>
      <c r="G18" s="5" t="s">
        <v>451</v>
      </c>
      <c r="H18" s="60">
        <v>25000</v>
      </c>
      <c r="I18" s="48">
        <v>1000000</v>
      </c>
      <c r="J18" s="64">
        <f>I18*0.1</f>
        <v>100000</v>
      </c>
      <c r="K18" s="64">
        <f>I18*0.07</f>
        <v>70000</v>
      </c>
      <c r="L18" s="64">
        <f>SUM(I18*0.1)</f>
        <v>100000</v>
      </c>
      <c r="M18" s="60">
        <f>I18*0.07</f>
        <v>70000</v>
      </c>
      <c r="N18" s="180">
        <f>SUM(I18:M18)</f>
        <v>1340000</v>
      </c>
      <c r="O18" s="181" t="s">
        <v>376</v>
      </c>
      <c r="P18" s="311">
        <v>2</v>
      </c>
      <c r="Q18" s="311">
        <v>2</v>
      </c>
      <c r="R18" s="311">
        <v>3</v>
      </c>
      <c r="S18" s="311">
        <v>2</v>
      </c>
      <c r="T18" s="65" t="str">
        <f>IF(N18&lt;150000,"3",IF(N18&lt;500000,"2",IF(N18&gt;500000,"1")))</f>
        <v>1</v>
      </c>
      <c r="U18" s="65">
        <v>3</v>
      </c>
      <c r="V18" s="311">
        <v>1</v>
      </c>
      <c r="W18" s="311">
        <v>2</v>
      </c>
      <c r="X18" s="311">
        <v>1</v>
      </c>
      <c r="Y18" s="14">
        <f>SUM(P18:X18)/8</f>
        <v>2</v>
      </c>
      <c r="Z18" s="311"/>
      <c r="AA18" s="311"/>
      <c r="AB18" s="365"/>
      <c r="AC18" s="230"/>
      <c r="AD18" s="230" t="s">
        <v>452</v>
      </c>
      <c r="AE18" s="227" t="s">
        <v>453</v>
      </c>
      <c r="AF18" s="230" t="s">
        <v>454</v>
      </c>
      <c r="AG18" s="227"/>
      <c r="AH18" s="230"/>
      <c r="AI18" s="231"/>
      <c r="AJ18" s="231"/>
      <c r="AK18" s="232"/>
    </row>
    <row r="19" spans="1:37" ht="50.25" customHeight="1">
      <c r="A19" s="179"/>
      <c r="B19" s="35" t="s">
        <v>455</v>
      </c>
      <c r="C19" s="6" t="s">
        <v>456</v>
      </c>
      <c r="D19" s="5"/>
      <c r="E19" s="6" t="s">
        <v>457</v>
      </c>
      <c r="F19" s="74"/>
      <c r="G19" s="5"/>
      <c r="H19" s="60">
        <v>0</v>
      </c>
      <c r="I19" s="64">
        <f>300*3800</f>
        <v>1140000</v>
      </c>
      <c r="J19" s="64">
        <f>I19*0.1</f>
        <v>114000</v>
      </c>
      <c r="K19" s="64">
        <v>50000</v>
      </c>
      <c r="L19" s="64">
        <f>SUM(I19*0.1)</f>
        <v>114000</v>
      </c>
      <c r="M19" s="60">
        <f>I19*0.07</f>
        <v>79800.000000000015</v>
      </c>
      <c r="N19" s="180">
        <f>SUM(I19:M19)</f>
        <v>1497800</v>
      </c>
      <c r="O19" s="181" t="s">
        <v>398</v>
      </c>
      <c r="P19" s="311">
        <v>3</v>
      </c>
      <c r="Q19" s="311">
        <v>3</v>
      </c>
      <c r="R19" s="311">
        <v>1</v>
      </c>
      <c r="S19" s="311">
        <v>2</v>
      </c>
      <c r="T19" s="65" t="str">
        <f>IF(N19&lt;150000,"3",IF(N19&lt;500000,"2",IF(N19&gt;500000,"1")))</f>
        <v>1</v>
      </c>
      <c r="U19" s="65">
        <v>2</v>
      </c>
      <c r="V19" s="311">
        <v>1</v>
      </c>
      <c r="W19" s="311">
        <v>1</v>
      </c>
      <c r="X19" s="311">
        <v>1</v>
      </c>
      <c r="Y19" s="14">
        <f>SUM(P19:X19)/8</f>
        <v>1.75</v>
      </c>
      <c r="Z19" s="311"/>
      <c r="AA19" s="311"/>
      <c r="AB19" s="356"/>
      <c r="AC19" s="356"/>
      <c r="AD19" s="356"/>
      <c r="AE19" s="356"/>
      <c r="AF19" s="356"/>
      <c r="AG19" s="356"/>
      <c r="AH19" s="356"/>
      <c r="AI19" s="356"/>
      <c r="AJ19" s="356"/>
      <c r="AK19" s="356"/>
    </row>
    <row r="20" spans="1:37" ht="50.25" customHeight="1">
      <c r="A20" s="179"/>
      <c r="B20" s="35" t="s">
        <v>458</v>
      </c>
      <c r="C20" s="6" t="s">
        <v>459</v>
      </c>
      <c r="D20" s="6"/>
      <c r="E20" s="6" t="s">
        <v>460</v>
      </c>
      <c r="F20" s="5" t="s">
        <v>461</v>
      </c>
      <c r="G20" s="5"/>
      <c r="H20" s="74">
        <v>0</v>
      </c>
      <c r="I20" s="64">
        <v>750000</v>
      </c>
      <c r="J20" s="64">
        <f>I20*0.1</f>
        <v>75000</v>
      </c>
      <c r="K20" s="64">
        <v>0</v>
      </c>
      <c r="L20" s="64">
        <f>SUM(I20*0.1)</f>
        <v>75000</v>
      </c>
      <c r="M20" s="60">
        <f>I20*0.07</f>
        <v>52500.000000000007</v>
      </c>
      <c r="N20" s="180">
        <f>SUM(I20:M20)</f>
        <v>952500</v>
      </c>
      <c r="O20" s="181" t="s">
        <v>80</v>
      </c>
      <c r="P20" s="311">
        <v>2</v>
      </c>
      <c r="Q20" s="311">
        <v>2</v>
      </c>
      <c r="R20" s="311">
        <v>2</v>
      </c>
      <c r="S20" s="311">
        <v>3</v>
      </c>
      <c r="T20" s="65" t="str">
        <f>IF(N20&lt;150000,"3",IF(N20&lt;500000,"2",IF(N20&gt;500000,"1")))</f>
        <v>1</v>
      </c>
      <c r="U20" s="65">
        <v>1</v>
      </c>
      <c r="V20" s="311">
        <v>1</v>
      </c>
      <c r="W20" s="311">
        <v>1</v>
      </c>
      <c r="X20" s="311">
        <v>1</v>
      </c>
      <c r="Y20" s="14">
        <f>SUM(P20:X20)/8</f>
        <v>1.625</v>
      </c>
      <c r="Z20" s="311"/>
      <c r="AA20" s="311"/>
      <c r="AB20" s="311"/>
      <c r="AC20" s="311"/>
      <c r="AD20" s="311"/>
      <c r="AE20" s="311"/>
      <c r="AF20" s="311"/>
      <c r="AG20" s="311"/>
      <c r="AH20" s="311"/>
      <c r="AI20" s="311"/>
      <c r="AJ20" s="311"/>
      <c r="AK20" s="311"/>
    </row>
    <row r="21" spans="1:37" ht="50.25" customHeight="1">
      <c r="A21" s="179"/>
      <c r="B21" s="35" t="s">
        <v>462</v>
      </c>
      <c r="C21" s="6" t="s">
        <v>463</v>
      </c>
      <c r="D21" s="6"/>
      <c r="E21" s="6" t="s">
        <v>464</v>
      </c>
      <c r="F21" s="5"/>
      <c r="G21" s="5"/>
      <c r="H21" s="74"/>
      <c r="I21" s="60">
        <v>75000</v>
      </c>
      <c r="J21" s="64">
        <f>I21*0.1</f>
        <v>7500</v>
      </c>
      <c r="K21" s="64">
        <v>0</v>
      </c>
      <c r="L21" s="64">
        <f>SUM(I21*0.1)</f>
        <v>7500</v>
      </c>
      <c r="M21" s="60">
        <f>I21*0.07</f>
        <v>5250.0000000000009</v>
      </c>
      <c r="N21" s="180">
        <f>SUM(I21:M21)</f>
        <v>95250</v>
      </c>
      <c r="O21" s="181" t="s">
        <v>376</v>
      </c>
      <c r="P21" s="311">
        <v>2</v>
      </c>
      <c r="Q21" s="311">
        <v>1</v>
      </c>
      <c r="R21" s="311">
        <v>2</v>
      </c>
      <c r="S21" s="311">
        <v>3</v>
      </c>
      <c r="T21" s="65" t="str">
        <f>IF(N21&lt;150000,"3",IF(N21&lt;500000,"2",IF(N21&gt;500000,"1")))</f>
        <v>3</v>
      </c>
      <c r="U21" s="65">
        <v>2</v>
      </c>
      <c r="V21" s="311">
        <v>1</v>
      </c>
      <c r="W21" s="311">
        <v>1</v>
      </c>
      <c r="X21" s="311">
        <v>1</v>
      </c>
      <c r="Y21" s="14">
        <f>SUM(P21:X21)/8</f>
        <v>1.625</v>
      </c>
      <c r="Z21" s="311"/>
      <c r="AA21" s="311"/>
      <c r="AB21" s="311"/>
      <c r="AC21" s="311"/>
      <c r="AD21" s="311"/>
      <c r="AE21" s="311"/>
      <c r="AF21" s="311"/>
      <c r="AG21" s="311"/>
      <c r="AH21" s="311"/>
      <c r="AI21" s="311"/>
      <c r="AJ21" s="311"/>
      <c r="AK21" s="311"/>
    </row>
    <row r="22" spans="1:37" ht="60" customHeight="1">
      <c r="A22" s="179"/>
      <c r="B22" s="45" t="s">
        <v>465</v>
      </c>
      <c r="C22" s="20" t="s">
        <v>466</v>
      </c>
      <c r="D22" s="15"/>
      <c r="E22" s="20" t="s">
        <v>467</v>
      </c>
      <c r="F22" s="123"/>
      <c r="G22" s="15"/>
      <c r="H22" s="123"/>
      <c r="I22" s="182">
        <v>450000</v>
      </c>
      <c r="J22" s="183">
        <f>I22*0.1</f>
        <v>45000</v>
      </c>
      <c r="K22" s="183"/>
      <c r="L22" s="183">
        <f>SUM(I22*0.1)</f>
        <v>45000</v>
      </c>
      <c r="M22" s="182">
        <f>I22*0.07</f>
        <v>31500.000000000004</v>
      </c>
      <c r="N22" s="184">
        <f>SUM(I22:M22)</f>
        <v>571500</v>
      </c>
      <c r="O22" s="185" t="s">
        <v>376</v>
      </c>
      <c r="P22" s="16"/>
      <c r="Q22" s="16"/>
      <c r="R22" s="16"/>
      <c r="S22" s="16"/>
      <c r="T22" s="124" t="str">
        <f>IF(N22&lt;150000,"3",IF(N22&lt;500000,"2",IF(N22&gt;500000,"1")))</f>
        <v>1</v>
      </c>
      <c r="U22" s="124"/>
      <c r="V22" s="16"/>
      <c r="W22" s="16"/>
      <c r="X22" s="16"/>
      <c r="Y22" s="19">
        <f>SUM(P22:X22)/8</f>
        <v>0</v>
      </c>
      <c r="Z22" s="311"/>
      <c r="AA22" s="311"/>
      <c r="AB22" s="311"/>
      <c r="AC22" s="311"/>
      <c r="AD22" s="311"/>
      <c r="AE22" s="311"/>
      <c r="AF22" s="311"/>
      <c r="AG22" s="311"/>
      <c r="AH22" s="311"/>
      <c r="AI22" s="311"/>
      <c r="AJ22" s="311"/>
      <c r="AK22" s="311"/>
    </row>
    <row r="23" spans="1:37" ht="60" customHeight="1">
      <c r="A23" s="179"/>
      <c r="B23" s="35" t="s">
        <v>468</v>
      </c>
      <c r="C23" s="20" t="s">
        <v>469</v>
      </c>
      <c r="D23" s="15"/>
      <c r="E23" s="20" t="s">
        <v>470</v>
      </c>
      <c r="F23" s="123"/>
      <c r="G23" s="15"/>
      <c r="H23" s="182"/>
      <c r="I23" s="183"/>
      <c r="J23" s="183">
        <f>I23*0.1</f>
        <v>0</v>
      </c>
      <c r="K23" s="183"/>
      <c r="L23" s="183">
        <f>SUM(I23*0.1)</f>
        <v>0</v>
      </c>
      <c r="M23" s="182">
        <f>I23*0.07</f>
        <v>0</v>
      </c>
      <c r="N23" s="184">
        <v>400000</v>
      </c>
      <c r="O23" s="181" t="s">
        <v>376</v>
      </c>
      <c r="P23" s="16"/>
      <c r="Q23" s="16"/>
      <c r="R23" s="16"/>
      <c r="S23" s="16"/>
      <c r="T23" s="124" t="str">
        <f>IF(N23&lt;150000,"3",IF(N23&lt;500000,"2",IF(N23&gt;500000,"1")))</f>
        <v>2</v>
      </c>
      <c r="U23" s="124"/>
      <c r="V23" s="16"/>
      <c r="W23" s="16"/>
      <c r="X23" s="16"/>
      <c r="Y23" s="19">
        <f>SUM(P23:X23)/8</f>
        <v>0</v>
      </c>
      <c r="Z23" s="311"/>
      <c r="AA23" s="311"/>
      <c r="AB23" s="311"/>
      <c r="AC23" s="311"/>
      <c r="AD23" s="311"/>
      <c r="AE23" s="311"/>
      <c r="AF23" s="311"/>
      <c r="AG23" s="311"/>
      <c r="AH23" s="311"/>
      <c r="AI23" s="311"/>
      <c r="AJ23" s="311"/>
      <c r="AK23" s="311"/>
    </row>
    <row r="24" spans="1:37" ht="28.9">
      <c r="A24" s="35"/>
      <c r="B24" s="257" t="s">
        <v>471</v>
      </c>
      <c r="C24" s="258" t="s">
        <v>472</v>
      </c>
      <c r="D24" s="259"/>
      <c r="E24" s="310" t="s">
        <v>473</v>
      </c>
      <c r="F24" s="260"/>
      <c r="G24" s="259"/>
      <c r="H24" s="261"/>
      <c r="I24" s="261">
        <v>1000000</v>
      </c>
      <c r="J24" s="262">
        <v>100000</v>
      </c>
      <c r="K24" s="262">
        <v>200000</v>
      </c>
      <c r="L24" s="64">
        <f>SUM(I24*0.1)</f>
        <v>100000</v>
      </c>
      <c r="M24" s="263">
        <f>I24*0.07</f>
        <v>70000</v>
      </c>
      <c r="N24" s="184">
        <f>SUM(I24:M24)</f>
        <v>1470000</v>
      </c>
      <c r="O24" s="264"/>
      <c r="P24" s="261"/>
      <c r="Q24" s="261"/>
      <c r="R24" s="261"/>
      <c r="S24" s="261"/>
      <c r="T24" s="265" t="str">
        <f>IF(N24&lt;150000,"3",IF(N24&lt;500000,"2",IF(N24&gt;500000,"1")))</f>
        <v>1</v>
      </c>
      <c r="U24" s="265"/>
      <c r="V24" s="261"/>
      <c r="W24" s="261"/>
      <c r="X24" s="261"/>
      <c r="Y24" s="266"/>
      <c r="Z24" s="311"/>
      <c r="AA24" s="311"/>
      <c r="AB24" s="311"/>
      <c r="AC24" s="311"/>
      <c r="AD24" s="311"/>
      <c r="AE24" s="311"/>
      <c r="AF24" s="311"/>
      <c r="AG24" s="311"/>
      <c r="AH24" s="311"/>
      <c r="AI24" s="311"/>
      <c r="AJ24" s="311"/>
      <c r="AK24" s="311"/>
    </row>
    <row r="25" spans="1:37" ht="30.75">
      <c r="A25" s="35"/>
      <c r="B25" s="35" t="s">
        <v>474</v>
      </c>
      <c r="C25" s="6" t="s">
        <v>475</v>
      </c>
      <c r="D25" s="5"/>
      <c r="E25" s="6" t="s">
        <v>476</v>
      </c>
      <c r="F25" s="75"/>
      <c r="G25" s="5"/>
      <c r="H25" s="5"/>
      <c r="I25" s="311"/>
      <c r="J25" s="64">
        <f>I25*0.1</f>
        <v>0</v>
      </c>
      <c r="K25" s="60"/>
      <c r="L25" s="64">
        <f>SUM(I25*0.1)</f>
        <v>0</v>
      </c>
      <c r="M25" s="60">
        <f>I25*0.07</f>
        <v>0</v>
      </c>
      <c r="N25" s="180">
        <f>SUM(I25:M25)</f>
        <v>0</v>
      </c>
      <c r="O25" s="181"/>
      <c r="P25" s="311"/>
      <c r="Q25" s="311"/>
      <c r="R25" s="311"/>
      <c r="S25" s="311"/>
      <c r="T25" s="65" t="str">
        <f>IF(N25&lt;150000,"3",IF(N25&lt;500000,"2",IF(N25&gt;500000,"1")))</f>
        <v>3</v>
      </c>
      <c r="U25" s="65"/>
      <c r="V25" s="311"/>
      <c r="W25" s="311"/>
      <c r="X25" s="311"/>
      <c r="Y25" s="14">
        <f>SUM(P25:X25)/8</f>
        <v>0</v>
      </c>
      <c r="Z25" s="311"/>
      <c r="AA25" s="311"/>
      <c r="AB25" s="311"/>
      <c r="AC25" s="311"/>
      <c r="AD25" s="311"/>
      <c r="AE25" s="311"/>
      <c r="AF25" s="311"/>
      <c r="AG25" s="311"/>
      <c r="AH25" s="311"/>
      <c r="AI25" s="311"/>
      <c r="AJ25" s="311"/>
      <c r="AK25" s="311"/>
    </row>
    <row r="26" spans="1:37" ht="29.25">
      <c r="A26" s="35"/>
      <c r="B26" s="35" t="s">
        <v>477</v>
      </c>
      <c r="C26" s="406" t="s">
        <v>478</v>
      </c>
      <c r="D26" s="5"/>
      <c r="E26" s="406" t="s">
        <v>479</v>
      </c>
      <c r="F26" s="75"/>
      <c r="G26" s="5"/>
      <c r="H26" s="5"/>
      <c r="I26" s="311"/>
      <c r="J26" s="64">
        <f>I26*0.1</f>
        <v>0</v>
      </c>
      <c r="K26" s="60"/>
      <c r="L26" s="64">
        <f>SUM(I26*0.1)</f>
        <v>0</v>
      </c>
      <c r="M26" s="60">
        <f>I26*0.07</f>
        <v>0</v>
      </c>
      <c r="N26" s="180">
        <f>SUM(I26:M26)</f>
        <v>0</v>
      </c>
      <c r="O26" s="181"/>
      <c r="P26" s="311"/>
      <c r="Q26" s="311"/>
      <c r="R26" s="311"/>
      <c r="S26" s="311"/>
      <c r="T26" s="65" t="str">
        <f>IF(N26&lt;150000,"3",IF(N26&lt;500000,"2",IF(N26&gt;500000,"1")))</f>
        <v>3</v>
      </c>
      <c r="U26" s="65"/>
      <c r="V26" s="311"/>
      <c r="W26" s="311"/>
      <c r="X26" s="311"/>
      <c r="Y26" s="14">
        <f>SUM(P26:X26)/8</f>
        <v>0</v>
      </c>
      <c r="Z26" s="311"/>
      <c r="AA26" s="311"/>
      <c r="AB26" s="311"/>
      <c r="AC26" s="311"/>
      <c r="AD26" s="311"/>
      <c r="AE26" s="311"/>
      <c r="AF26" s="311"/>
      <c r="AG26" s="311"/>
      <c r="AH26" s="311"/>
      <c r="AI26" s="311"/>
      <c r="AJ26" s="311"/>
      <c r="AK26" s="311"/>
    </row>
    <row r="27" spans="1:37" ht="57.75">
      <c r="A27" s="35"/>
      <c r="B27" s="35" t="s">
        <v>480</v>
      </c>
      <c r="C27" s="406" t="s">
        <v>481</v>
      </c>
      <c r="D27" s="5"/>
      <c r="E27" s="406" t="s">
        <v>482</v>
      </c>
      <c r="F27" s="75"/>
      <c r="G27" s="5"/>
      <c r="H27" s="5"/>
      <c r="I27" s="311"/>
      <c r="J27" s="64">
        <f>I27*0.1</f>
        <v>0</v>
      </c>
      <c r="K27" s="64"/>
      <c r="L27" s="64">
        <f>SUM(I27*0.1)</f>
        <v>0</v>
      </c>
      <c r="M27" s="60">
        <f>I27*0.07</f>
        <v>0</v>
      </c>
      <c r="N27" s="180">
        <f>SUM(I27:M27)</f>
        <v>0</v>
      </c>
      <c r="O27" s="181"/>
      <c r="P27" s="311"/>
      <c r="Q27" s="311"/>
      <c r="R27" s="311"/>
      <c r="S27" s="311"/>
      <c r="T27" s="65" t="str">
        <f>IF(N27&lt;150000,"3",IF(N27&lt;500000,"2",IF(N27&gt;500000,"1")))</f>
        <v>3</v>
      </c>
      <c r="U27" s="65"/>
      <c r="V27" s="311"/>
      <c r="W27" s="311"/>
      <c r="X27" s="311"/>
      <c r="Y27" s="14">
        <f>SUM(P27:X27)/8</f>
        <v>0</v>
      </c>
      <c r="Z27" s="311"/>
      <c r="AA27" s="311"/>
      <c r="AB27" s="311"/>
      <c r="AC27" s="311"/>
      <c r="AD27" s="311"/>
      <c r="AE27" s="311"/>
      <c r="AF27" s="311"/>
      <c r="AG27" s="311"/>
      <c r="AH27" s="311"/>
      <c r="AI27" s="311"/>
      <c r="AJ27" s="311"/>
      <c r="AK27" s="311"/>
    </row>
    <row r="28" spans="1:37" ht="29.25">
      <c r="A28" s="35"/>
      <c r="B28" s="35" t="s">
        <v>483</v>
      </c>
      <c r="C28" s="405" t="s">
        <v>484</v>
      </c>
      <c r="D28" s="5"/>
      <c r="E28" s="406" t="s">
        <v>485</v>
      </c>
      <c r="F28" s="74"/>
      <c r="G28" s="5"/>
      <c r="H28" s="5"/>
      <c r="I28" s="311"/>
      <c r="J28" s="64">
        <f>I28*0.1</f>
        <v>0</v>
      </c>
      <c r="K28" s="64"/>
      <c r="L28" s="64">
        <f>SUM(I28*0.1)</f>
        <v>0</v>
      </c>
      <c r="M28" s="60">
        <f>I28*0.07</f>
        <v>0</v>
      </c>
      <c r="N28" s="180">
        <f>SUM(I28:M28)</f>
        <v>0</v>
      </c>
      <c r="O28" s="181"/>
      <c r="P28" s="311"/>
      <c r="Q28" s="311"/>
      <c r="R28" s="311"/>
      <c r="S28" s="311"/>
      <c r="T28" s="65" t="str">
        <f>IF(N28&lt;150000,"3",IF(N28&lt;500000,"2",IF(N28&gt;500000,"1")))</f>
        <v>3</v>
      </c>
      <c r="U28" s="65"/>
      <c r="V28" s="311"/>
      <c r="W28" s="311"/>
      <c r="X28" s="311"/>
      <c r="Y28" s="14">
        <f>SUM(P28:X28)/8</f>
        <v>0</v>
      </c>
      <c r="Z28" s="311"/>
      <c r="AA28" s="311"/>
      <c r="AB28" s="311"/>
      <c r="AC28" s="311"/>
      <c r="AD28" s="311"/>
      <c r="AE28" s="311"/>
      <c r="AF28" s="311"/>
      <c r="AG28" s="311"/>
      <c r="AH28" s="311"/>
      <c r="AI28" s="311"/>
      <c r="AJ28" s="311"/>
      <c r="AK28" s="311"/>
    </row>
    <row r="29" spans="1:37" ht="29.25">
      <c r="A29" s="35"/>
      <c r="B29" s="35" t="s">
        <v>486</v>
      </c>
      <c r="C29" s="406" t="s">
        <v>487</v>
      </c>
      <c r="D29" s="5"/>
      <c r="E29" s="406" t="s">
        <v>488</v>
      </c>
      <c r="F29" s="74"/>
      <c r="G29" s="5"/>
      <c r="H29" s="5"/>
      <c r="I29" s="311"/>
      <c r="J29" s="64">
        <f>I29*0.1</f>
        <v>0</v>
      </c>
      <c r="K29" s="64"/>
      <c r="L29" s="64">
        <f>SUM(I29*0.1)</f>
        <v>0</v>
      </c>
      <c r="M29" s="60">
        <f>I29*0.07</f>
        <v>0</v>
      </c>
      <c r="N29" s="180">
        <f>SUM(I29:M29)</f>
        <v>0</v>
      </c>
      <c r="O29" s="181"/>
      <c r="P29" s="311"/>
      <c r="Q29" s="311"/>
      <c r="R29" s="311"/>
      <c r="S29" s="311"/>
      <c r="T29" s="65" t="str">
        <f>IF(N29&lt;150000,"3",IF(N29&lt;500000,"2",IF(N29&gt;500000,"1")))</f>
        <v>3</v>
      </c>
      <c r="U29" s="65"/>
      <c r="V29" s="311"/>
      <c r="W29" s="311"/>
      <c r="X29" s="311"/>
      <c r="Y29" s="14">
        <f>SUM(P29:X29)/8</f>
        <v>0</v>
      </c>
      <c r="Z29" s="311"/>
      <c r="AA29" s="311"/>
      <c r="AB29" s="311"/>
      <c r="AC29" s="311"/>
      <c r="AD29" s="311"/>
      <c r="AE29" s="311"/>
      <c r="AF29" s="311"/>
      <c r="AG29" s="311"/>
      <c r="AH29" s="311"/>
      <c r="AI29" s="311"/>
      <c r="AJ29" s="311"/>
      <c r="AK29" s="311"/>
    </row>
    <row r="30" spans="1:37" ht="29.25">
      <c r="A30" s="35"/>
      <c r="B30" s="35" t="s">
        <v>489</v>
      </c>
      <c r="C30" s="406" t="s">
        <v>487</v>
      </c>
      <c r="D30" s="5"/>
      <c r="E30" s="406" t="s">
        <v>488</v>
      </c>
      <c r="F30" s="75"/>
      <c r="G30" s="5"/>
      <c r="H30" s="5"/>
      <c r="I30" s="311"/>
      <c r="J30" s="64">
        <f>I30*0.1</f>
        <v>0</v>
      </c>
      <c r="K30" s="64"/>
      <c r="L30" s="64">
        <f>SUM(I30*0.1)</f>
        <v>0</v>
      </c>
      <c r="M30" s="60">
        <f>I30*0.07</f>
        <v>0</v>
      </c>
      <c r="N30" s="180">
        <f>SUM(I30:M30)</f>
        <v>0</v>
      </c>
      <c r="O30" s="181"/>
      <c r="P30" s="311"/>
      <c r="Q30" s="311"/>
      <c r="R30" s="311"/>
      <c r="S30" s="311"/>
      <c r="T30" s="65" t="str">
        <f>IF(N30&lt;150000,"3",IF(N30&lt;500000,"2",IF(N30&gt;500000,"1")))</f>
        <v>3</v>
      </c>
      <c r="U30" s="65"/>
      <c r="V30" s="311"/>
      <c r="W30" s="311"/>
      <c r="X30" s="311"/>
      <c r="Y30" s="14">
        <f>SUM(P30:X30)/8</f>
        <v>0</v>
      </c>
      <c r="Z30" s="311"/>
      <c r="AA30" s="311"/>
      <c r="AB30" s="311"/>
      <c r="AC30" s="311"/>
      <c r="AD30" s="311"/>
      <c r="AE30" s="311"/>
      <c r="AF30" s="311"/>
      <c r="AG30" s="311"/>
      <c r="AH30" s="311"/>
      <c r="AI30" s="311"/>
      <c r="AJ30" s="311"/>
      <c r="AK30" s="311"/>
    </row>
    <row r="31" spans="1:37" ht="29.25">
      <c r="A31" s="35"/>
      <c r="B31" s="35" t="s">
        <v>490</v>
      </c>
      <c r="C31" s="405" t="s">
        <v>491</v>
      </c>
      <c r="D31" s="5"/>
      <c r="E31" s="406" t="s">
        <v>492</v>
      </c>
      <c r="F31" s="75"/>
      <c r="G31" s="5"/>
      <c r="H31" s="5"/>
      <c r="I31" s="311"/>
      <c r="J31" s="64">
        <f>I31*0.1</f>
        <v>0</v>
      </c>
      <c r="K31" s="64"/>
      <c r="L31" s="64">
        <f>SUM(I31*0.1)</f>
        <v>0</v>
      </c>
      <c r="M31" s="60">
        <f>I31*0.07</f>
        <v>0</v>
      </c>
      <c r="N31" s="180">
        <f>SUM(I31:M31)</f>
        <v>0</v>
      </c>
      <c r="O31" s="181"/>
      <c r="P31" s="311"/>
      <c r="Q31" s="311"/>
      <c r="R31" s="311"/>
      <c r="S31" s="311"/>
      <c r="T31" s="65" t="str">
        <f>IF(N31&lt;150000,"3",IF(N31&lt;500000,"2",IF(N31&gt;500000,"1")))</f>
        <v>3</v>
      </c>
      <c r="U31" s="65"/>
      <c r="V31" s="311"/>
      <c r="W31" s="311"/>
      <c r="X31" s="311"/>
      <c r="Y31" s="14">
        <f>SUM(P31:X31)/8</f>
        <v>0</v>
      </c>
      <c r="Z31" s="311"/>
      <c r="AA31" s="311"/>
      <c r="AB31" s="311"/>
      <c r="AC31" s="311"/>
      <c r="AD31" s="311"/>
      <c r="AE31" s="311"/>
      <c r="AF31" s="311"/>
      <c r="AG31" s="311"/>
      <c r="AH31" s="311"/>
      <c r="AI31" s="311"/>
      <c r="AJ31" s="311"/>
      <c r="AK31" s="311"/>
    </row>
    <row r="32" spans="1:37" ht="15">
      <c r="A32" s="35"/>
      <c r="B32" s="35" t="s">
        <v>493</v>
      </c>
      <c r="C32" s="405" t="s">
        <v>494</v>
      </c>
      <c r="D32" s="5"/>
      <c r="E32" s="405" t="s">
        <v>495</v>
      </c>
      <c r="F32" s="74"/>
      <c r="G32" s="5"/>
      <c r="H32" s="5"/>
      <c r="I32" s="311"/>
      <c r="J32" s="64">
        <f>I32*0.1</f>
        <v>0</v>
      </c>
      <c r="K32" s="64"/>
      <c r="L32" s="64">
        <f>SUM(I32*0.1)</f>
        <v>0</v>
      </c>
      <c r="M32" s="60">
        <f>I32*0.07</f>
        <v>0</v>
      </c>
      <c r="N32" s="180">
        <f>SUM(I32:M32)</f>
        <v>0</v>
      </c>
      <c r="O32" s="181"/>
      <c r="P32" s="311"/>
      <c r="Q32" s="311"/>
      <c r="R32" s="311"/>
      <c r="S32" s="311"/>
      <c r="T32" s="65" t="str">
        <f>IF(N32&lt;150000,"3",IF(N32&lt;500000,"2",IF(N32&gt;500000,"1")))</f>
        <v>3</v>
      </c>
      <c r="U32" s="65"/>
      <c r="V32" s="311"/>
      <c r="W32" s="311"/>
      <c r="X32" s="311"/>
      <c r="Y32" s="14">
        <f>SUM(P32:X32)/8</f>
        <v>0</v>
      </c>
      <c r="Z32" s="311"/>
      <c r="AA32" s="311"/>
      <c r="AB32" s="311"/>
      <c r="AC32" s="311"/>
      <c r="AD32" s="311"/>
      <c r="AE32" s="311"/>
      <c r="AF32" s="311"/>
      <c r="AG32" s="311"/>
      <c r="AH32" s="311"/>
      <c r="AI32" s="311"/>
      <c r="AJ32" s="311"/>
      <c r="AK32" s="311"/>
    </row>
    <row r="33" spans="1:37" ht="43.5">
      <c r="A33" s="35"/>
      <c r="B33" s="35" t="s">
        <v>496</v>
      </c>
      <c r="C33" s="6" t="s">
        <v>497</v>
      </c>
      <c r="D33" s="5"/>
      <c r="E33" s="406" t="s">
        <v>498</v>
      </c>
      <c r="F33" s="75"/>
      <c r="G33" s="5"/>
      <c r="H33" s="5"/>
      <c r="I33" s="311"/>
      <c r="J33" s="64">
        <f>I33*0.1</f>
        <v>0</v>
      </c>
      <c r="K33" s="64"/>
      <c r="L33" s="64">
        <f>SUM(I33*0.1)</f>
        <v>0</v>
      </c>
      <c r="M33" s="60">
        <f>I33*0.07</f>
        <v>0</v>
      </c>
      <c r="N33" s="180">
        <f>SUM(I33:M33)</f>
        <v>0</v>
      </c>
      <c r="O33" s="181"/>
      <c r="P33" s="311"/>
      <c r="Q33" s="311"/>
      <c r="R33" s="311"/>
      <c r="S33" s="311"/>
      <c r="T33" s="65" t="str">
        <f>IF(N33&lt;150000,"3",IF(N33&lt;500000,"2",IF(N33&gt;500000,"1")))</f>
        <v>3</v>
      </c>
      <c r="U33" s="65"/>
      <c r="V33" s="311"/>
      <c r="W33" s="311"/>
      <c r="X33" s="311"/>
      <c r="Y33" s="14">
        <f>SUM(P33:X33)/8</f>
        <v>0</v>
      </c>
      <c r="Z33" s="311"/>
      <c r="AA33" s="311"/>
      <c r="AB33" s="311"/>
      <c r="AC33" s="311"/>
      <c r="AD33" s="311"/>
      <c r="AE33" s="311"/>
      <c r="AF33" s="311"/>
      <c r="AG33" s="311"/>
      <c r="AH33" s="311"/>
      <c r="AI33" s="311"/>
      <c r="AJ33" s="311"/>
      <c r="AK33" s="311"/>
    </row>
    <row r="34" spans="1:37" ht="29.25">
      <c r="A34" s="35"/>
      <c r="B34" s="35" t="s">
        <v>499</v>
      </c>
      <c r="C34" s="406" t="s">
        <v>500</v>
      </c>
      <c r="D34" s="5"/>
      <c r="E34" s="405" t="s">
        <v>501</v>
      </c>
      <c r="F34" s="74"/>
      <c r="G34" s="5"/>
      <c r="H34" s="5"/>
      <c r="I34" s="311"/>
      <c r="J34" s="64">
        <f>I34*0.1</f>
        <v>0</v>
      </c>
      <c r="K34" s="64"/>
      <c r="L34" s="64">
        <f>SUM(I34*0.1)</f>
        <v>0</v>
      </c>
      <c r="M34" s="60">
        <f>I34*0.07</f>
        <v>0</v>
      </c>
      <c r="N34" s="180">
        <f>SUM(I34:M34)</f>
        <v>0</v>
      </c>
      <c r="O34" s="181"/>
      <c r="P34" s="311"/>
      <c r="Q34" s="311"/>
      <c r="R34" s="311"/>
      <c r="S34" s="311"/>
      <c r="T34" s="65" t="str">
        <f>IF(N34&lt;150000,"3",IF(N34&lt;500000,"2",IF(N34&gt;500000,"1")))</f>
        <v>3</v>
      </c>
      <c r="U34" s="65"/>
      <c r="V34" s="311"/>
      <c r="W34" s="311"/>
      <c r="X34" s="311"/>
      <c r="Y34" s="14">
        <f>SUM(P34:X34)/8</f>
        <v>0</v>
      </c>
      <c r="Z34" s="311"/>
      <c r="AA34" s="311"/>
      <c r="AB34" s="311"/>
      <c r="AC34" s="311"/>
      <c r="AD34" s="311"/>
      <c r="AE34" s="311"/>
      <c r="AF34" s="311"/>
      <c r="AG34" s="311"/>
      <c r="AH34" s="311"/>
      <c r="AI34" s="311"/>
      <c r="AJ34" s="311"/>
      <c r="AK34" s="311"/>
    </row>
    <row r="35" spans="1:37">
      <c r="A35" s="35"/>
      <c r="B35" s="35"/>
      <c r="C35" s="6"/>
      <c r="D35" s="5"/>
      <c r="E35" s="6"/>
      <c r="F35" s="75"/>
      <c r="G35" s="5"/>
      <c r="H35" s="5"/>
      <c r="I35" s="311"/>
      <c r="J35" s="64">
        <f>I35*0.1</f>
        <v>0</v>
      </c>
      <c r="K35" s="64"/>
      <c r="L35" s="64">
        <f>SUM(I35*0.1)</f>
        <v>0</v>
      </c>
      <c r="M35" s="60">
        <f>I35*0.07</f>
        <v>0</v>
      </c>
      <c r="N35" s="180">
        <f>SUM(I35:M35)</f>
        <v>0</v>
      </c>
      <c r="O35" s="181"/>
      <c r="P35" s="311"/>
      <c r="Q35" s="311"/>
      <c r="R35" s="311"/>
      <c r="S35" s="311"/>
      <c r="T35" s="65" t="str">
        <f>IF(N35&lt;150000,"3",IF(N35&lt;500000,"2",IF(N35&gt;500000,"1")))</f>
        <v>3</v>
      </c>
      <c r="U35" s="65"/>
      <c r="V35" s="311"/>
      <c r="W35" s="311"/>
      <c r="X35" s="311"/>
      <c r="Y35" s="14">
        <f>SUM(P35:X35)/8</f>
        <v>0</v>
      </c>
      <c r="Z35" s="311"/>
      <c r="AA35" s="311"/>
      <c r="AB35" s="311"/>
      <c r="AC35" s="311"/>
      <c r="AD35" s="311"/>
      <c r="AE35" s="311"/>
      <c r="AF35" s="311"/>
      <c r="AG35" s="311"/>
      <c r="AH35" s="311"/>
      <c r="AI35" s="311"/>
      <c r="AJ35" s="311"/>
      <c r="AK35" s="311"/>
    </row>
    <row r="36" spans="1:37">
      <c r="A36" s="35"/>
      <c r="B36" s="35"/>
      <c r="C36" s="6"/>
      <c r="D36" s="5"/>
      <c r="E36" s="6"/>
      <c r="F36" s="74"/>
      <c r="G36" s="5"/>
      <c r="H36" s="5"/>
      <c r="I36" s="311"/>
      <c r="J36" s="64">
        <f>I36*0.1</f>
        <v>0</v>
      </c>
      <c r="K36" s="64"/>
      <c r="L36" s="64">
        <f>SUM(I36*0.1)</f>
        <v>0</v>
      </c>
      <c r="M36" s="60">
        <f>I36*0.07</f>
        <v>0</v>
      </c>
      <c r="N36" s="180">
        <f>SUM(I36:M36)</f>
        <v>0</v>
      </c>
      <c r="O36" s="181"/>
      <c r="P36" s="311"/>
      <c r="Q36" s="311"/>
      <c r="R36" s="311"/>
      <c r="S36" s="311"/>
      <c r="T36" s="65" t="str">
        <f>IF(N36&lt;150000,"3",IF(N36&lt;500000,"2",IF(N36&gt;500000,"1")))</f>
        <v>3</v>
      </c>
      <c r="U36" s="65"/>
      <c r="V36" s="311"/>
      <c r="W36" s="311"/>
      <c r="X36" s="311"/>
      <c r="Y36" s="14">
        <f>SUM(P36:X36)/8</f>
        <v>0</v>
      </c>
      <c r="Z36" s="311"/>
      <c r="AA36" s="311"/>
      <c r="AB36" s="311"/>
      <c r="AC36" s="311"/>
      <c r="AD36" s="311"/>
      <c r="AE36" s="311"/>
      <c r="AF36" s="311"/>
      <c r="AG36" s="311"/>
      <c r="AH36" s="311"/>
      <c r="AI36" s="311"/>
      <c r="AJ36" s="311"/>
      <c r="AK36" s="311"/>
    </row>
    <row r="37" spans="1:37">
      <c r="A37" s="35"/>
      <c r="B37" s="35"/>
      <c r="C37" s="6"/>
      <c r="D37" s="5"/>
      <c r="E37" s="6"/>
      <c r="F37" s="75"/>
      <c r="G37" s="5"/>
      <c r="H37" s="5"/>
      <c r="I37" s="311"/>
      <c r="J37" s="64">
        <f>I37*0.1</f>
        <v>0</v>
      </c>
      <c r="K37" s="64"/>
      <c r="L37" s="64">
        <f>SUM(I37*0.1)</f>
        <v>0</v>
      </c>
      <c r="M37" s="60">
        <f>I37*0.07</f>
        <v>0</v>
      </c>
      <c r="N37" s="180">
        <f>SUM(I37:M37)</f>
        <v>0</v>
      </c>
      <c r="O37" s="181"/>
      <c r="P37" s="311"/>
      <c r="Q37" s="311"/>
      <c r="R37" s="311"/>
      <c r="S37" s="311"/>
      <c r="T37" s="65" t="str">
        <f>IF(N37&lt;150000,"3",IF(N37&lt;500000,"2",IF(N37&gt;500000,"1")))</f>
        <v>3</v>
      </c>
      <c r="U37" s="65"/>
      <c r="V37" s="311"/>
      <c r="W37" s="311"/>
      <c r="X37" s="311"/>
      <c r="Y37" s="14">
        <f>SUM(P37:X37)/8</f>
        <v>0</v>
      </c>
      <c r="Z37" s="311"/>
      <c r="AA37" s="311"/>
      <c r="AB37" s="311"/>
      <c r="AC37" s="311"/>
      <c r="AD37" s="311"/>
      <c r="AE37" s="311"/>
      <c r="AF37" s="311"/>
      <c r="AG37" s="311"/>
      <c r="AH37" s="311"/>
      <c r="AI37" s="311"/>
      <c r="AJ37" s="311"/>
      <c r="AK37" s="311"/>
    </row>
    <row r="38" spans="1:37">
      <c r="A38" s="35"/>
      <c r="B38" s="35"/>
      <c r="C38" s="6"/>
      <c r="D38" s="5"/>
      <c r="E38" s="6"/>
      <c r="F38" s="74"/>
      <c r="G38" s="5"/>
      <c r="H38" s="5"/>
      <c r="I38" s="311"/>
      <c r="J38" s="64">
        <f>I38*0.1</f>
        <v>0</v>
      </c>
      <c r="K38" s="64"/>
      <c r="L38" s="64">
        <f>SUM(I38*0.1)</f>
        <v>0</v>
      </c>
      <c r="M38" s="60">
        <f>I38*0.07</f>
        <v>0</v>
      </c>
      <c r="N38" s="180">
        <f>SUM(I38:M38)</f>
        <v>0</v>
      </c>
      <c r="O38" s="181"/>
      <c r="P38" s="311"/>
      <c r="Q38" s="311"/>
      <c r="R38" s="311"/>
      <c r="S38" s="311"/>
      <c r="T38" s="65" t="str">
        <f>IF(N38&lt;150000,"3",IF(N38&lt;500000,"2",IF(N38&gt;500000,"1")))</f>
        <v>3</v>
      </c>
      <c r="U38" s="65"/>
      <c r="V38" s="311"/>
      <c r="W38" s="311"/>
      <c r="X38" s="311"/>
      <c r="Y38" s="14">
        <f>SUM(P38:X38)/8</f>
        <v>0</v>
      </c>
      <c r="Z38" s="311"/>
      <c r="AA38" s="311"/>
      <c r="AB38" s="311"/>
      <c r="AC38" s="311"/>
      <c r="AD38" s="311"/>
      <c r="AE38" s="311"/>
      <c r="AF38" s="311"/>
      <c r="AG38" s="311"/>
      <c r="AH38" s="311"/>
      <c r="AI38" s="311"/>
      <c r="AJ38" s="311"/>
      <c r="AK38" s="311"/>
    </row>
    <row r="39" spans="1:37">
      <c r="A39" s="35"/>
      <c r="B39" s="35"/>
      <c r="C39" s="6"/>
      <c r="D39" s="5"/>
      <c r="E39" s="6"/>
      <c r="F39" s="74"/>
      <c r="G39" s="5"/>
      <c r="H39" s="5"/>
      <c r="I39" s="311"/>
      <c r="J39" s="64">
        <f>I39*0.1</f>
        <v>0</v>
      </c>
      <c r="K39" s="64"/>
      <c r="L39" s="64">
        <f>SUM(I39*0.1)</f>
        <v>0</v>
      </c>
      <c r="M39" s="60">
        <f>I39*0.07</f>
        <v>0</v>
      </c>
      <c r="N39" s="180">
        <f>SUM(I39:M39)</f>
        <v>0</v>
      </c>
      <c r="O39" s="181"/>
      <c r="P39" s="311"/>
      <c r="Q39" s="311"/>
      <c r="R39" s="311"/>
      <c r="S39" s="311"/>
      <c r="T39" s="65" t="str">
        <f>IF(N39&lt;150000,"3",IF(N39&lt;500000,"2",IF(N39&gt;500000,"1")))</f>
        <v>3</v>
      </c>
      <c r="U39" s="65"/>
      <c r="V39" s="311"/>
      <c r="W39" s="311"/>
      <c r="X39" s="311"/>
      <c r="Y39" s="14">
        <f>SUM(P39:X39)/8</f>
        <v>0</v>
      </c>
      <c r="Z39" s="311"/>
      <c r="AA39" s="311"/>
      <c r="AB39" s="311"/>
      <c r="AC39" s="311"/>
      <c r="AD39" s="311"/>
      <c r="AE39" s="311"/>
      <c r="AF39" s="311"/>
      <c r="AG39" s="311"/>
      <c r="AH39" s="311"/>
      <c r="AI39" s="311"/>
      <c r="AJ39" s="311"/>
      <c r="AK39" s="311"/>
    </row>
    <row r="40" spans="1:37">
      <c r="A40" s="35"/>
      <c r="B40" s="35"/>
      <c r="C40" s="6"/>
      <c r="D40" s="5"/>
      <c r="E40" s="6"/>
      <c r="F40" s="74"/>
      <c r="G40" s="5"/>
      <c r="H40" s="5"/>
      <c r="I40" s="311"/>
      <c r="J40" s="64">
        <f>I40*0.1</f>
        <v>0</v>
      </c>
      <c r="K40" s="64"/>
      <c r="L40" s="64">
        <f>SUM(I40*0.1)</f>
        <v>0</v>
      </c>
      <c r="M40" s="60">
        <f>I40*0.07</f>
        <v>0</v>
      </c>
      <c r="N40" s="180">
        <f>SUM(I40:M40)</f>
        <v>0</v>
      </c>
      <c r="O40" s="181"/>
      <c r="P40" s="311"/>
      <c r="Q40" s="311"/>
      <c r="R40" s="311"/>
      <c r="S40" s="311"/>
      <c r="T40" s="65" t="str">
        <f>IF(N40&lt;150000,"3",IF(N40&lt;500000,"2",IF(N40&gt;500000,"1")))</f>
        <v>3</v>
      </c>
      <c r="U40" s="65"/>
      <c r="V40" s="311"/>
      <c r="W40" s="311"/>
      <c r="X40" s="311"/>
      <c r="Y40" s="14">
        <f>SUM(P40:X40)/8</f>
        <v>0</v>
      </c>
      <c r="Z40" s="311"/>
      <c r="AA40" s="311"/>
      <c r="AB40" s="311"/>
      <c r="AC40" s="311"/>
      <c r="AD40" s="311"/>
      <c r="AE40" s="311"/>
      <c r="AF40" s="311"/>
      <c r="AG40" s="311"/>
      <c r="AH40" s="311"/>
      <c r="AI40" s="311"/>
      <c r="AJ40" s="311"/>
      <c r="AK40" s="311"/>
    </row>
    <row r="41" spans="1:37">
      <c r="A41" s="35"/>
      <c r="B41" s="35"/>
      <c r="C41" s="6"/>
      <c r="D41" s="5"/>
      <c r="E41" s="6"/>
      <c r="F41" s="74"/>
      <c r="G41" s="5"/>
      <c r="H41" s="5"/>
      <c r="I41" s="311"/>
      <c r="J41" s="64">
        <f>I41*0.1</f>
        <v>0</v>
      </c>
      <c r="K41" s="64"/>
      <c r="L41" s="64">
        <f>SUM(I41*0.1)</f>
        <v>0</v>
      </c>
      <c r="M41" s="60">
        <f>I41*0.07</f>
        <v>0</v>
      </c>
      <c r="N41" s="180">
        <f>SUM(I41:M41)</f>
        <v>0</v>
      </c>
      <c r="O41" s="181"/>
      <c r="P41" s="311"/>
      <c r="Q41" s="311"/>
      <c r="R41" s="311"/>
      <c r="S41" s="311"/>
      <c r="T41" s="65" t="str">
        <f>IF(N41&lt;150000,"3",IF(N41&lt;500000,"2",IF(N41&gt;500000,"1")))</f>
        <v>3</v>
      </c>
      <c r="U41" s="65"/>
      <c r="V41" s="311"/>
      <c r="W41" s="311"/>
      <c r="X41" s="311"/>
      <c r="Y41" s="14">
        <f>SUM(P41:X41)/8</f>
        <v>0</v>
      </c>
      <c r="Z41" s="311"/>
      <c r="AA41" s="311"/>
      <c r="AB41" s="311"/>
      <c r="AC41" s="311"/>
      <c r="AD41" s="311"/>
      <c r="AE41" s="311"/>
      <c r="AF41" s="311"/>
      <c r="AG41" s="311"/>
      <c r="AH41" s="311"/>
      <c r="AI41" s="311"/>
      <c r="AJ41" s="311"/>
      <c r="AK41" s="311"/>
    </row>
    <row r="42" spans="1:37">
      <c r="A42" s="35"/>
      <c r="B42" s="179"/>
      <c r="C42" s="6"/>
      <c r="D42" s="6"/>
      <c r="E42" s="6"/>
      <c r="F42" s="5"/>
      <c r="G42" s="5"/>
      <c r="H42" s="5"/>
      <c r="I42" s="311"/>
      <c r="J42" s="311"/>
      <c r="K42" s="311"/>
      <c r="L42" s="311"/>
      <c r="M42" s="311"/>
      <c r="N42" s="311"/>
      <c r="O42" s="311"/>
      <c r="P42" s="311"/>
      <c r="Q42" s="311"/>
      <c r="R42" s="311"/>
      <c r="S42" s="311"/>
      <c r="T42" s="311"/>
      <c r="U42" s="65"/>
      <c r="V42" s="311"/>
      <c r="W42" s="311"/>
      <c r="X42" s="311"/>
      <c r="Y42" s="14"/>
      <c r="Z42" s="311"/>
      <c r="AA42" s="311"/>
      <c r="AB42" s="311"/>
      <c r="AC42" s="311"/>
      <c r="AD42" s="311"/>
      <c r="AE42" s="311"/>
      <c r="AF42" s="311"/>
      <c r="AG42" s="311"/>
      <c r="AH42" s="311"/>
      <c r="AI42" s="311"/>
      <c r="AJ42" s="311"/>
      <c r="AK42" s="311"/>
    </row>
    <row r="43" spans="1:37" ht="15">
      <c r="A43" s="311"/>
      <c r="B43" s="311"/>
      <c r="D43" s="311"/>
      <c r="F43" s="311"/>
      <c r="G43" s="311"/>
      <c r="H43" s="311"/>
      <c r="I43" s="311"/>
      <c r="J43" s="311"/>
      <c r="K43" s="311"/>
      <c r="L43" s="311"/>
      <c r="M43" s="311"/>
      <c r="N43" s="311"/>
      <c r="O43" s="311"/>
      <c r="P43" s="311"/>
      <c r="Q43" s="311"/>
      <c r="R43" s="311"/>
      <c r="S43" s="311"/>
      <c r="T43" s="311"/>
      <c r="U43" s="311"/>
      <c r="V43" s="311"/>
      <c r="W43" s="311"/>
      <c r="X43" s="311"/>
      <c r="Y43" s="311"/>
      <c r="Z43" s="311"/>
      <c r="AA43" s="311"/>
      <c r="AB43" s="311"/>
      <c r="AC43" s="311"/>
      <c r="AD43" s="311"/>
      <c r="AE43" s="311"/>
      <c r="AF43" s="311"/>
      <c r="AG43" s="311"/>
      <c r="AH43" s="311"/>
      <c r="AI43" s="311"/>
      <c r="AJ43" s="311"/>
      <c r="AK43" s="311"/>
    </row>
  </sheetData>
  <mergeCells count="6">
    <mergeCell ref="B2:Y2"/>
    <mergeCell ref="AB16:AB18"/>
    <mergeCell ref="AB19:AK19"/>
    <mergeCell ref="AB2:AK2"/>
    <mergeCell ref="AB4:AB10"/>
    <mergeCell ref="AB12:AB14"/>
  </mergeCells>
  <phoneticPr fontId="5" type="noConversion"/>
  <printOptions horizontalCentered="1"/>
  <pageMargins left="0.7" right="0.7" top="0.75" bottom="0.75" header="0.3" footer="0.3"/>
  <pageSetup scale="27" fitToHeight="0" orientation="landscape" horizontalDpi="1200" verticalDpi="1200" r:id="rId1"/>
  <headerFooter>
    <oddFooter>&amp;L&amp;P of &amp;N</oddFooter>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A6645-A178-41AB-8D9E-5B1B0FCA45D1}">
  <sheetPr>
    <pageSetUpPr fitToPage="1"/>
  </sheetPr>
  <dimension ref="A1:AF47"/>
  <sheetViews>
    <sheetView zoomScale="90" zoomScaleNormal="90" workbookViewId="0">
      <pane xSplit="3" ySplit="3" topLeftCell="D10" activePane="bottomRight" state="frozen"/>
      <selection pane="bottomRight" activeCell="C15" sqref="C15"/>
      <selection pane="bottomLeft" activeCell="A4" sqref="A4"/>
      <selection pane="topRight" activeCell="D1" sqref="D1"/>
    </sheetView>
  </sheetViews>
  <sheetFormatPr defaultRowHeight="14.45"/>
  <cols>
    <col min="1" max="1" width="15.28515625" customWidth="1"/>
    <col min="2" max="2" width="38.28515625" style="1" customWidth="1"/>
    <col min="3" max="3" width="22.28515625" customWidth="1"/>
    <col min="4" max="4" width="64.28515625" style="1" customWidth="1"/>
    <col min="5" max="5" width="27.5703125" style="200" customWidth="1"/>
    <col min="6" max="6" width="15.5703125" style="200" customWidth="1"/>
    <col min="7" max="7" width="15.5703125" customWidth="1"/>
    <col min="8" max="9" width="15.7109375" customWidth="1"/>
    <col min="10" max="10" width="13.85546875" customWidth="1"/>
    <col min="11" max="11" width="15.7109375" customWidth="1"/>
    <col min="12" max="17" width="15.5703125" customWidth="1"/>
    <col min="18" max="18" width="15.5703125" style="200" customWidth="1"/>
    <col min="19" max="21" width="15.5703125" customWidth="1"/>
    <col min="23" max="24" width="15.5703125" customWidth="1"/>
    <col min="25" max="25" width="15.5703125" style="1" customWidth="1"/>
    <col min="26" max="26" width="16" customWidth="1"/>
    <col min="27" max="27" width="15.5703125" style="1" customWidth="1"/>
    <col min="28" max="32" width="15.5703125" customWidth="1"/>
  </cols>
  <sheetData>
    <row r="1" spans="1:32">
      <c r="A1" s="311"/>
      <c r="C1" s="1"/>
      <c r="G1" s="311"/>
      <c r="H1" s="311"/>
      <c r="I1" s="311"/>
      <c r="J1" s="311"/>
      <c r="K1" s="311"/>
      <c r="L1" s="311"/>
      <c r="M1" s="311"/>
      <c r="N1" s="311"/>
      <c r="O1" s="311"/>
      <c r="P1" s="311"/>
      <c r="Q1" s="311"/>
      <c r="S1" s="311"/>
      <c r="T1" s="311"/>
      <c r="U1" s="311"/>
      <c r="V1" s="311"/>
      <c r="W1" s="311"/>
      <c r="X1" s="311"/>
      <c r="Z1" s="311"/>
      <c r="AB1" s="311"/>
      <c r="AC1" s="311"/>
      <c r="AD1" s="311"/>
      <c r="AE1" s="311"/>
      <c r="AF1" s="311"/>
    </row>
    <row r="2" spans="1:32" ht="18">
      <c r="A2" s="347" t="s">
        <v>502</v>
      </c>
      <c r="B2" s="347"/>
      <c r="C2" s="347"/>
      <c r="D2" s="347"/>
      <c r="E2" s="347"/>
      <c r="F2" s="347"/>
      <c r="G2" s="347"/>
      <c r="H2" s="347"/>
      <c r="I2" s="347"/>
      <c r="J2" s="347"/>
      <c r="K2" s="347"/>
      <c r="L2" s="347"/>
      <c r="M2" s="347"/>
      <c r="N2" s="347"/>
      <c r="O2" s="347"/>
      <c r="P2" s="347"/>
      <c r="Q2" s="347"/>
      <c r="R2" s="347"/>
      <c r="S2" s="347"/>
      <c r="T2" s="347"/>
      <c r="U2" s="347"/>
      <c r="V2" s="311"/>
      <c r="W2" s="311"/>
      <c r="X2" s="311"/>
      <c r="Z2" s="311"/>
      <c r="AB2" s="311"/>
      <c r="AC2" s="311"/>
      <c r="AD2" s="311"/>
      <c r="AE2" s="311"/>
      <c r="AF2" s="311"/>
    </row>
    <row r="3" spans="1:32" ht="43.15">
      <c r="A3" s="3" t="s">
        <v>2</v>
      </c>
      <c r="B3" s="207" t="s">
        <v>265</v>
      </c>
      <c r="C3" s="207" t="s">
        <v>361</v>
      </c>
      <c r="D3" s="207" t="s">
        <v>7</v>
      </c>
      <c r="E3" s="208" t="s">
        <v>266</v>
      </c>
      <c r="F3" s="208" t="s">
        <v>362</v>
      </c>
      <c r="G3" s="207" t="s">
        <v>363</v>
      </c>
      <c r="H3" s="207" t="s">
        <v>364</v>
      </c>
      <c r="I3" s="207" t="s">
        <v>22</v>
      </c>
      <c r="J3" s="207" t="s">
        <v>365</v>
      </c>
      <c r="K3" s="207" t="s">
        <v>23</v>
      </c>
      <c r="L3" s="56" t="s">
        <v>503</v>
      </c>
      <c r="M3" s="56" t="s">
        <v>504</v>
      </c>
      <c r="N3" s="56" t="s">
        <v>505</v>
      </c>
      <c r="O3" s="56" t="s">
        <v>506</v>
      </c>
      <c r="P3" s="56" t="s">
        <v>31</v>
      </c>
      <c r="Q3" s="56" t="s">
        <v>32</v>
      </c>
      <c r="R3" s="209" t="s">
        <v>369</v>
      </c>
      <c r="S3" s="57" t="s">
        <v>33</v>
      </c>
      <c r="T3" s="58" t="s">
        <v>34</v>
      </c>
      <c r="U3" s="207" t="s">
        <v>35</v>
      </c>
      <c r="V3" s="311"/>
      <c r="W3" s="376" t="s">
        <v>507</v>
      </c>
      <c r="X3" s="377"/>
      <c r="Y3" s="377"/>
      <c r="Z3" s="377"/>
      <c r="AA3" s="377"/>
      <c r="AB3" s="377"/>
      <c r="AC3" s="377"/>
      <c r="AD3" s="377"/>
      <c r="AE3" s="377"/>
      <c r="AF3" s="378"/>
    </row>
    <row r="4" spans="1:32" ht="43.15">
      <c r="A4" s="179" t="s">
        <v>508</v>
      </c>
      <c r="B4" s="6" t="s">
        <v>509</v>
      </c>
      <c r="C4" s="5"/>
      <c r="D4" s="6" t="s">
        <v>510</v>
      </c>
      <c r="E4" s="60"/>
      <c r="F4" s="60">
        <v>3200000</v>
      </c>
      <c r="G4" s="201">
        <f t="shared" ref="G4:G16" si="0">F4*0.1</f>
        <v>320000</v>
      </c>
      <c r="H4" s="201">
        <v>100000</v>
      </c>
      <c r="I4" s="201">
        <f t="shared" ref="I4:I16" si="1">SUM(F4*0.1)</f>
        <v>320000</v>
      </c>
      <c r="J4" s="201">
        <f t="shared" ref="J4:J16" si="2">F4*0.07</f>
        <v>224000.00000000003</v>
      </c>
      <c r="K4" s="202">
        <f t="shared" ref="K4:K10" si="3">SUM(F4:J4)</f>
        <v>4164000</v>
      </c>
      <c r="L4" s="13">
        <v>3</v>
      </c>
      <c r="M4" s="8">
        <v>3</v>
      </c>
      <c r="N4" s="8">
        <v>3</v>
      </c>
      <c r="O4" s="8">
        <v>3</v>
      </c>
      <c r="P4" s="8">
        <v>1</v>
      </c>
      <c r="Q4" s="8">
        <v>3</v>
      </c>
      <c r="R4" s="64">
        <v>2</v>
      </c>
      <c r="S4" s="8">
        <v>2</v>
      </c>
      <c r="T4" s="8">
        <v>1</v>
      </c>
      <c r="U4" s="9">
        <f t="shared" ref="U4:U14" si="4">SUM(L4:T4)/6</f>
        <v>3.5</v>
      </c>
      <c r="V4" s="311"/>
      <c r="W4" s="32" t="s">
        <v>36</v>
      </c>
      <c r="X4" s="26" t="s">
        <v>503</v>
      </c>
      <c r="Y4" s="26" t="s">
        <v>504</v>
      </c>
      <c r="Z4" s="26" t="s">
        <v>505</v>
      </c>
      <c r="AA4" s="26" t="s">
        <v>506</v>
      </c>
      <c r="AB4" s="26" t="s">
        <v>31</v>
      </c>
      <c r="AC4" s="26" t="s">
        <v>32</v>
      </c>
      <c r="AD4" s="49" t="s">
        <v>369</v>
      </c>
      <c r="AE4" s="49" t="s">
        <v>33</v>
      </c>
      <c r="AF4" s="33" t="s">
        <v>34</v>
      </c>
    </row>
    <row r="5" spans="1:32" ht="57.6">
      <c r="A5" s="179" t="s">
        <v>511</v>
      </c>
      <c r="B5" s="6" t="s">
        <v>512</v>
      </c>
      <c r="C5" s="6"/>
      <c r="D5" s="6" t="s">
        <v>513</v>
      </c>
      <c r="E5" s="64"/>
      <c r="F5" s="64">
        <v>5500000</v>
      </c>
      <c r="G5" s="201">
        <f t="shared" si="0"/>
        <v>550000</v>
      </c>
      <c r="H5" s="201">
        <v>10000</v>
      </c>
      <c r="I5" s="201">
        <f t="shared" si="1"/>
        <v>550000</v>
      </c>
      <c r="J5" s="201">
        <f t="shared" si="2"/>
        <v>385000.00000000006</v>
      </c>
      <c r="K5" s="202">
        <f t="shared" si="3"/>
        <v>6995000</v>
      </c>
      <c r="L5" s="13">
        <v>3</v>
      </c>
      <c r="M5" s="8">
        <v>3</v>
      </c>
      <c r="N5" s="8">
        <v>3</v>
      </c>
      <c r="O5" s="8">
        <v>3</v>
      </c>
      <c r="P5" s="8">
        <v>1</v>
      </c>
      <c r="Q5" s="8">
        <v>3</v>
      </c>
      <c r="R5" s="64">
        <v>2</v>
      </c>
      <c r="S5" s="8">
        <v>2</v>
      </c>
      <c r="T5" s="8">
        <v>1</v>
      </c>
      <c r="U5" s="9">
        <f t="shared" si="4"/>
        <v>3.5</v>
      </c>
      <c r="V5" s="311"/>
      <c r="W5" s="379" t="s">
        <v>48</v>
      </c>
      <c r="X5" s="25" t="s">
        <v>62</v>
      </c>
      <c r="Y5" s="25" t="s">
        <v>514</v>
      </c>
      <c r="Z5" s="25" t="s">
        <v>515</v>
      </c>
      <c r="AA5" s="25" t="s">
        <v>516</v>
      </c>
      <c r="AB5" s="25" t="s">
        <v>53</v>
      </c>
      <c r="AC5" s="50" t="s">
        <v>380</v>
      </c>
      <c r="AD5" s="50" t="s">
        <v>381</v>
      </c>
      <c r="AE5" s="50" t="s">
        <v>55</v>
      </c>
      <c r="AF5" s="27" t="s">
        <v>56</v>
      </c>
    </row>
    <row r="6" spans="1:32" ht="57.6">
      <c r="A6" s="179" t="s">
        <v>517</v>
      </c>
      <c r="B6" s="6" t="s">
        <v>518</v>
      </c>
      <c r="C6" s="5"/>
      <c r="D6" s="6" t="s">
        <v>519</v>
      </c>
      <c r="E6" s="60">
        <v>75000</v>
      </c>
      <c r="F6" s="60">
        <v>750000</v>
      </c>
      <c r="G6" s="201">
        <f t="shared" si="0"/>
        <v>75000</v>
      </c>
      <c r="H6" s="201">
        <v>0</v>
      </c>
      <c r="I6" s="201">
        <f t="shared" si="1"/>
        <v>75000</v>
      </c>
      <c r="J6" s="201">
        <f t="shared" si="2"/>
        <v>52500.000000000007</v>
      </c>
      <c r="K6" s="202">
        <f t="shared" si="3"/>
        <v>952500</v>
      </c>
      <c r="L6" s="13">
        <v>3</v>
      </c>
      <c r="M6" s="8">
        <v>3</v>
      </c>
      <c r="N6" s="8">
        <v>3</v>
      </c>
      <c r="O6" s="8">
        <v>3</v>
      </c>
      <c r="P6" s="8">
        <v>1</v>
      </c>
      <c r="Q6" s="8">
        <v>3</v>
      </c>
      <c r="R6" s="64">
        <v>3</v>
      </c>
      <c r="S6" s="8">
        <v>1</v>
      </c>
      <c r="T6" s="8">
        <v>1</v>
      </c>
      <c r="U6" s="9">
        <f t="shared" si="4"/>
        <v>3.5</v>
      </c>
      <c r="V6" s="311"/>
      <c r="W6" s="380"/>
      <c r="X6" s="25" t="s">
        <v>139</v>
      </c>
      <c r="Y6" s="25" t="s">
        <v>50</v>
      </c>
      <c r="Z6" s="25" t="s">
        <v>520</v>
      </c>
      <c r="AA6" s="25" t="s">
        <v>521</v>
      </c>
      <c r="AB6" s="25"/>
      <c r="AC6" s="50"/>
      <c r="AD6" s="50" t="s">
        <v>522</v>
      </c>
      <c r="AE6" s="50"/>
      <c r="AF6" s="27"/>
    </row>
    <row r="7" spans="1:32" ht="28.9">
      <c r="A7" s="179" t="s">
        <v>523</v>
      </c>
      <c r="B7" s="6" t="s">
        <v>524</v>
      </c>
      <c r="C7" s="5"/>
      <c r="D7" s="6" t="s">
        <v>525</v>
      </c>
      <c r="E7" s="60"/>
      <c r="F7" s="60">
        <v>1000000</v>
      </c>
      <c r="G7" s="201">
        <f t="shared" si="0"/>
        <v>100000</v>
      </c>
      <c r="H7" s="201"/>
      <c r="I7" s="201">
        <f t="shared" si="1"/>
        <v>100000</v>
      </c>
      <c r="J7" s="201">
        <f t="shared" si="2"/>
        <v>70000</v>
      </c>
      <c r="K7" s="202">
        <f t="shared" si="3"/>
        <v>1270000</v>
      </c>
      <c r="L7" s="13">
        <v>3</v>
      </c>
      <c r="M7" s="8">
        <v>3</v>
      </c>
      <c r="N7" s="8">
        <v>3</v>
      </c>
      <c r="O7" s="8">
        <v>3</v>
      </c>
      <c r="P7" s="8">
        <v>1</v>
      </c>
      <c r="Q7" s="8">
        <v>2</v>
      </c>
      <c r="R7" s="64">
        <v>2</v>
      </c>
      <c r="S7" s="8">
        <v>2</v>
      </c>
      <c r="T7" s="8">
        <v>1</v>
      </c>
      <c r="U7" s="9">
        <f t="shared" si="4"/>
        <v>3.3333333333333335</v>
      </c>
      <c r="V7" s="311"/>
      <c r="W7" s="380"/>
      <c r="X7" s="21"/>
      <c r="Y7" s="21" t="s">
        <v>526</v>
      </c>
      <c r="Z7" s="21" t="s">
        <v>527</v>
      </c>
      <c r="AA7" s="21"/>
      <c r="AB7" s="21"/>
      <c r="AC7" s="51"/>
      <c r="AD7" s="51"/>
      <c r="AE7" s="51"/>
      <c r="AF7" s="28"/>
    </row>
    <row r="8" spans="1:32" ht="43.15">
      <c r="A8" s="179" t="s">
        <v>528</v>
      </c>
      <c r="B8" s="6" t="s">
        <v>529</v>
      </c>
      <c r="C8" s="6"/>
      <c r="D8" s="6" t="s">
        <v>530</v>
      </c>
      <c r="E8" s="60"/>
      <c r="F8" s="60">
        <v>2500000</v>
      </c>
      <c r="G8" s="201">
        <f t="shared" si="0"/>
        <v>250000</v>
      </c>
      <c r="H8" s="201"/>
      <c r="I8" s="201">
        <f t="shared" si="1"/>
        <v>250000</v>
      </c>
      <c r="J8" s="201">
        <f t="shared" si="2"/>
        <v>175000.00000000003</v>
      </c>
      <c r="K8" s="202">
        <f t="shared" si="3"/>
        <v>3175000</v>
      </c>
      <c r="L8" s="13">
        <v>3</v>
      </c>
      <c r="M8" s="8">
        <v>3</v>
      </c>
      <c r="N8" s="8">
        <v>1</v>
      </c>
      <c r="O8" s="8">
        <v>3</v>
      </c>
      <c r="P8" s="8">
        <v>1</v>
      </c>
      <c r="Q8" s="8">
        <v>3</v>
      </c>
      <c r="R8" s="64">
        <v>1</v>
      </c>
      <c r="S8" s="8">
        <v>2</v>
      </c>
      <c r="T8" s="8">
        <v>1</v>
      </c>
      <c r="U8" s="9">
        <f t="shared" si="4"/>
        <v>3</v>
      </c>
      <c r="V8" s="311"/>
      <c r="W8" s="380"/>
      <c r="X8" s="21"/>
      <c r="Y8" s="21"/>
      <c r="Z8" s="21"/>
      <c r="AA8" s="21"/>
      <c r="AB8" s="21"/>
      <c r="AC8" s="51"/>
      <c r="AD8" s="51"/>
      <c r="AE8" s="51"/>
      <c r="AF8" s="28"/>
    </row>
    <row r="9" spans="1:32" ht="28.9">
      <c r="A9" s="179" t="s">
        <v>531</v>
      </c>
      <c r="B9" s="6" t="s">
        <v>532</v>
      </c>
      <c r="C9" s="6"/>
      <c r="D9" s="6" t="s">
        <v>533</v>
      </c>
      <c r="E9" s="234"/>
      <c r="F9" s="60">
        <v>1000000</v>
      </c>
      <c r="G9" s="201">
        <f t="shared" si="0"/>
        <v>100000</v>
      </c>
      <c r="H9" s="201"/>
      <c r="I9" s="201">
        <f t="shared" si="1"/>
        <v>100000</v>
      </c>
      <c r="J9" s="201">
        <f t="shared" si="2"/>
        <v>70000</v>
      </c>
      <c r="K9" s="202">
        <f t="shared" si="3"/>
        <v>1270000</v>
      </c>
      <c r="L9" s="13">
        <v>3</v>
      </c>
      <c r="M9" s="8">
        <v>2</v>
      </c>
      <c r="N9" s="8">
        <v>2</v>
      </c>
      <c r="O9" s="8">
        <v>2</v>
      </c>
      <c r="P9" s="8">
        <v>1</v>
      </c>
      <c r="Q9" s="8">
        <v>2</v>
      </c>
      <c r="R9" s="64">
        <v>2</v>
      </c>
      <c r="S9" s="8">
        <v>1</v>
      </c>
      <c r="T9" s="8">
        <v>1</v>
      </c>
      <c r="U9" s="9">
        <f t="shared" si="4"/>
        <v>2.6666666666666665</v>
      </c>
      <c r="V9" s="311"/>
      <c r="W9" s="380"/>
      <c r="X9" s="21"/>
      <c r="Y9" s="21"/>
      <c r="Z9" s="21"/>
      <c r="AA9" s="21"/>
      <c r="AB9" s="21"/>
      <c r="AC9" s="51"/>
      <c r="AD9" s="51"/>
      <c r="AE9" s="51"/>
      <c r="AF9" s="28"/>
    </row>
    <row r="10" spans="1:32" ht="28.9">
      <c r="A10" s="179" t="s">
        <v>534</v>
      </c>
      <c r="B10" s="6" t="s">
        <v>535</v>
      </c>
      <c r="C10" s="6"/>
      <c r="D10" s="6" t="s">
        <v>536</v>
      </c>
      <c r="E10" s="234"/>
      <c r="F10" s="60">
        <v>1000000</v>
      </c>
      <c r="G10" s="203">
        <f t="shared" si="0"/>
        <v>100000</v>
      </c>
      <c r="H10" s="203"/>
      <c r="I10" s="203">
        <f t="shared" si="1"/>
        <v>100000</v>
      </c>
      <c r="J10" s="203">
        <f t="shared" si="2"/>
        <v>70000</v>
      </c>
      <c r="K10" s="204">
        <f t="shared" si="3"/>
        <v>1270000</v>
      </c>
      <c r="L10" s="13">
        <v>3</v>
      </c>
      <c r="M10" s="8">
        <v>2</v>
      </c>
      <c r="N10" s="8">
        <v>2</v>
      </c>
      <c r="O10" s="8">
        <v>2</v>
      </c>
      <c r="P10" s="8">
        <v>1</v>
      </c>
      <c r="Q10" s="8">
        <v>2</v>
      </c>
      <c r="R10" s="64">
        <v>2</v>
      </c>
      <c r="S10" s="8">
        <v>1</v>
      </c>
      <c r="T10" s="8">
        <v>1</v>
      </c>
      <c r="U10" s="9">
        <f t="shared" si="4"/>
        <v>2.6666666666666665</v>
      </c>
      <c r="V10" s="311"/>
      <c r="W10" s="380"/>
      <c r="X10" s="21"/>
      <c r="Y10" s="21"/>
      <c r="Z10" s="21"/>
      <c r="AA10" s="21"/>
      <c r="AB10" s="21"/>
      <c r="AC10" s="51"/>
      <c r="AD10" s="51"/>
      <c r="AE10" s="51"/>
      <c r="AF10" s="28"/>
    </row>
    <row r="11" spans="1:32" ht="28.9">
      <c r="A11" s="35" t="s">
        <v>537</v>
      </c>
      <c r="B11" s="6" t="s">
        <v>538</v>
      </c>
      <c r="C11" s="6"/>
      <c r="D11" s="6"/>
      <c r="E11" s="234"/>
      <c r="F11" s="60">
        <v>2500000</v>
      </c>
      <c r="G11" s="203">
        <f t="shared" si="0"/>
        <v>250000</v>
      </c>
      <c r="H11" s="203"/>
      <c r="I11" s="203">
        <f t="shared" si="1"/>
        <v>250000</v>
      </c>
      <c r="J11" s="203">
        <f t="shared" si="2"/>
        <v>175000.00000000003</v>
      </c>
      <c r="K11" s="204">
        <f>SUM(Table6[[#This Row],[Construction Estimate]:[Construction Management]])</f>
        <v>3175000</v>
      </c>
      <c r="L11" s="13">
        <v>3</v>
      </c>
      <c r="M11" s="8">
        <v>1</v>
      </c>
      <c r="N11" s="8">
        <v>2</v>
      </c>
      <c r="O11" s="8">
        <v>1</v>
      </c>
      <c r="P11" s="8">
        <v>1</v>
      </c>
      <c r="Q11" s="8">
        <v>3</v>
      </c>
      <c r="R11" s="64">
        <v>1</v>
      </c>
      <c r="S11" s="8">
        <v>3</v>
      </c>
      <c r="T11" s="8">
        <v>1</v>
      </c>
      <c r="U11" s="14">
        <f t="shared" si="4"/>
        <v>2.6666666666666665</v>
      </c>
      <c r="V11" s="311"/>
      <c r="W11" s="380"/>
      <c r="X11" s="21"/>
      <c r="Y11" s="21"/>
      <c r="Z11" s="21"/>
      <c r="AA11" s="21"/>
      <c r="AB11" s="21"/>
      <c r="AC11" s="51"/>
      <c r="AD11" s="51"/>
      <c r="AE11" s="51"/>
      <c r="AF11" s="28"/>
    </row>
    <row r="12" spans="1:32" ht="28.9">
      <c r="A12" s="35" t="s">
        <v>539</v>
      </c>
      <c r="B12" s="6" t="s">
        <v>540</v>
      </c>
      <c r="C12" s="6"/>
      <c r="D12" s="6" t="s">
        <v>541</v>
      </c>
      <c r="E12" s="234">
        <v>0</v>
      </c>
      <c r="F12" s="60">
        <v>600000</v>
      </c>
      <c r="G12" s="203">
        <f t="shared" si="0"/>
        <v>60000</v>
      </c>
      <c r="H12" s="203"/>
      <c r="I12" s="203">
        <f t="shared" si="1"/>
        <v>60000</v>
      </c>
      <c r="J12" s="203">
        <f t="shared" si="2"/>
        <v>42000.000000000007</v>
      </c>
      <c r="K12" s="204">
        <f>SUM(F12:J12)</f>
        <v>762000</v>
      </c>
      <c r="L12" s="13">
        <v>3</v>
      </c>
      <c r="M12" s="8">
        <v>2</v>
      </c>
      <c r="N12" s="8">
        <v>2</v>
      </c>
      <c r="O12" s="8">
        <v>1</v>
      </c>
      <c r="P12" s="8">
        <v>1</v>
      </c>
      <c r="Q12" s="8">
        <v>2</v>
      </c>
      <c r="R12" s="64">
        <v>2</v>
      </c>
      <c r="S12" s="8">
        <v>2</v>
      </c>
      <c r="T12" s="8">
        <v>1</v>
      </c>
      <c r="U12" s="14">
        <f t="shared" si="4"/>
        <v>2.6666666666666665</v>
      </c>
      <c r="V12" s="311"/>
      <c r="W12" s="34"/>
      <c r="X12" s="22"/>
      <c r="Y12" s="22"/>
      <c r="Z12" s="22"/>
      <c r="AA12" s="22"/>
      <c r="AB12" s="22"/>
      <c r="AC12" s="52"/>
      <c r="AD12" s="52"/>
      <c r="AE12" s="52"/>
      <c r="AF12" s="29"/>
    </row>
    <row r="13" spans="1:32" ht="28.9">
      <c r="A13" s="35" t="s">
        <v>542</v>
      </c>
      <c r="B13" s="6" t="s">
        <v>543</v>
      </c>
      <c r="C13" s="6"/>
      <c r="D13" s="6" t="s">
        <v>544</v>
      </c>
      <c r="E13" s="60">
        <v>100000</v>
      </c>
      <c r="F13" s="60">
        <v>400000</v>
      </c>
      <c r="G13" s="201">
        <f t="shared" si="0"/>
        <v>40000</v>
      </c>
      <c r="H13" s="201"/>
      <c r="I13" s="201">
        <f t="shared" si="1"/>
        <v>40000</v>
      </c>
      <c r="J13" s="201">
        <f t="shared" si="2"/>
        <v>28000.000000000004</v>
      </c>
      <c r="K13" s="202">
        <f>SUM(F13:J13)</f>
        <v>508000</v>
      </c>
      <c r="L13" s="13">
        <v>1</v>
      </c>
      <c r="M13" s="8">
        <v>2</v>
      </c>
      <c r="N13" s="8">
        <v>3</v>
      </c>
      <c r="O13" s="8">
        <v>3</v>
      </c>
      <c r="P13" s="8">
        <v>1</v>
      </c>
      <c r="Q13" s="8">
        <v>2</v>
      </c>
      <c r="R13" s="64">
        <v>1</v>
      </c>
      <c r="S13" s="8">
        <v>1</v>
      </c>
      <c r="T13" s="8">
        <v>1</v>
      </c>
      <c r="U13" s="14">
        <f t="shared" si="4"/>
        <v>2.5</v>
      </c>
      <c r="V13" s="311"/>
      <c r="W13" s="281"/>
      <c r="X13" s="22"/>
      <c r="Y13" s="22"/>
      <c r="Z13" s="22"/>
      <c r="AA13" s="22"/>
      <c r="AB13" s="22"/>
      <c r="AC13" s="52"/>
      <c r="AD13" s="52"/>
      <c r="AE13" s="52"/>
      <c r="AF13" s="29"/>
    </row>
    <row r="14" spans="1:32" ht="43.15">
      <c r="A14" s="35" t="s">
        <v>545</v>
      </c>
      <c r="B14" s="6" t="s">
        <v>546</v>
      </c>
      <c r="C14" s="6"/>
      <c r="D14" s="6" t="s">
        <v>547</v>
      </c>
      <c r="E14" s="64">
        <v>75000</v>
      </c>
      <c r="F14" s="64">
        <v>1500000</v>
      </c>
      <c r="G14" s="203">
        <f t="shared" si="0"/>
        <v>150000</v>
      </c>
      <c r="H14" s="203"/>
      <c r="I14" s="203">
        <f t="shared" si="1"/>
        <v>150000</v>
      </c>
      <c r="J14" s="203">
        <f t="shared" si="2"/>
        <v>105000.00000000001</v>
      </c>
      <c r="K14" s="204">
        <f>SUM(F14:J14)</f>
        <v>1905000</v>
      </c>
      <c r="L14" s="13">
        <v>1</v>
      </c>
      <c r="M14" s="8">
        <v>1</v>
      </c>
      <c r="N14" s="8">
        <v>1</v>
      </c>
      <c r="O14" s="8">
        <v>1</v>
      </c>
      <c r="P14" s="8">
        <v>1</v>
      </c>
      <c r="Q14" s="8">
        <v>1</v>
      </c>
      <c r="R14" s="64">
        <v>1</v>
      </c>
      <c r="S14" s="8">
        <v>1</v>
      </c>
      <c r="T14" s="8">
        <v>1</v>
      </c>
      <c r="U14" s="14">
        <f t="shared" si="4"/>
        <v>1.5</v>
      </c>
      <c r="V14" s="311"/>
      <c r="W14" s="381" t="s">
        <v>97</v>
      </c>
      <c r="X14" s="23" t="s">
        <v>47</v>
      </c>
      <c r="Y14" s="23" t="s">
        <v>548</v>
      </c>
      <c r="Z14" s="23" t="s">
        <v>549</v>
      </c>
      <c r="AA14" s="23" t="s">
        <v>550</v>
      </c>
      <c r="AB14" s="23" t="s">
        <v>102</v>
      </c>
      <c r="AC14" s="53" t="s">
        <v>103</v>
      </c>
      <c r="AD14" s="53" t="s">
        <v>419</v>
      </c>
      <c r="AE14" s="53" t="s">
        <v>104</v>
      </c>
      <c r="AF14" s="30" t="s">
        <v>105</v>
      </c>
    </row>
    <row r="15" spans="1:32" s="311" customFormat="1" ht="244.5">
      <c r="A15" s="35" t="s">
        <v>551</v>
      </c>
      <c r="B15" s="412" t="s">
        <v>552</v>
      </c>
      <c r="C15" s="6"/>
      <c r="D15" s="6" t="s">
        <v>553</v>
      </c>
      <c r="E15" s="60"/>
      <c r="F15" s="60"/>
      <c r="G15" s="201">
        <f>F15*0.1</f>
        <v>0</v>
      </c>
      <c r="H15" s="201"/>
      <c r="I15" s="201">
        <f>SUM(F15*0.1)</f>
        <v>0</v>
      </c>
      <c r="J15" s="201">
        <f>F15*0.07</f>
        <v>0</v>
      </c>
      <c r="K15" s="202">
        <f>SUM(F15:J15)</f>
        <v>0</v>
      </c>
      <c r="L15" s="13"/>
      <c r="M15" s="8"/>
      <c r="N15" s="8"/>
      <c r="O15" s="8"/>
      <c r="P15" s="8"/>
      <c r="Q15" s="8"/>
      <c r="R15" s="64"/>
      <c r="S15" s="411"/>
      <c r="T15" s="411"/>
      <c r="U15" s="14">
        <f>SUM(L15:T15)/6</f>
        <v>0</v>
      </c>
      <c r="W15" s="382"/>
      <c r="X15" s="23"/>
      <c r="Y15" s="23"/>
      <c r="Z15" s="23"/>
      <c r="AA15" s="23"/>
      <c r="AB15" s="23"/>
      <c r="AC15" s="53"/>
      <c r="AD15" s="53"/>
      <c r="AE15" s="53"/>
      <c r="AF15" s="30"/>
    </row>
    <row r="16" spans="1:32" ht="15.75" customHeight="1">
      <c r="A16" s="250"/>
      <c r="B16" s="251"/>
      <c r="C16" s="251"/>
      <c r="D16" s="252" t="s">
        <v>258</v>
      </c>
      <c r="E16" s="253"/>
      <c r="F16" s="249"/>
      <c r="G16" s="249">
        <f t="shared" si="0"/>
        <v>0</v>
      </c>
      <c r="H16" s="249"/>
      <c r="I16" s="249">
        <f t="shared" si="1"/>
        <v>0</v>
      </c>
      <c r="J16" s="249">
        <f t="shared" si="2"/>
        <v>0</v>
      </c>
      <c r="K16" s="249">
        <f>SUM(K4:K14)</f>
        <v>25446500</v>
      </c>
      <c r="L16" s="254"/>
      <c r="M16" s="255"/>
      <c r="N16" s="255"/>
      <c r="O16" s="255"/>
      <c r="P16" s="255"/>
      <c r="Q16" s="255"/>
      <c r="R16" s="244"/>
      <c r="S16" s="255"/>
      <c r="T16" s="255"/>
      <c r="U16" s="256"/>
      <c r="V16" s="311"/>
      <c r="W16" s="382"/>
      <c r="X16" s="23"/>
      <c r="Y16" s="23" t="s">
        <v>554</v>
      </c>
      <c r="Z16" s="23" t="s">
        <v>555</v>
      </c>
      <c r="AA16" s="23" t="s">
        <v>556</v>
      </c>
      <c r="AB16" s="23"/>
      <c r="AC16" s="53"/>
      <c r="AD16" s="53" t="s">
        <v>557</v>
      </c>
      <c r="AE16" s="53"/>
      <c r="AF16" s="30"/>
    </row>
    <row r="17" spans="1:32" ht="30.75">
      <c r="A17" s="35"/>
      <c r="B17" s="6"/>
      <c r="C17" s="6"/>
      <c r="D17" s="6"/>
      <c r="E17" s="74"/>
      <c r="F17" s="60"/>
      <c r="G17" s="311"/>
      <c r="H17" s="311"/>
      <c r="I17" s="311"/>
      <c r="J17" s="311"/>
      <c r="K17" s="311"/>
      <c r="L17" s="13"/>
      <c r="M17" s="8"/>
      <c r="N17" s="8"/>
      <c r="O17" s="8"/>
      <c r="P17" s="8"/>
      <c r="Q17" s="8"/>
      <c r="R17" s="64"/>
      <c r="S17" s="311"/>
      <c r="T17" s="311"/>
      <c r="U17" s="14"/>
      <c r="V17" s="311"/>
      <c r="W17" s="383"/>
      <c r="X17" s="23"/>
      <c r="Y17" s="23"/>
      <c r="Z17" s="23" t="s">
        <v>558</v>
      </c>
      <c r="AA17" s="23"/>
      <c r="AB17" s="23"/>
      <c r="AC17" s="53"/>
      <c r="AD17" s="53"/>
      <c r="AE17" s="53"/>
      <c r="AF17" s="30"/>
    </row>
    <row r="18" spans="1:32" ht="15">
      <c r="A18" s="35"/>
      <c r="B18" s="6"/>
      <c r="C18" s="5"/>
      <c r="D18" s="6"/>
      <c r="E18" s="75"/>
      <c r="F18" s="60"/>
      <c r="G18" s="311"/>
      <c r="H18" s="311"/>
      <c r="I18" s="311"/>
      <c r="J18" s="311"/>
      <c r="K18" s="311"/>
      <c r="L18" s="13"/>
      <c r="M18" s="8"/>
      <c r="N18" s="8"/>
      <c r="O18" s="8"/>
      <c r="P18" s="8"/>
      <c r="Q18" s="8"/>
      <c r="R18" s="64"/>
      <c r="S18" s="311"/>
      <c r="T18" s="311"/>
      <c r="U18" s="14"/>
      <c r="V18" s="311"/>
      <c r="W18" s="34"/>
      <c r="X18" s="22"/>
      <c r="Y18" s="22"/>
      <c r="Z18" s="22"/>
      <c r="AA18" s="22"/>
      <c r="AB18" s="22"/>
      <c r="AC18" s="52"/>
      <c r="AD18" s="52"/>
      <c r="AE18" s="52"/>
      <c r="AF18" s="29"/>
    </row>
    <row r="19" spans="1:32" ht="45.75">
      <c r="A19" s="35"/>
      <c r="B19" s="6"/>
      <c r="C19" s="5"/>
      <c r="D19" s="6"/>
      <c r="E19" s="75"/>
      <c r="F19" s="60"/>
      <c r="G19" s="311"/>
      <c r="H19" s="311"/>
      <c r="I19" s="311"/>
      <c r="J19" s="311"/>
      <c r="K19" s="311"/>
      <c r="L19" s="13"/>
      <c r="M19" s="8"/>
      <c r="N19" s="8"/>
      <c r="O19" s="8"/>
      <c r="P19" s="8"/>
      <c r="Q19" s="8"/>
      <c r="R19" s="64"/>
      <c r="S19" s="311"/>
      <c r="T19" s="311"/>
      <c r="U19" s="14"/>
      <c r="V19" s="311"/>
      <c r="W19" s="374" t="s">
        <v>127</v>
      </c>
      <c r="X19" s="24" t="s">
        <v>80</v>
      </c>
      <c r="Y19" s="24" t="s">
        <v>559</v>
      </c>
      <c r="Z19" s="24" t="s">
        <v>560</v>
      </c>
      <c r="AA19" s="24" t="s">
        <v>561</v>
      </c>
      <c r="AB19" s="24" t="s">
        <v>131</v>
      </c>
      <c r="AC19" s="54" t="s">
        <v>132</v>
      </c>
      <c r="AD19" s="54" t="s">
        <v>442</v>
      </c>
      <c r="AE19" s="54" t="s">
        <v>133</v>
      </c>
      <c r="AF19" s="31" t="s">
        <v>134</v>
      </c>
    </row>
    <row r="20" spans="1:32" ht="28.9">
      <c r="A20" s="35"/>
      <c r="B20" s="6"/>
      <c r="C20" s="6"/>
      <c r="D20" s="6"/>
      <c r="E20" s="74"/>
      <c r="F20" s="64"/>
      <c r="G20" s="311"/>
      <c r="H20" s="311"/>
      <c r="I20" s="311"/>
      <c r="J20" s="311"/>
      <c r="K20" s="311"/>
      <c r="L20" s="13"/>
      <c r="M20" s="8"/>
      <c r="N20" s="8"/>
      <c r="O20" s="8"/>
      <c r="P20" s="8"/>
      <c r="Q20" s="8"/>
      <c r="R20" s="64"/>
      <c r="S20" s="311"/>
      <c r="T20" s="311"/>
      <c r="U20" s="14"/>
      <c r="V20" s="311"/>
      <c r="W20" s="375"/>
      <c r="X20" s="37"/>
      <c r="Y20" s="24" t="s">
        <v>562</v>
      </c>
      <c r="Z20" s="24" t="s">
        <v>563</v>
      </c>
      <c r="AA20" s="24" t="s">
        <v>564</v>
      </c>
      <c r="AB20" s="24"/>
      <c r="AC20" s="37"/>
      <c r="AD20" s="54" t="s">
        <v>565</v>
      </c>
      <c r="AE20" s="55"/>
      <c r="AF20" s="38"/>
    </row>
    <row r="21" spans="1:32" ht="28.9">
      <c r="A21" s="35"/>
      <c r="B21" s="6"/>
      <c r="C21" s="6"/>
      <c r="D21" s="6"/>
      <c r="E21" s="74"/>
      <c r="F21" s="64"/>
      <c r="G21" s="311"/>
      <c r="H21" s="311"/>
      <c r="I21" s="311"/>
      <c r="J21" s="311"/>
      <c r="K21" s="311"/>
      <c r="L21" s="13"/>
      <c r="M21" s="8"/>
      <c r="N21" s="8"/>
      <c r="O21" s="8"/>
      <c r="P21" s="8"/>
      <c r="Q21" s="8"/>
      <c r="R21" s="64"/>
      <c r="S21" s="311"/>
      <c r="T21" s="311"/>
      <c r="U21" s="14"/>
      <c r="V21" s="311"/>
      <c r="W21" s="375"/>
      <c r="X21" s="37"/>
      <c r="Y21" s="24"/>
      <c r="Z21" s="24" t="s">
        <v>566</v>
      </c>
      <c r="AA21" s="24"/>
      <c r="AB21" s="24"/>
      <c r="AC21" s="37"/>
      <c r="AD21" s="55"/>
      <c r="AE21" s="55"/>
      <c r="AF21" s="38"/>
    </row>
    <row r="22" spans="1:32">
      <c r="A22" s="35"/>
      <c r="B22" s="6"/>
      <c r="C22" s="6"/>
      <c r="D22" s="6"/>
      <c r="E22" s="74"/>
      <c r="F22" s="60"/>
      <c r="G22" s="311"/>
      <c r="H22" s="311"/>
      <c r="I22" s="311"/>
      <c r="J22" s="311"/>
      <c r="K22" s="311"/>
      <c r="L22" s="13"/>
      <c r="M22" s="8"/>
      <c r="N22" s="8"/>
      <c r="O22" s="8"/>
      <c r="P22" s="8"/>
      <c r="Q22" s="8"/>
      <c r="R22" s="64"/>
      <c r="S22" s="311"/>
      <c r="T22" s="311"/>
      <c r="U22" s="14"/>
      <c r="V22" s="311"/>
      <c r="W22" s="356"/>
      <c r="X22" s="356"/>
      <c r="Y22" s="356"/>
      <c r="Z22" s="356"/>
      <c r="AA22" s="356"/>
      <c r="AB22" s="356"/>
      <c r="AC22" s="356"/>
      <c r="AD22" s="356"/>
      <c r="AE22" s="356"/>
      <c r="AF22" s="356"/>
    </row>
    <row r="23" spans="1:32">
      <c r="A23" s="35"/>
      <c r="B23" s="6"/>
      <c r="C23" s="6"/>
      <c r="D23" s="6"/>
      <c r="E23" s="74"/>
      <c r="F23" s="60"/>
      <c r="G23" s="311"/>
      <c r="H23" s="311"/>
      <c r="I23" s="311"/>
      <c r="J23" s="311"/>
      <c r="K23" s="311"/>
      <c r="L23" s="13"/>
      <c r="M23" s="8"/>
      <c r="N23" s="8"/>
      <c r="O23" s="8"/>
      <c r="P23" s="8"/>
      <c r="Q23" s="8"/>
      <c r="R23" s="64"/>
      <c r="S23" s="311"/>
      <c r="T23" s="311"/>
      <c r="U23" s="14"/>
      <c r="V23" s="311"/>
      <c r="W23" s="311"/>
      <c r="X23" s="311"/>
      <c r="Z23" s="311"/>
      <c r="AB23" s="311"/>
      <c r="AC23" s="311"/>
      <c r="AD23" s="311"/>
      <c r="AE23" s="311"/>
      <c r="AF23" s="311"/>
    </row>
    <row r="24" spans="1:32">
      <c r="A24" s="35"/>
      <c r="B24" s="6"/>
      <c r="C24" s="5"/>
      <c r="D24" s="6"/>
      <c r="E24" s="75"/>
      <c r="F24" s="60"/>
      <c r="G24" s="311"/>
      <c r="H24" s="311"/>
      <c r="I24" s="311"/>
      <c r="J24" s="311"/>
      <c r="K24" s="311"/>
      <c r="L24" s="13"/>
      <c r="M24" s="8"/>
      <c r="N24" s="8"/>
      <c r="O24" s="8"/>
      <c r="P24" s="8"/>
      <c r="Q24" s="8"/>
      <c r="R24" s="64"/>
      <c r="S24" s="311"/>
      <c r="T24" s="311"/>
      <c r="U24" s="14"/>
      <c r="V24" s="311"/>
      <c r="W24" s="311"/>
      <c r="X24" s="311"/>
      <c r="Z24" s="311"/>
      <c r="AB24" s="311"/>
      <c r="AC24" s="311"/>
      <c r="AD24" s="311"/>
      <c r="AE24" s="311"/>
      <c r="AF24" s="311"/>
    </row>
    <row r="25" spans="1:32">
      <c r="A25" s="35"/>
      <c r="B25" s="6"/>
      <c r="C25" s="6"/>
      <c r="D25" s="6"/>
      <c r="E25" s="74"/>
      <c r="F25" s="60"/>
      <c r="G25" s="311"/>
      <c r="H25" s="311"/>
      <c r="I25" s="311"/>
      <c r="J25" s="311"/>
      <c r="K25" s="311"/>
      <c r="L25" s="13"/>
      <c r="M25" s="8"/>
      <c r="N25" s="8"/>
      <c r="O25" s="8"/>
      <c r="P25" s="8"/>
      <c r="Q25" s="8"/>
      <c r="R25" s="64"/>
      <c r="S25" s="311"/>
      <c r="T25" s="311"/>
      <c r="U25" s="14"/>
      <c r="V25" s="311"/>
      <c r="W25" s="311"/>
      <c r="X25" s="311"/>
      <c r="Z25" s="311"/>
      <c r="AB25" s="311"/>
      <c r="AC25" s="311"/>
      <c r="AD25" s="311"/>
      <c r="AE25" s="311"/>
      <c r="AF25" s="311"/>
    </row>
    <row r="26" spans="1:32">
      <c r="A26" s="35"/>
      <c r="B26" s="6"/>
      <c r="C26" s="6"/>
      <c r="D26" s="6"/>
      <c r="E26" s="74"/>
      <c r="F26" s="60"/>
      <c r="G26" s="311"/>
      <c r="H26" s="311"/>
      <c r="I26" s="311"/>
      <c r="J26" s="311"/>
      <c r="K26" s="311"/>
      <c r="L26" s="13"/>
      <c r="M26" s="8"/>
      <c r="N26" s="8"/>
      <c r="O26" s="8"/>
      <c r="P26" s="8"/>
      <c r="Q26" s="8"/>
      <c r="R26" s="64"/>
      <c r="S26" s="311"/>
      <c r="T26" s="311"/>
      <c r="U26" s="14"/>
      <c r="V26" s="311"/>
      <c r="W26" s="311"/>
      <c r="X26" s="311"/>
      <c r="Z26" s="311"/>
      <c r="AB26" s="311"/>
      <c r="AC26" s="311"/>
      <c r="AD26" s="311"/>
      <c r="AE26" s="311"/>
      <c r="AF26" s="311"/>
    </row>
    <row r="27" spans="1:32">
      <c r="A27" s="35"/>
      <c r="B27" s="6"/>
      <c r="C27" s="5"/>
      <c r="D27" s="6"/>
      <c r="E27" s="75"/>
      <c r="F27" s="60"/>
      <c r="G27" s="311"/>
      <c r="H27" s="311"/>
      <c r="I27" s="311"/>
      <c r="J27" s="311"/>
      <c r="K27" s="311"/>
      <c r="L27" s="13"/>
      <c r="M27" s="8"/>
      <c r="N27" s="8"/>
      <c r="O27" s="8"/>
      <c r="P27" s="8"/>
      <c r="Q27" s="8"/>
      <c r="R27" s="64"/>
      <c r="S27" s="311"/>
      <c r="T27" s="311"/>
      <c r="U27" s="14"/>
      <c r="V27" s="311"/>
      <c r="W27" s="311"/>
      <c r="X27" s="311"/>
      <c r="Z27" s="311"/>
      <c r="AB27" s="311"/>
      <c r="AC27" s="311"/>
      <c r="AD27" s="311"/>
      <c r="AE27" s="311"/>
      <c r="AF27" s="311"/>
    </row>
    <row r="28" spans="1:32">
      <c r="A28" s="35"/>
      <c r="B28" s="6"/>
      <c r="C28" s="6"/>
      <c r="D28" s="6"/>
      <c r="E28" s="74"/>
      <c r="F28" s="60"/>
      <c r="G28" s="311"/>
      <c r="H28" s="311"/>
      <c r="I28" s="311"/>
      <c r="J28" s="311"/>
      <c r="K28" s="311"/>
      <c r="L28" s="13"/>
      <c r="M28" s="8"/>
      <c r="N28" s="8"/>
      <c r="O28" s="8"/>
      <c r="P28" s="8"/>
      <c r="Q28" s="8"/>
      <c r="R28" s="64"/>
      <c r="S28" s="311"/>
      <c r="T28" s="311"/>
      <c r="U28" s="14"/>
      <c r="V28" s="311"/>
      <c r="W28" s="311"/>
      <c r="X28" s="311"/>
      <c r="Z28" s="311"/>
      <c r="AB28" s="311"/>
      <c r="AC28" s="311"/>
      <c r="AD28" s="311"/>
      <c r="AE28" s="311"/>
      <c r="AF28" s="311"/>
    </row>
    <row r="29" spans="1:32">
      <c r="A29" s="35"/>
      <c r="B29" s="6"/>
      <c r="C29" s="6"/>
      <c r="D29" s="6"/>
      <c r="E29" s="74"/>
      <c r="F29" s="60"/>
      <c r="G29" s="311"/>
      <c r="H29" s="311"/>
      <c r="I29" s="311"/>
      <c r="J29" s="311"/>
      <c r="K29" s="311"/>
      <c r="L29" s="13"/>
      <c r="M29" s="8"/>
      <c r="N29" s="8"/>
      <c r="O29" s="8"/>
      <c r="P29" s="8"/>
      <c r="Q29" s="8"/>
      <c r="R29" s="64"/>
      <c r="S29" s="311"/>
      <c r="T29" s="311"/>
      <c r="U29" s="14"/>
      <c r="V29" s="311"/>
      <c r="W29" s="311"/>
      <c r="X29" s="311"/>
      <c r="Z29" s="311"/>
      <c r="AB29" s="311"/>
      <c r="AC29" s="311"/>
      <c r="AD29" s="311"/>
      <c r="AE29" s="311"/>
      <c r="AF29" s="311"/>
    </row>
    <row r="30" spans="1:32">
      <c r="A30" s="35"/>
      <c r="B30" s="6"/>
      <c r="C30" s="6"/>
      <c r="D30" s="6"/>
      <c r="E30" s="74"/>
      <c r="F30" s="60"/>
      <c r="G30" s="311"/>
      <c r="H30" s="311"/>
      <c r="I30" s="311"/>
      <c r="J30" s="311"/>
      <c r="K30" s="311"/>
      <c r="L30" s="13"/>
      <c r="M30" s="8"/>
      <c r="N30" s="8"/>
      <c r="O30" s="8"/>
      <c r="P30" s="8"/>
      <c r="Q30" s="8"/>
      <c r="R30" s="64"/>
      <c r="S30" s="311"/>
      <c r="T30" s="311"/>
      <c r="U30" s="14"/>
      <c r="V30" s="311"/>
      <c r="W30" s="311"/>
      <c r="X30" s="311"/>
      <c r="Z30" s="311"/>
      <c r="AB30" s="311"/>
      <c r="AC30" s="311"/>
      <c r="AD30" s="311"/>
      <c r="AE30" s="311"/>
      <c r="AF30" s="311"/>
    </row>
    <row r="31" spans="1:32">
      <c r="A31" s="35"/>
      <c r="B31" s="6"/>
      <c r="C31" s="6"/>
      <c r="D31" s="6"/>
      <c r="E31" s="74"/>
      <c r="F31" s="60"/>
      <c r="G31" s="311"/>
      <c r="H31" s="311"/>
      <c r="I31" s="311"/>
      <c r="J31" s="311"/>
      <c r="K31" s="311"/>
      <c r="L31" s="13"/>
      <c r="M31" s="8"/>
      <c r="N31" s="8"/>
      <c r="O31" s="8"/>
      <c r="P31" s="8"/>
      <c r="Q31" s="8"/>
      <c r="R31" s="64"/>
      <c r="S31" s="311"/>
      <c r="T31" s="311"/>
      <c r="U31" s="14"/>
      <c r="V31" s="311"/>
      <c r="W31" s="311"/>
      <c r="X31" s="311"/>
      <c r="Z31" s="311"/>
      <c r="AB31" s="311"/>
      <c r="AC31" s="311"/>
      <c r="AD31" s="311"/>
      <c r="AE31" s="311"/>
      <c r="AF31" s="311"/>
    </row>
    <row r="32" spans="1:32">
      <c r="A32" s="35"/>
      <c r="B32" s="6"/>
      <c r="C32" s="6"/>
      <c r="D32" s="6"/>
      <c r="E32" s="74"/>
      <c r="F32" s="64"/>
      <c r="G32" s="311"/>
      <c r="H32" s="311"/>
      <c r="I32" s="311"/>
      <c r="J32" s="311"/>
      <c r="K32" s="311"/>
      <c r="L32" s="13"/>
      <c r="M32" s="8"/>
      <c r="N32" s="8"/>
      <c r="O32" s="8"/>
      <c r="P32" s="8"/>
      <c r="Q32" s="8"/>
      <c r="R32" s="64"/>
      <c r="S32" s="311"/>
      <c r="T32" s="311"/>
      <c r="U32" s="14"/>
      <c r="V32" s="311"/>
      <c r="W32" s="311"/>
      <c r="X32" s="311"/>
      <c r="Z32" s="311"/>
      <c r="AB32" s="311"/>
      <c r="AC32" s="311"/>
      <c r="AD32" s="311"/>
      <c r="AE32" s="311"/>
      <c r="AF32" s="311"/>
    </row>
    <row r="33" spans="1:32">
      <c r="A33" s="35"/>
      <c r="B33" s="6"/>
      <c r="C33" s="5"/>
      <c r="D33" s="6"/>
      <c r="E33" s="75"/>
      <c r="F33" s="60"/>
      <c r="G33" s="311"/>
      <c r="H33" s="311"/>
      <c r="I33" s="311"/>
      <c r="J33" s="311"/>
      <c r="K33" s="311"/>
      <c r="L33" s="13"/>
      <c r="M33" s="8"/>
      <c r="N33" s="8"/>
      <c r="O33" s="8"/>
      <c r="P33" s="8"/>
      <c r="Q33" s="8"/>
      <c r="R33" s="64"/>
      <c r="S33" s="311"/>
      <c r="T33" s="311"/>
      <c r="U33" s="14"/>
      <c r="V33" s="311"/>
      <c r="W33" s="311"/>
      <c r="X33" s="311"/>
      <c r="Z33" s="311"/>
      <c r="AB33" s="311"/>
      <c r="AC33" s="311"/>
      <c r="AD33" s="311"/>
      <c r="AE33" s="311"/>
      <c r="AF33" s="311"/>
    </row>
    <row r="34" spans="1:32">
      <c r="A34" s="35"/>
      <c r="B34" s="6"/>
      <c r="C34" s="6"/>
      <c r="D34" s="6"/>
      <c r="E34" s="74"/>
      <c r="F34" s="64"/>
      <c r="G34" s="311"/>
      <c r="H34" s="311"/>
      <c r="I34" s="311"/>
      <c r="J34" s="311"/>
      <c r="K34" s="311"/>
      <c r="L34" s="13"/>
      <c r="M34" s="8"/>
      <c r="N34" s="8"/>
      <c r="O34" s="8"/>
      <c r="P34" s="8"/>
      <c r="Q34" s="8"/>
      <c r="R34" s="64"/>
      <c r="S34" s="311"/>
      <c r="T34" s="311"/>
      <c r="U34" s="14"/>
      <c r="V34" s="311"/>
      <c r="W34" s="311"/>
      <c r="X34" s="311"/>
      <c r="Z34" s="311"/>
      <c r="AB34" s="311"/>
      <c r="AC34" s="311"/>
      <c r="AD34" s="311"/>
      <c r="AE34" s="311"/>
      <c r="AF34" s="311"/>
    </row>
    <row r="35" spans="1:32">
      <c r="A35" s="35"/>
      <c r="B35" s="6"/>
      <c r="C35" s="5"/>
      <c r="D35" s="6"/>
      <c r="E35" s="75"/>
      <c r="F35" s="60"/>
      <c r="G35" s="311"/>
      <c r="H35" s="311"/>
      <c r="I35" s="311"/>
      <c r="J35" s="311"/>
      <c r="K35" s="311"/>
      <c r="L35" s="13"/>
      <c r="M35" s="8"/>
      <c r="N35" s="8"/>
      <c r="O35" s="8"/>
      <c r="P35" s="8"/>
      <c r="Q35" s="8"/>
      <c r="R35" s="64"/>
      <c r="S35" s="311"/>
      <c r="T35" s="311"/>
      <c r="U35" s="14"/>
      <c r="V35" s="311"/>
      <c r="W35" s="311"/>
      <c r="X35" s="311"/>
      <c r="Z35" s="311"/>
      <c r="AB35" s="311"/>
      <c r="AC35" s="311"/>
      <c r="AD35" s="311"/>
      <c r="AE35" s="311"/>
      <c r="AF35" s="311"/>
    </row>
    <row r="36" spans="1:32">
      <c r="A36" s="35"/>
      <c r="B36" s="6"/>
      <c r="C36" s="5"/>
      <c r="D36" s="6"/>
      <c r="E36" s="75"/>
      <c r="F36" s="60"/>
      <c r="G36" s="311"/>
      <c r="H36" s="311"/>
      <c r="I36" s="311"/>
      <c r="J36" s="311"/>
      <c r="K36" s="311"/>
      <c r="L36" s="13"/>
      <c r="M36" s="8"/>
      <c r="N36" s="8"/>
      <c r="O36" s="8"/>
      <c r="P36" s="8"/>
      <c r="Q36" s="8"/>
      <c r="R36" s="64"/>
      <c r="S36" s="311"/>
      <c r="T36" s="311"/>
      <c r="U36" s="14"/>
      <c r="V36" s="311"/>
      <c r="W36" s="311"/>
      <c r="X36" s="311"/>
      <c r="Z36" s="311"/>
      <c r="AB36" s="311"/>
      <c r="AC36" s="311"/>
      <c r="AD36" s="311"/>
      <c r="AE36" s="311"/>
      <c r="AF36" s="311"/>
    </row>
    <row r="37" spans="1:32">
      <c r="A37" s="35"/>
      <c r="B37" s="6"/>
      <c r="C37" s="6"/>
      <c r="D37" s="6"/>
      <c r="E37" s="74"/>
      <c r="F37" s="60"/>
      <c r="G37" s="311"/>
      <c r="H37" s="311"/>
      <c r="I37" s="311"/>
      <c r="J37" s="311"/>
      <c r="K37" s="311"/>
      <c r="L37" s="13"/>
      <c r="M37" s="8"/>
      <c r="N37" s="8"/>
      <c r="O37" s="8"/>
      <c r="P37" s="8"/>
      <c r="Q37" s="8"/>
      <c r="R37" s="64"/>
      <c r="S37" s="311"/>
      <c r="T37" s="311"/>
      <c r="U37" s="14"/>
      <c r="V37" s="311"/>
      <c r="W37" s="311"/>
      <c r="X37" s="311"/>
      <c r="Z37" s="311"/>
      <c r="AB37" s="311"/>
      <c r="AC37" s="311"/>
      <c r="AD37" s="311"/>
      <c r="AE37" s="311"/>
      <c r="AF37" s="311"/>
    </row>
    <row r="38" spans="1:32">
      <c r="A38" s="35"/>
      <c r="B38" s="6"/>
      <c r="C38" s="5"/>
      <c r="D38" s="6"/>
      <c r="E38" s="75"/>
      <c r="F38" s="60"/>
      <c r="G38" s="311"/>
      <c r="H38" s="311"/>
      <c r="I38" s="311"/>
      <c r="J38" s="311"/>
      <c r="K38" s="311"/>
      <c r="L38" s="13"/>
      <c r="M38" s="8"/>
      <c r="N38" s="8"/>
      <c r="O38" s="8"/>
      <c r="P38" s="8"/>
      <c r="Q38" s="8"/>
      <c r="R38" s="64"/>
      <c r="S38" s="311"/>
      <c r="T38" s="311"/>
      <c r="U38" s="14"/>
      <c r="V38" s="311"/>
      <c r="W38" s="311"/>
      <c r="X38" s="311"/>
      <c r="Z38" s="311"/>
      <c r="AB38" s="311"/>
      <c r="AC38" s="311"/>
      <c r="AD38" s="311"/>
      <c r="AE38" s="311"/>
      <c r="AF38" s="311"/>
    </row>
    <row r="39" spans="1:32">
      <c r="A39" s="35"/>
      <c r="B39" s="6"/>
      <c r="C39" s="6"/>
      <c r="D39" s="6"/>
      <c r="E39" s="74"/>
      <c r="F39" s="60"/>
      <c r="G39" s="311"/>
      <c r="H39" s="311"/>
      <c r="I39" s="311"/>
      <c r="J39" s="311"/>
      <c r="K39" s="311"/>
      <c r="L39" s="13"/>
      <c r="M39" s="8"/>
      <c r="N39" s="8"/>
      <c r="O39" s="8"/>
      <c r="P39" s="8"/>
      <c r="Q39" s="8"/>
      <c r="R39" s="64"/>
      <c r="S39" s="311"/>
      <c r="T39" s="311"/>
      <c r="U39" s="14"/>
      <c r="V39" s="311"/>
      <c r="W39" s="311"/>
      <c r="X39" s="311"/>
      <c r="Z39" s="311"/>
      <c r="AB39" s="311"/>
      <c r="AC39" s="311"/>
      <c r="AD39" s="311"/>
      <c r="AE39" s="311"/>
      <c r="AF39" s="311"/>
    </row>
    <row r="40" spans="1:32">
      <c r="A40" s="35"/>
      <c r="B40" s="6"/>
      <c r="C40" s="5"/>
      <c r="D40" s="6"/>
      <c r="E40" s="75"/>
      <c r="F40" s="60"/>
      <c r="G40" s="311"/>
      <c r="H40" s="311"/>
      <c r="I40" s="311"/>
      <c r="J40" s="311"/>
      <c r="K40" s="311"/>
      <c r="L40" s="13"/>
      <c r="M40" s="8"/>
      <c r="N40" s="8"/>
      <c r="O40" s="8"/>
      <c r="P40" s="8"/>
      <c r="Q40" s="8"/>
      <c r="R40" s="64"/>
      <c r="S40" s="311"/>
      <c r="T40" s="311"/>
      <c r="U40" s="14"/>
      <c r="V40" s="311"/>
      <c r="W40" s="311"/>
      <c r="X40" s="311"/>
      <c r="Z40" s="311"/>
      <c r="AB40" s="311"/>
      <c r="AC40" s="311"/>
      <c r="AD40" s="311"/>
      <c r="AE40" s="311"/>
      <c r="AF40" s="311"/>
    </row>
    <row r="41" spans="1:32">
      <c r="A41" s="35"/>
      <c r="B41" s="6"/>
      <c r="C41" s="6"/>
      <c r="D41" s="6"/>
      <c r="E41" s="74"/>
      <c r="F41" s="60"/>
      <c r="G41" s="311"/>
      <c r="H41" s="311"/>
      <c r="I41" s="311"/>
      <c r="J41" s="311"/>
      <c r="K41" s="311"/>
      <c r="L41" s="13"/>
      <c r="M41" s="8"/>
      <c r="N41" s="8"/>
      <c r="O41" s="8"/>
      <c r="P41" s="8"/>
      <c r="Q41" s="8"/>
      <c r="R41" s="64"/>
      <c r="S41" s="311"/>
      <c r="T41" s="311"/>
      <c r="U41" s="14"/>
      <c r="V41" s="311"/>
      <c r="W41" s="311"/>
      <c r="X41" s="311"/>
      <c r="Z41" s="311"/>
      <c r="AB41" s="311"/>
      <c r="AC41" s="311"/>
      <c r="AD41" s="311"/>
      <c r="AE41" s="311"/>
      <c r="AF41" s="311"/>
    </row>
    <row r="42" spans="1:32">
      <c r="A42" s="35"/>
      <c r="B42" s="6"/>
      <c r="C42" s="5"/>
      <c r="D42" s="6"/>
      <c r="E42" s="75"/>
      <c r="F42" s="60"/>
      <c r="G42" s="311"/>
      <c r="H42" s="311"/>
      <c r="I42" s="311"/>
      <c r="J42" s="311"/>
      <c r="K42" s="311"/>
      <c r="L42" s="13"/>
      <c r="M42" s="8"/>
      <c r="N42" s="8"/>
      <c r="O42" s="8"/>
      <c r="P42" s="8"/>
      <c r="Q42" s="8"/>
      <c r="R42" s="64"/>
      <c r="S42" s="311"/>
      <c r="T42" s="311"/>
      <c r="U42" s="14"/>
      <c r="V42" s="311"/>
      <c r="W42" s="311"/>
      <c r="X42" s="311"/>
      <c r="Z42" s="311"/>
      <c r="AB42" s="311"/>
      <c r="AC42" s="311"/>
      <c r="AD42" s="311"/>
      <c r="AE42" s="311"/>
      <c r="AF42" s="311"/>
    </row>
    <row r="43" spans="1:32">
      <c r="A43" s="35"/>
      <c r="B43" s="6"/>
      <c r="C43" s="6"/>
      <c r="D43" s="6"/>
      <c r="E43" s="74"/>
      <c r="F43" s="60"/>
      <c r="G43" s="311"/>
      <c r="H43" s="311"/>
      <c r="I43" s="311"/>
      <c r="J43" s="311"/>
      <c r="K43" s="311"/>
      <c r="L43" s="13"/>
      <c r="M43" s="8"/>
      <c r="N43" s="8"/>
      <c r="O43" s="8"/>
      <c r="P43" s="8"/>
      <c r="Q43" s="8"/>
      <c r="R43" s="64"/>
      <c r="S43" s="311"/>
      <c r="T43" s="311"/>
      <c r="U43" s="14"/>
      <c r="V43" s="311"/>
      <c r="W43" s="311"/>
      <c r="X43" s="311"/>
      <c r="Z43" s="311"/>
      <c r="AB43" s="311"/>
      <c r="AC43" s="311"/>
      <c r="AD43" s="311"/>
      <c r="AE43" s="311"/>
      <c r="AF43" s="311"/>
    </row>
    <row r="44" spans="1:32">
      <c r="A44" s="35"/>
      <c r="B44" s="6"/>
      <c r="C44" s="6"/>
      <c r="D44" s="6"/>
      <c r="E44" s="74"/>
      <c r="F44" s="60"/>
      <c r="G44" s="311"/>
      <c r="H44" s="311"/>
      <c r="I44" s="311"/>
      <c r="J44" s="311"/>
      <c r="K44" s="311"/>
      <c r="L44" s="13"/>
      <c r="M44" s="8"/>
      <c r="N44" s="8"/>
      <c r="O44" s="8"/>
      <c r="P44" s="8"/>
      <c r="Q44" s="8"/>
      <c r="R44" s="64"/>
      <c r="S44" s="311"/>
      <c r="T44" s="311"/>
      <c r="U44" s="14"/>
      <c r="V44" s="311"/>
      <c r="W44" s="311"/>
      <c r="X44" s="311"/>
      <c r="Z44" s="311"/>
      <c r="AB44" s="311"/>
      <c r="AC44" s="311"/>
      <c r="AD44" s="311"/>
      <c r="AE44" s="311"/>
      <c r="AF44" s="311"/>
    </row>
    <row r="45" spans="1:32">
      <c r="A45" s="35"/>
      <c r="B45" s="6"/>
      <c r="C45" s="6"/>
      <c r="D45" s="6"/>
      <c r="E45" s="74"/>
      <c r="F45" s="60"/>
      <c r="G45" s="311"/>
      <c r="H45" s="311"/>
      <c r="I45" s="311"/>
      <c r="J45" s="311"/>
      <c r="K45" s="311"/>
      <c r="L45" s="13"/>
      <c r="M45" s="8"/>
      <c r="N45" s="8"/>
      <c r="O45" s="8"/>
      <c r="P45" s="8"/>
      <c r="Q45" s="8"/>
      <c r="R45" s="64"/>
      <c r="S45" s="311"/>
      <c r="T45" s="311"/>
      <c r="U45" s="14"/>
      <c r="V45" s="311"/>
      <c r="W45" s="311"/>
      <c r="X45" s="311"/>
      <c r="Z45" s="311"/>
      <c r="AB45" s="311"/>
      <c r="AC45" s="311"/>
      <c r="AD45" s="311"/>
      <c r="AE45" s="311"/>
      <c r="AF45" s="311"/>
    </row>
    <row r="46" spans="1:32">
      <c r="A46" s="35"/>
      <c r="B46" s="6"/>
      <c r="C46" s="6"/>
      <c r="D46" s="6"/>
      <c r="E46" s="74"/>
      <c r="F46" s="64"/>
      <c r="G46" s="311"/>
      <c r="H46" s="311"/>
      <c r="I46" s="311"/>
      <c r="J46" s="311"/>
      <c r="K46" s="311"/>
      <c r="L46" s="13"/>
      <c r="M46" s="8"/>
      <c r="N46" s="8"/>
      <c r="O46" s="8"/>
      <c r="P46" s="8"/>
      <c r="Q46" s="8"/>
      <c r="R46" s="64"/>
      <c r="S46" s="311"/>
      <c r="T46" s="311"/>
      <c r="U46" s="14"/>
      <c r="V46" s="311"/>
      <c r="W46" s="311"/>
      <c r="X46" s="311"/>
      <c r="Z46" s="311"/>
      <c r="AB46" s="311"/>
      <c r="AC46" s="311"/>
      <c r="AD46" s="311"/>
      <c r="AE46" s="311"/>
      <c r="AF46" s="311"/>
    </row>
    <row r="47" spans="1:32">
      <c r="A47" s="35"/>
      <c r="B47" s="6"/>
      <c r="C47" s="6"/>
      <c r="D47" s="6"/>
      <c r="E47" s="74"/>
      <c r="F47" s="60"/>
      <c r="G47" s="311"/>
      <c r="H47" s="311"/>
      <c r="I47" s="311"/>
      <c r="J47" s="311"/>
      <c r="K47" s="311"/>
      <c r="L47" s="13"/>
      <c r="M47" s="8"/>
      <c r="N47" s="8"/>
      <c r="O47" s="8"/>
      <c r="P47" s="8"/>
      <c r="Q47" s="8"/>
      <c r="R47" s="64"/>
      <c r="S47" s="311"/>
      <c r="T47" s="311"/>
      <c r="U47" s="14"/>
      <c r="V47" s="311"/>
      <c r="W47" s="311"/>
      <c r="X47" s="311"/>
      <c r="Z47" s="311"/>
      <c r="AB47" s="311"/>
      <c r="AC47" s="311"/>
      <c r="AD47" s="311"/>
      <c r="AE47" s="311"/>
      <c r="AF47" s="311"/>
    </row>
  </sheetData>
  <mergeCells count="6">
    <mergeCell ref="W19:W21"/>
    <mergeCell ref="W22:AF22"/>
    <mergeCell ref="A2:U2"/>
    <mergeCell ref="W3:AF3"/>
    <mergeCell ref="W5:W11"/>
    <mergeCell ref="W14:W17"/>
  </mergeCells>
  <phoneticPr fontId="5" type="noConversion"/>
  <printOptions horizontalCentered="1"/>
  <pageMargins left="0.7" right="0.7" top="0.75" bottom="0.75" header="0.3" footer="0.3"/>
  <pageSetup scale="29" orientation="landscape"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95E5-101C-4958-8DEF-9F740CF97DF7}">
  <sheetPr>
    <pageSetUpPr fitToPage="1"/>
  </sheetPr>
  <dimension ref="A1:AH52"/>
  <sheetViews>
    <sheetView zoomScale="85" zoomScaleNormal="85" workbookViewId="0">
      <pane xSplit="3" ySplit="3" topLeftCell="D14" activePane="bottomRight" state="frozen"/>
      <selection pane="bottomRight" activeCell="A23" sqref="A23"/>
      <selection pane="bottomLeft" activeCell="A4" sqref="A4"/>
      <selection pane="topRight" activeCell="D1" sqref="D1"/>
    </sheetView>
  </sheetViews>
  <sheetFormatPr defaultRowHeight="14.45"/>
  <cols>
    <col min="1" max="1" width="15.28515625" customWidth="1"/>
    <col min="2" max="2" width="31.28515625" style="1" customWidth="1"/>
    <col min="3" max="3" width="22.28515625" customWidth="1"/>
    <col min="4" max="4" width="64.85546875" style="1" customWidth="1"/>
    <col min="5" max="5" width="27.5703125" customWidth="1"/>
    <col min="6" max="6" width="20" style="1" customWidth="1"/>
    <col min="7" max="12" width="15.7109375" customWidth="1"/>
    <col min="13" max="16" width="15.5703125" customWidth="1"/>
    <col min="17" max="17" width="15.5703125" style="200" customWidth="1"/>
    <col min="18" max="21" width="15.5703125" customWidth="1"/>
    <col min="22" max="22" width="15.5703125" style="200" customWidth="1"/>
    <col min="23" max="23" width="15.5703125" style="199" customWidth="1"/>
    <col min="25" max="26" width="15.5703125" customWidth="1"/>
    <col min="27" max="27" width="15.5703125" style="1" customWidth="1"/>
    <col min="28" max="28" width="15.5703125" customWidth="1"/>
    <col min="29" max="29" width="15.5703125" style="1" customWidth="1"/>
    <col min="30" max="34" width="15.5703125" customWidth="1"/>
  </cols>
  <sheetData>
    <row r="1" spans="1:34">
      <c r="A1" s="311"/>
      <c r="C1" s="1"/>
      <c r="E1" s="311"/>
      <c r="G1" s="311"/>
      <c r="H1" s="311"/>
      <c r="I1" s="311"/>
      <c r="J1" s="311"/>
      <c r="K1" s="311"/>
      <c r="L1" s="311"/>
      <c r="M1" s="311"/>
      <c r="N1" s="311"/>
      <c r="O1" s="311"/>
      <c r="P1" s="311"/>
      <c r="R1" s="311"/>
      <c r="S1" s="311"/>
      <c r="T1" s="311"/>
      <c r="U1" s="311"/>
      <c r="X1" s="311"/>
      <c r="Y1" s="311"/>
      <c r="Z1" s="311"/>
      <c r="AB1" s="311"/>
      <c r="AD1" s="311"/>
      <c r="AE1" s="311"/>
      <c r="AF1" s="311"/>
      <c r="AG1" s="311"/>
      <c r="AH1" s="311"/>
    </row>
    <row r="2" spans="1:34" ht="18">
      <c r="A2" s="384" t="s">
        <v>567</v>
      </c>
      <c r="B2" s="385"/>
      <c r="C2" s="385"/>
      <c r="D2" s="385"/>
      <c r="E2" s="385"/>
      <c r="F2" s="385"/>
      <c r="G2" s="385"/>
      <c r="H2" s="385"/>
      <c r="I2" s="385"/>
      <c r="J2" s="385"/>
      <c r="K2" s="385"/>
      <c r="L2" s="385"/>
      <c r="M2" s="385"/>
      <c r="N2" s="385"/>
      <c r="O2" s="385"/>
      <c r="P2" s="385"/>
      <c r="Q2" s="385"/>
      <c r="R2" s="385"/>
      <c r="S2" s="385"/>
      <c r="T2" s="385"/>
      <c r="U2" s="385"/>
      <c r="V2" s="385"/>
      <c r="W2" s="386"/>
      <c r="X2" s="311"/>
      <c r="Y2" s="311"/>
      <c r="Z2" s="311"/>
      <c r="AB2" s="311"/>
      <c r="AD2" s="311"/>
      <c r="AE2" s="311"/>
      <c r="AF2" s="311"/>
      <c r="AG2" s="311"/>
      <c r="AH2" s="311"/>
    </row>
    <row r="3" spans="1:34" ht="28.9">
      <c r="A3" s="186" t="s">
        <v>2</v>
      </c>
      <c r="B3" s="3" t="s">
        <v>265</v>
      </c>
      <c r="C3" s="3" t="s">
        <v>361</v>
      </c>
      <c r="D3" s="3" t="s">
        <v>7</v>
      </c>
      <c r="E3" s="187" t="s">
        <v>8</v>
      </c>
      <c r="F3" s="3" t="s">
        <v>9</v>
      </c>
      <c r="G3" s="187" t="s">
        <v>266</v>
      </c>
      <c r="H3" s="3" t="s">
        <v>362</v>
      </c>
      <c r="I3" s="3" t="s">
        <v>363</v>
      </c>
      <c r="J3" s="3" t="s">
        <v>364</v>
      </c>
      <c r="K3" s="3" t="s">
        <v>22</v>
      </c>
      <c r="L3" s="3" t="s">
        <v>365</v>
      </c>
      <c r="M3" s="3" t="s">
        <v>23</v>
      </c>
      <c r="N3" s="235" t="s">
        <v>568</v>
      </c>
      <c r="O3" s="235" t="s">
        <v>506</v>
      </c>
      <c r="P3" s="235" t="s">
        <v>505</v>
      </c>
      <c r="Q3" s="236" t="s">
        <v>569</v>
      </c>
      <c r="R3" s="235" t="s">
        <v>31</v>
      </c>
      <c r="S3" s="235" t="s">
        <v>32</v>
      </c>
      <c r="T3" s="237" t="s">
        <v>369</v>
      </c>
      <c r="U3" s="237" t="s">
        <v>33</v>
      </c>
      <c r="V3" s="238" t="s">
        <v>34</v>
      </c>
      <c r="W3" s="206" t="s">
        <v>35</v>
      </c>
      <c r="X3" s="311"/>
      <c r="Y3" s="376" t="s">
        <v>570</v>
      </c>
      <c r="Z3" s="377"/>
      <c r="AA3" s="377"/>
      <c r="AB3" s="377"/>
      <c r="AC3" s="377"/>
      <c r="AD3" s="377"/>
      <c r="AE3" s="377"/>
      <c r="AF3" s="377"/>
      <c r="AG3" s="377"/>
      <c r="AH3" s="378"/>
    </row>
    <row r="4" spans="1:34" ht="39" customHeight="1">
      <c r="A4" s="239" t="s">
        <v>571</v>
      </c>
      <c r="B4" s="240" t="s">
        <v>572</v>
      </c>
      <c r="C4" s="240"/>
      <c r="D4" s="240" t="s">
        <v>573</v>
      </c>
      <c r="E4" s="241"/>
      <c r="F4" s="154"/>
      <c r="G4" s="153"/>
      <c r="H4" s="242"/>
      <c r="I4" s="242">
        <v>30000</v>
      </c>
      <c r="J4" s="242"/>
      <c r="K4" s="242">
        <f>SUM(H4*0.1)</f>
        <v>0</v>
      </c>
      <c r="L4" s="243">
        <f>H4*0.07</f>
        <v>0</v>
      </c>
      <c r="M4" s="244">
        <f>SUM(H4:L4)</f>
        <v>30000</v>
      </c>
      <c r="N4" s="245">
        <v>3</v>
      </c>
      <c r="O4" s="245">
        <v>3</v>
      </c>
      <c r="P4" s="245">
        <v>3</v>
      </c>
      <c r="Q4" s="242">
        <v>2</v>
      </c>
      <c r="R4" s="245">
        <v>3</v>
      </c>
      <c r="S4" s="245">
        <v>3</v>
      </c>
      <c r="T4" s="245">
        <v>3</v>
      </c>
      <c r="U4" s="245">
        <v>1</v>
      </c>
      <c r="V4" s="243">
        <v>1</v>
      </c>
      <c r="W4" s="246">
        <f>SUM(N4:V4)/9</f>
        <v>2.4444444444444446</v>
      </c>
      <c r="X4" s="233"/>
      <c r="Y4" s="32" t="s">
        <v>36</v>
      </c>
      <c r="Z4" s="26" t="s">
        <v>568</v>
      </c>
      <c r="AA4" s="26" t="s">
        <v>506</v>
      </c>
      <c r="AB4" s="26" t="s">
        <v>505</v>
      </c>
      <c r="AC4" s="26" t="s">
        <v>569</v>
      </c>
      <c r="AD4" s="26" t="s">
        <v>31</v>
      </c>
      <c r="AE4" s="26" t="s">
        <v>32</v>
      </c>
      <c r="AF4" s="49" t="s">
        <v>369</v>
      </c>
      <c r="AG4" s="49" t="s">
        <v>33</v>
      </c>
      <c r="AH4" s="33" t="s">
        <v>34</v>
      </c>
    </row>
    <row r="5" spans="1:34" ht="76.5">
      <c r="A5" s="35" t="s">
        <v>574</v>
      </c>
      <c r="B5" s="6" t="s">
        <v>575</v>
      </c>
      <c r="C5" s="6"/>
      <c r="D5" s="6" t="s">
        <v>576</v>
      </c>
      <c r="E5" s="5"/>
      <c r="G5" s="311"/>
      <c r="H5" s="64">
        <v>50000</v>
      </c>
      <c r="I5" s="64">
        <f>H5*0.1</f>
        <v>5000</v>
      </c>
      <c r="J5" s="64"/>
      <c r="K5" s="64">
        <f>SUM(H5*0.1)</f>
        <v>5000</v>
      </c>
      <c r="L5" s="60">
        <f>H5*0.07</f>
        <v>3500.0000000000005</v>
      </c>
      <c r="M5" s="180">
        <f>SUM(H5:L5)</f>
        <v>63500</v>
      </c>
      <c r="N5" s="8">
        <v>3</v>
      </c>
      <c r="O5" s="8">
        <v>2</v>
      </c>
      <c r="P5" s="8">
        <v>3</v>
      </c>
      <c r="Q5" s="64">
        <v>3</v>
      </c>
      <c r="R5" s="8">
        <v>3</v>
      </c>
      <c r="S5" s="8">
        <v>2</v>
      </c>
      <c r="T5" s="8">
        <v>1</v>
      </c>
      <c r="U5" s="8">
        <v>1</v>
      </c>
      <c r="V5" s="60">
        <v>1</v>
      </c>
      <c r="W5" s="247">
        <f>SUM(N5:V5)/9</f>
        <v>2.1111111111111112</v>
      </c>
      <c r="X5" s="311"/>
      <c r="Y5" s="379" t="s">
        <v>48</v>
      </c>
      <c r="Z5" s="25" t="s">
        <v>577</v>
      </c>
      <c r="AA5" s="25" t="s">
        <v>578</v>
      </c>
      <c r="AB5" s="25" t="s">
        <v>579</v>
      </c>
      <c r="AC5" s="25" t="s">
        <v>580</v>
      </c>
      <c r="AD5" s="25" t="s">
        <v>53</v>
      </c>
      <c r="AE5" s="50" t="s">
        <v>380</v>
      </c>
      <c r="AF5" s="50" t="s">
        <v>381</v>
      </c>
      <c r="AG5" s="50" t="s">
        <v>55</v>
      </c>
      <c r="AH5" s="27" t="s">
        <v>56</v>
      </c>
    </row>
    <row r="6" spans="1:34" ht="60.75">
      <c r="A6" s="35" t="s">
        <v>581</v>
      </c>
      <c r="B6" s="6" t="s">
        <v>582</v>
      </c>
      <c r="C6" s="6"/>
      <c r="D6" s="6" t="s">
        <v>583</v>
      </c>
      <c r="E6" s="5"/>
      <c r="G6" s="311"/>
      <c r="H6" s="64">
        <f>1200*30</f>
        <v>36000</v>
      </c>
      <c r="I6" s="64">
        <f>H6*0.1</f>
        <v>3600</v>
      </c>
      <c r="J6" s="64"/>
      <c r="K6" s="64">
        <f>SUM(H6*0.1)</f>
        <v>3600</v>
      </c>
      <c r="L6" s="60">
        <f>H6*0.07</f>
        <v>2520.0000000000005</v>
      </c>
      <c r="M6" s="180">
        <f>SUM(H6:L6)</f>
        <v>45720</v>
      </c>
      <c r="N6" s="8">
        <v>3</v>
      </c>
      <c r="O6" s="8">
        <v>3</v>
      </c>
      <c r="P6" s="8">
        <v>3</v>
      </c>
      <c r="Q6" s="64">
        <v>2</v>
      </c>
      <c r="R6" s="8">
        <v>3</v>
      </c>
      <c r="S6" s="8">
        <v>2</v>
      </c>
      <c r="T6" s="8">
        <v>1</v>
      </c>
      <c r="U6" s="8">
        <v>1</v>
      </c>
      <c r="V6" s="60">
        <v>1</v>
      </c>
      <c r="W6" s="247">
        <f>SUM(N6:V6)/9</f>
        <v>2.1111111111111112</v>
      </c>
      <c r="X6" s="311"/>
      <c r="Y6" s="380"/>
      <c r="Z6" s="25" t="s">
        <v>584</v>
      </c>
      <c r="AA6" s="25"/>
      <c r="AB6" s="25" t="s">
        <v>585</v>
      </c>
      <c r="AC6" s="25" t="s">
        <v>586</v>
      </c>
      <c r="AD6" s="25"/>
      <c r="AE6" s="50"/>
      <c r="AF6" s="50"/>
      <c r="AG6" s="50"/>
      <c r="AH6" s="27"/>
    </row>
    <row r="7" spans="1:34" ht="45.75">
      <c r="A7" s="35" t="s">
        <v>587</v>
      </c>
      <c r="B7" s="6" t="s">
        <v>588</v>
      </c>
      <c r="C7" s="6"/>
      <c r="D7" s="6" t="s">
        <v>589</v>
      </c>
      <c r="E7" s="5"/>
      <c r="G7" s="311"/>
      <c r="H7" s="64">
        <f>4700*12</f>
        <v>56400</v>
      </c>
      <c r="I7" s="64">
        <f>H7*0.1</f>
        <v>5640</v>
      </c>
      <c r="J7" s="64"/>
      <c r="K7" s="64">
        <f>SUM(H7*0.1)</f>
        <v>5640</v>
      </c>
      <c r="L7" s="60">
        <f>H7*0.07</f>
        <v>3948.0000000000005</v>
      </c>
      <c r="M7" s="180">
        <f>SUM(H7:L7)</f>
        <v>71628</v>
      </c>
      <c r="N7" s="8">
        <v>3</v>
      </c>
      <c r="O7" s="8">
        <v>3</v>
      </c>
      <c r="P7" s="8">
        <v>3</v>
      </c>
      <c r="Q7" s="64">
        <v>2</v>
      </c>
      <c r="R7" s="8">
        <v>3</v>
      </c>
      <c r="S7" s="8">
        <v>2</v>
      </c>
      <c r="T7" s="8">
        <v>1</v>
      </c>
      <c r="U7" s="8">
        <v>1</v>
      </c>
      <c r="V7" s="60">
        <v>1</v>
      </c>
      <c r="W7" s="247">
        <f>SUM(N7:V7)/9</f>
        <v>2.1111111111111112</v>
      </c>
      <c r="X7" s="311"/>
      <c r="Y7" s="380"/>
      <c r="Z7" s="21" t="s">
        <v>590</v>
      </c>
      <c r="AA7" s="21"/>
      <c r="AB7" s="21" t="s">
        <v>591</v>
      </c>
      <c r="AC7" s="21"/>
      <c r="AD7" s="21"/>
      <c r="AE7" s="51"/>
      <c r="AF7" s="51"/>
      <c r="AG7" s="51"/>
      <c r="AH7" s="28"/>
    </row>
    <row r="8" spans="1:34" ht="36.75" customHeight="1">
      <c r="A8" s="35" t="s">
        <v>592</v>
      </c>
      <c r="B8" s="6" t="s">
        <v>593</v>
      </c>
      <c r="C8" s="6"/>
      <c r="D8" s="6" t="s">
        <v>594</v>
      </c>
      <c r="E8" s="5"/>
      <c r="G8" s="311"/>
      <c r="H8" s="64">
        <v>50000</v>
      </c>
      <c r="I8" s="64">
        <f>H8*0.1</f>
        <v>5000</v>
      </c>
      <c r="J8" s="64"/>
      <c r="K8" s="64">
        <f>SUM(H8*0.1)</f>
        <v>5000</v>
      </c>
      <c r="L8" s="60">
        <f>H8*0.07</f>
        <v>3500.0000000000005</v>
      </c>
      <c r="M8" s="180">
        <f>SUM(H8:L8)</f>
        <v>63500</v>
      </c>
      <c r="N8" s="8">
        <v>3</v>
      </c>
      <c r="O8" s="8">
        <v>2</v>
      </c>
      <c r="P8" s="8">
        <v>1</v>
      </c>
      <c r="Q8" s="64">
        <v>3</v>
      </c>
      <c r="R8" s="8">
        <v>3</v>
      </c>
      <c r="S8" s="8">
        <v>3</v>
      </c>
      <c r="T8" s="8">
        <v>1</v>
      </c>
      <c r="U8" s="8">
        <v>1</v>
      </c>
      <c r="V8" s="60">
        <v>1</v>
      </c>
      <c r="W8" s="247">
        <f>SUM(N8:V8)/9</f>
        <v>2</v>
      </c>
      <c r="X8" s="311"/>
      <c r="Y8" s="380"/>
      <c r="Z8" s="21"/>
      <c r="AA8" s="21"/>
      <c r="AB8" s="21"/>
      <c r="AC8" s="21"/>
      <c r="AD8" s="21"/>
      <c r="AE8" s="51"/>
      <c r="AF8" s="51"/>
      <c r="AG8" s="51"/>
      <c r="AH8" s="28"/>
    </row>
    <row r="9" spans="1:34" ht="68.25" customHeight="1">
      <c r="A9" s="35" t="s">
        <v>595</v>
      </c>
      <c r="B9" s="6" t="s">
        <v>596</v>
      </c>
      <c r="C9" s="6"/>
      <c r="D9" s="6" t="s">
        <v>597</v>
      </c>
      <c r="E9" s="5"/>
      <c r="G9" s="311"/>
      <c r="H9" s="64">
        <f>580*720/2</f>
        <v>208800</v>
      </c>
      <c r="I9" s="64">
        <f>H9*0.1</f>
        <v>20880</v>
      </c>
      <c r="J9" s="64"/>
      <c r="K9" s="64">
        <f>SUM(H9*0.1)</f>
        <v>20880</v>
      </c>
      <c r="L9" s="60">
        <f>H9*0.07</f>
        <v>14616.000000000002</v>
      </c>
      <c r="M9" s="180">
        <f>SUM(H9:L9)</f>
        <v>265176</v>
      </c>
      <c r="N9" s="8">
        <v>3</v>
      </c>
      <c r="O9" s="8">
        <v>2</v>
      </c>
      <c r="P9" s="8">
        <v>3</v>
      </c>
      <c r="Q9" s="64">
        <v>2</v>
      </c>
      <c r="R9" s="8">
        <v>1</v>
      </c>
      <c r="S9" s="8">
        <v>3</v>
      </c>
      <c r="T9" s="8">
        <v>2</v>
      </c>
      <c r="U9" s="8">
        <v>1</v>
      </c>
      <c r="V9" s="60">
        <v>1</v>
      </c>
      <c r="W9" s="247">
        <f>SUM(N9:V9)/9</f>
        <v>2</v>
      </c>
      <c r="X9" s="311"/>
      <c r="Y9" s="380"/>
      <c r="Z9" s="21"/>
      <c r="AA9" s="21"/>
      <c r="AB9" s="21"/>
      <c r="AC9" s="21"/>
      <c r="AD9" s="21"/>
      <c r="AE9" s="51"/>
      <c r="AF9" s="51"/>
      <c r="AG9" s="51"/>
      <c r="AH9" s="28"/>
    </row>
    <row r="10" spans="1:34" ht="68.25" customHeight="1">
      <c r="A10" s="35" t="s">
        <v>598</v>
      </c>
      <c r="B10" s="315" t="s">
        <v>599</v>
      </c>
      <c r="C10" s="315"/>
      <c r="D10" s="315" t="s">
        <v>600</v>
      </c>
      <c r="E10" s="316"/>
      <c r="F10" s="407"/>
      <c r="G10" s="312"/>
      <c r="H10" s="64">
        <f>480*720</f>
        <v>345600</v>
      </c>
      <c r="I10" s="64">
        <f>H10*0.1</f>
        <v>34560</v>
      </c>
      <c r="J10" s="64"/>
      <c r="K10" s="64">
        <f>SUM(H10*0.1)</f>
        <v>34560</v>
      </c>
      <c r="L10" s="60">
        <f>H10*0.07</f>
        <v>24192.000000000004</v>
      </c>
      <c r="M10" s="180">
        <f>SUM(H10:L10)</f>
        <v>438912</v>
      </c>
      <c r="N10" s="317"/>
      <c r="O10" s="317"/>
      <c r="P10" s="317"/>
      <c r="Q10" s="64"/>
      <c r="R10" s="317"/>
      <c r="S10" s="317"/>
      <c r="T10" s="317"/>
      <c r="U10" s="317"/>
      <c r="V10" s="60"/>
      <c r="W10" s="247">
        <f>SUM(N10:V10)/9</f>
        <v>0</v>
      </c>
      <c r="X10" s="311"/>
      <c r="Y10" s="380"/>
      <c r="Z10" s="21"/>
      <c r="AA10" s="21"/>
      <c r="AB10" s="21"/>
      <c r="AC10" s="21"/>
      <c r="AD10" s="21"/>
      <c r="AE10" s="51"/>
      <c r="AF10" s="51"/>
      <c r="AG10" s="51"/>
      <c r="AH10" s="28"/>
    </row>
    <row r="11" spans="1:34" ht="22.5" customHeight="1">
      <c r="A11" s="35" t="s">
        <v>601</v>
      </c>
      <c r="B11" s="6" t="s">
        <v>584</v>
      </c>
      <c r="C11" s="6"/>
      <c r="D11" s="6" t="s">
        <v>602</v>
      </c>
      <c r="E11" s="5"/>
      <c r="G11" s="311"/>
      <c r="H11" s="64">
        <v>1000000</v>
      </c>
      <c r="I11" s="64">
        <f>H11*0.1</f>
        <v>100000</v>
      </c>
      <c r="J11" s="64">
        <v>9000000</v>
      </c>
      <c r="K11" s="64">
        <f>SUM(H11*0.1)</f>
        <v>100000</v>
      </c>
      <c r="L11" s="60">
        <f>H11*0.07</f>
        <v>70000</v>
      </c>
      <c r="M11" s="180">
        <f>SUM(H11:L11)</f>
        <v>10270000</v>
      </c>
      <c r="N11" s="8">
        <v>3</v>
      </c>
      <c r="O11" s="8">
        <v>2</v>
      </c>
      <c r="P11" s="8">
        <v>2</v>
      </c>
      <c r="Q11" s="64">
        <v>3</v>
      </c>
      <c r="R11" s="8">
        <v>1</v>
      </c>
      <c r="S11" s="8">
        <v>3</v>
      </c>
      <c r="T11" s="8">
        <v>1</v>
      </c>
      <c r="U11" s="8">
        <v>1</v>
      </c>
      <c r="V11" s="60">
        <v>1</v>
      </c>
      <c r="W11" s="247">
        <f>SUM(N11:V11)/9</f>
        <v>1.8888888888888888</v>
      </c>
      <c r="X11" s="311"/>
      <c r="Y11" s="380"/>
      <c r="Z11" s="21"/>
      <c r="AA11" s="21"/>
      <c r="AB11" s="21"/>
      <c r="AC11" s="21"/>
      <c r="AD11" s="21"/>
      <c r="AE11" s="51"/>
      <c r="AF11" s="51"/>
      <c r="AG11" s="51"/>
      <c r="AH11" s="28"/>
    </row>
    <row r="12" spans="1:34" ht="37.5" customHeight="1">
      <c r="A12" s="35" t="s">
        <v>603</v>
      </c>
      <c r="B12" s="6" t="s">
        <v>604</v>
      </c>
      <c r="C12" s="6"/>
      <c r="D12" s="6" t="s">
        <v>605</v>
      </c>
      <c r="E12" s="5"/>
      <c r="G12" s="311"/>
      <c r="H12" s="64">
        <v>70000</v>
      </c>
      <c r="I12" s="64">
        <f>H12*0.1</f>
        <v>7000</v>
      </c>
      <c r="J12" s="64"/>
      <c r="K12" s="64">
        <f>SUM(H12*0.1)</f>
        <v>7000</v>
      </c>
      <c r="L12" s="60">
        <f>H12*0.07</f>
        <v>4900.0000000000009</v>
      </c>
      <c r="M12" s="180">
        <f>SUM(H12:L12)</f>
        <v>88900</v>
      </c>
      <c r="N12" s="8">
        <v>2</v>
      </c>
      <c r="O12" s="8">
        <v>2</v>
      </c>
      <c r="P12" s="8">
        <v>3</v>
      </c>
      <c r="Q12" s="64">
        <v>2</v>
      </c>
      <c r="R12" s="8">
        <v>3</v>
      </c>
      <c r="S12" s="8">
        <v>2</v>
      </c>
      <c r="T12" s="8">
        <v>1</v>
      </c>
      <c r="U12" s="8">
        <v>1</v>
      </c>
      <c r="V12" s="60">
        <v>1</v>
      </c>
      <c r="W12" s="247">
        <f>SUM(N12:V12)/9</f>
        <v>1.8888888888888888</v>
      </c>
      <c r="X12" s="311"/>
      <c r="Y12" s="380"/>
      <c r="Z12" s="21"/>
      <c r="AA12" s="21"/>
      <c r="AB12" s="21"/>
      <c r="AC12" s="21"/>
      <c r="AD12" s="21"/>
      <c r="AE12" s="51"/>
      <c r="AF12" s="51"/>
      <c r="AG12" s="51"/>
      <c r="AH12" s="28"/>
    </row>
    <row r="13" spans="1:34" ht="76.5">
      <c r="A13" s="35" t="s">
        <v>606</v>
      </c>
      <c r="B13" s="6" t="s">
        <v>607</v>
      </c>
      <c r="C13" s="5"/>
      <c r="D13" s="6" t="s">
        <v>608</v>
      </c>
      <c r="E13" s="74">
        <v>0</v>
      </c>
      <c r="F13" s="6" t="s">
        <v>609</v>
      </c>
      <c r="G13" s="60">
        <v>0</v>
      </c>
      <c r="H13" s="64">
        <v>1900000</v>
      </c>
      <c r="I13" s="64">
        <f>H13*0.1</f>
        <v>190000</v>
      </c>
      <c r="J13" s="64"/>
      <c r="K13" s="64">
        <f>SUM(H13*0.1)</f>
        <v>190000</v>
      </c>
      <c r="L13" s="60">
        <f>H13*0.07</f>
        <v>133000</v>
      </c>
      <c r="M13" s="180">
        <f>SUM(H13:L13)</f>
        <v>2413000</v>
      </c>
      <c r="N13" s="311">
        <v>2</v>
      </c>
      <c r="O13" s="311">
        <v>1</v>
      </c>
      <c r="P13" s="311">
        <v>1</v>
      </c>
      <c r="Q13" s="60">
        <v>1</v>
      </c>
      <c r="R13" s="65">
        <v>1</v>
      </c>
      <c r="S13" s="311">
        <v>3</v>
      </c>
      <c r="T13" s="311">
        <v>2</v>
      </c>
      <c r="U13" s="311">
        <v>3</v>
      </c>
      <c r="V13" s="64">
        <v>2</v>
      </c>
      <c r="W13" s="247">
        <f>SUM(N13:V13)/9</f>
        <v>1.7777777777777777</v>
      </c>
      <c r="X13" s="311"/>
      <c r="Y13" s="34"/>
      <c r="Z13" s="22"/>
      <c r="AA13" s="22"/>
      <c r="AB13" s="22"/>
      <c r="AC13" s="22"/>
      <c r="AD13" s="22"/>
      <c r="AE13" s="52"/>
      <c r="AF13" s="52"/>
      <c r="AG13" s="52"/>
      <c r="AH13" s="29"/>
    </row>
    <row r="14" spans="1:34" ht="60.75">
      <c r="A14" s="35" t="s">
        <v>610</v>
      </c>
      <c r="B14" s="6" t="s">
        <v>611</v>
      </c>
      <c r="C14" s="5"/>
      <c r="D14" s="6" t="s">
        <v>612</v>
      </c>
      <c r="E14" s="5"/>
      <c r="G14" s="311"/>
      <c r="H14" s="64">
        <v>100000</v>
      </c>
      <c r="I14" s="64">
        <f>H14*0.1</f>
        <v>10000</v>
      </c>
      <c r="J14" s="64"/>
      <c r="K14" s="64">
        <f>SUM(H14*0.1)</f>
        <v>10000</v>
      </c>
      <c r="L14" s="60">
        <f>H14*0.07</f>
        <v>7000.0000000000009</v>
      </c>
      <c r="M14" s="180">
        <f>SUM(H14:L14)</f>
        <v>127000</v>
      </c>
      <c r="N14" s="8">
        <v>2</v>
      </c>
      <c r="O14" s="8">
        <v>2</v>
      </c>
      <c r="P14" s="8">
        <v>2</v>
      </c>
      <c r="Q14" s="64">
        <v>2</v>
      </c>
      <c r="R14" s="8">
        <v>2</v>
      </c>
      <c r="S14" s="8">
        <v>2</v>
      </c>
      <c r="T14" s="8">
        <v>1</v>
      </c>
      <c r="U14" s="8">
        <v>2</v>
      </c>
      <c r="V14" s="60">
        <v>1</v>
      </c>
      <c r="W14" s="247">
        <f>SUM(N14:V14)/9</f>
        <v>1.7777777777777777</v>
      </c>
      <c r="X14" s="311"/>
      <c r="Y14" s="381" t="s">
        <v>97</v>
      </c>
      <c r="Z14" s="23" t="s">
        <v>613</v>
      </c>
      <c r="AA14" s="23" t="s">
        <v>614</v>
      </c>
      <c r="AB14" s="23" t="s">
        <v>615</v>
      </c>
      <c r="AC14" s="23" t="s">
        <v>616</v>
      </c>
      <c r="AD14" s="23" t="s">
        <v>102</v>
      </c>
      <c r="AE14" s="53" t="s">
        <v>103</v>
      </c>
      <c r="AF14" s="53" t="s">
        <v>419</v>
      </c>
      <c r="AG14" s="53" t="s">
        <v>104</v>
      </c>
      <c r="AH14" s="30" t="s">
        <v>105</v>
      </c>
    </row>
    <row r="15" spans="1:34" ht="39" customHeight="1">
      <c r="A15" s="35" t="s">
        <v>617</v>
      </c>
      <c r="B15" s="6" t="s">
        <v>618</v>
      </c>
      <c r="C15" s="6"/>
      <c r="D15" s="6" t="s">
        <v>619</v>
      </c>
      <c r="E15" s="5"/>
      <c r="G15" s="311"/>
      <c r="H15" s="64">
        <v>100000</v>
      </c>
      <c r="I15" s="64">
        <f>H15*0.1</f>
        <v>10000</v>
      </c>
      <c r="J15" s="64"/>
      <c r="K15" s="64">
        <f>SUM(H15*0.1)</f>
        <v>10000</v>
      </c>
      <c r="L15" s="60">
        <f>H15*0.07</f>
        <v>7000.0000000000009</v>
      </c>
      <c r="M15" s="180">
        <f>SUM(H15:L15)</f>
        <v>127000</v>
      </c>
      <c r="N15" s="8">
        <v>2</v>
      </c>
      <c r="O15" s="8">
        <v>2</v>
      </c>
      <c r="P15" s="8">
        <v>2</v>
      </c>
      <c r="Q15" s="64">
        <v>2</v>
      </c>
      <c r="R15" s="8">
        <v>2</v>
      </c>
      <c r="S15" s="8">
        <v>2</v>
      </c>
      <c r="T15" s="8">
        <v>1</v>
      </c>
      <c r="U15" s="8">
        <v>2</v>
      </c>
      <c r="V15" s="60">
        <v>1</v>
      </c>
      <c r="W15" s="247">
        <f>SUM(N15:V15)/9</f>
        <v>1.7777777777777777</v>
      </c>
      <c r="X15" s="311"/>
      <c r="Y15" s="382"/>
      <c r="Z15" s="23"/>
      <c r="AA15" s="23"/>
      <c r="AB15" s="23" t="s">
        <v>620</v>
      </c>
      <c r="AC15" s="23" t="s">
        <v>621</v>
      </c>
      <c r="AD15" s="23"/>
      <c r="AE15" s="53"/>
      <c r="AF15" s="53"/>
      <c r="AG15" s="53"/>
      <c r="AH15" s="30"/>
    </row>
    <row r="16" spans="1:34" ht="72.75" customHeight="1">
      <c r="A16" s="35" t="s">
        <v>622</v>
      </c>
      <c r="B16" s="6" t="s">
        <v>623</v>
      </c>
      <c r="C16" s="6"/>
      <c r="D16" s="6" t="s">
        <v>624</v>
      </c>
      <c r="E16" s="5"/>
      <c r="G16" s="311"/>
      <c r="H16" s="64">
        <v>120000</v>
      </c>
      <c r="I16" s="64">
        <v>20000</v>
      </c>
      <c r="J16" s="64"/>
      <c r="K16" s="64">
        <f>SUM(H16*0.1)</f>
        <v>12000</v>
      </c>
      <c r="L16" s="60">
        <f>H16*0.07</f>
        <v>8400</v>
      </c>
      <c r="M16" s="180">
        <f>SUM(H16:L16)</f>
        <v>160400</v>
      </c>
      <c r="N16" s="8">
        <v>1</v>
      </c>
      <c r="O16" s="8">
        <v>2</v>
      </c>
      <c r="P16" s="8">
        <v>2</v>
      </c>
      <c r="Q16" s="64">
        <v>2</v>
      </c>
      <c r="R16" s="8">
        <v>2</v>
      </c>
      <c r="S16" s="8">
        <v>3</v>
      </c>
      <c r="T16" s="8">
        <v>2</v>
      </c>
      <c r="U16" s="8">
        <v>1</v>
      </c>
      <c r="V16" s="60">
        <v>1</v>
      </c>
      <c r="W16" s="247">
        <f>SUM(N16:V16)/9</f>
        <v>1.7777777777777777</v>
      </c>
      <c r="X16" s="311"/>
      <c r="Y16" s="382"/>
      <c r="Z16" s="23"/>
      <c r="AA16" s="23"/>
      <c r="AB16" s="23"/>
      <c r="AC16" s="23"/>
      <c r="AD16" s="23"/>
      <c r="AE16" s="53"/>
      <c r="AF16" s="53"/>
      <c r="AG16" s="53"/>
      <c r="AH16" s="30"/>
    </row>
    <row r="17" spans="1:34" ht="62.25" customHeight="1">
      <c r="A17" s="35" t="s">
        <v>625</v>
      </c>
      <c r="B17" s="6" t="s">
        <v>626</v>
      </c>
      <c r="C17" s="6"/>
      <c r="D17" s="6" t="s">
        <v>627</v>
      </c>
      <c r="E17" s="5"/>
      <c r="G17" s="311"/>
      <c r="H17" s="64"/>
      <c r="I17" s="64">
        <v>100000</v>
      </c>
      <c r="J17" s="64"/>
      <c r="K17" s="64">
        <f>SUM(H17*0.1)</f>
        <v>0</v>
      </c>
      <c r="L17" s="60">
        <f>H17*0.07</f>
        <v>0</v>
      </c>
      <c r="M17" s="180">
        <f>SUM(H17:L17)</f>
        <v>100000</v>
      </c>
      <c r="N17" s="8">
        <v>1</v>
      </c>
      <c r="O17" s="8">
        <v>1</v>
      </c>
      <c r="P17" s="8">
        <v>3</v>
      </c>
      <c r="Q17" s="64">
        <v>3</v>
      </c>
      <c r="R17" s="8">
        <v>1</v>
      </c>
      <c r="S17" s="8">
        <v>3</v>
      </c>
      <c r="T17" s="8">
        <v>2</v>
      </c>
      <c r="U17" s="8">
        <v>1</v>
      </c>
      <c r="V17" s="60">
        <v>1</v>
      </c>
      <c r="W17" s="247">
        <f>SUM(N17:V17)/9</f>
        <v>1.7777777777777777</v>
      </c>
      <c r="X17" s="311"/>
      <c r="Y17" s="382"/>
      <c r="Z17" s="23"/>
      <c r="AA17" s="23"/>
      <c r="AB17" s="23"/>
      <c r="AC17" s="23"/>
      <c r="AD17" s="23"/>
      <c r="AE17" s="53"/>
      <c r="AF17" s="53"/>
      <c r="AG17" s="53"/>
      <c r="AH17" s="30"/>
    </row>
    <row r="18" spans="1:34" ht="45.75">
      <c r="A18" s="45" t="s">
        <v>628</v>
      </c>
      <c r="B18" s="20" t="s">
        <v>629</v>
      </c>
      <c r="C18" s="15"/>
      <c r="D18" s="20" t="s">
        <v>630</v>
      </c>
      <c r="E18" s="15"/>
      <c r="F18" s="155"/>
      <c r="G18" s="16"/>
      <c r="H18" s="183">
        <v>40000</v>
      </c>
      <c r="I18" s="183">
        <f>H18*0.1</f>
        <v>4000</v>
      </c>
      <c r="J18" s="183"/>
      <c r="K18" s="183">
        <f>SUM(H18*0.1)</f>
        <v>4000</v>
      </c>
      <c r="L18" s="182">
        <f>H18*0.07</f>
        <v>2800.0000000000005</v>
      </c>
      <c r="M18" s="184">
        <f>SUM(H18:L18)</f>
        <v>50800</v>
      </c>
      <c r="N18" s="18">
        <v>1</v>
      </c>
      <c r="O18" s="18">
        <v>1</v>
      </c>
      <c r="P18" s="18">
        <v>2</v>
      </c>
      <c r="Q18" s="183">
        <v>1</v>
      </c>
      <c r="R18" s="18">
        <v>3</v>
      </c>
      <c r="S18" s="18">
        <v>2</v>
      </c>
      <c r="T18" s="18">
        <v>1</v>
      </c>
      <c r="U18" s="18">
        <v>1</v>
      </c>
      <c r="V18" s="182">
        <v>1</v>
      </c>
      <c r="W18" s="248">
        <f>SUM(N18:V18)/9</f>
        <v>1.4444444444444444</v>
      </c>
      <c r="X18" s="311"/>
      <c r="Y18" s="383"/>
      <c r="Z18" s="23"/>
      <c r="AA18" s="23"/>
      <c r="AB18" s="23" t="s">
        <v>631</v>
      </c>
      <c r="AC18" s="23"/>
      <c r="AD18" s="23"/>
      <c r="AE18" s="53"/>
      <c r="AF18" s="53"/>
      <c r="AG18" s="53"/>
      <c r="AH18" s="30"/>
    </row>
    <row r="19" spans="1:34" s="311" customFormat="1" ht="43.5">
      <c r="A19" s="35" t="s">
        <v>632</v>
      </c>
      <c r="B19" s="406" t="s">
        <v>633</v>
      </c>
      <c r="C19" s="315"/>
      <c r="D19" s="406" t="s">
        <v>634</v>
      </c>
      <c r="E19" s="316"/>
      <c r="F19" s="407"/>
      <c r="G19" s="312"/>
      <c r="H19" s="64"/>
      <c r="I19" s="64"/>
      <c r="J19" s="64"/>
      <c r="K19" s="64">
        <f>SUM(H19*0.1)</f>
        <v>0</v>
      </c>
      <c r="L19" s="60">
        <f>H19*0.07</f>
        <v>0</v>
      </c>
      <c r="M19" s="180">
        <f>SUM(H19:L19)</f>
        <v>0</v>
      </c>
      <c r="N19" s="317"/>
      <c r="O19" s="317"/>
      <c r="P19" s="317"/>
      <c r="Q19" s="64"/>
      <c r="R19" s="409"/>
      <c r="S19" s="409"/>
      <c r="T19" s="409"/>
      <c r="U19" s="409"/>
      <c r="V19" s="60"/>
      <c r="W19" s="247">
        <f>SUM(N19:V19)/9</f>
        <v>0</v>
      </c>
      <c r="Y19" s="321"/>
      <c r="Z19" s="23"/>
      <c r="AA19" s="23"/>
      <c r="AB19" s="23"/>
      <c r="AC19" s="23"/>
      <c r="AD19" s="23"/>
      <c r="AE19" s="53"/>
      <c r="AF19" s="53"/>
      <c r="AG19" s="53"/>
      <c r="AH19" s="30"/>
    </row>
    <row r="20" spans="1:34" s="311" customFormat="1" ht="29.25">
      <c r="A20" s="35" t="s">
        <v>635</v>
      </c>
      <c r="B20" s="405" t="s">
        <v>636</v>
      </c>
      <c r="C20" s="315"/>
      <c r="D20" s="406" t="s">
        <v>637</v>
      </c>
      <c r="E20" s="316"/>
      <c r="F20" s="407"/>
      <c r="G20" s="312"/>
      <c r="H20" s="64"/>
      <c r="I20" s="64"/>
      <c r="J20" s="64"/>
      <c r="K20" s="64">
        <f>SUM(H20*0.1)</f>
        <v>0</v>
      </c>
      <c r="L20" s="60">
        <f>H20*0.07</f>
        <v>0</v>
      </c>
      <c r="M20" s="180">
        <f>SUM(H20:L20)</f>
        <v>0</v>
      </c>
      <c r="N20" s="317"/>
      <c r="O20" s="317"/>
      <c r="P20" s="317"/>
      <c r="Q20" s="64"/>
      <c r="R20" s="409"/>
      <c r="S20" s="409"/>
      <c r="T20" s="409"/>
      <c r="U20" s="409"/>
      <c r="V20" s="60"/>
      <c r="W20" s="247">
        <f>SUM(N20:V20)/9</f>
        <v>0</v>
      </c>
      <c r="Y20" s="321"/>
      <c r="Z20" s="23"/>
      <c r="AA20" s="23"/>
      <c r="AB20" s="23"/>
      <c r="AC20" s="23"/>
      <c r="AD20" s="23"/>
      <c r="AE20" s="53"/>
      <c r="AF20" s="53"/>
      <c r="AG20" s="53"/>
      <c r="AH20" s="30"/>
    </row>
    <row r="21" spans="1:34" s="311" customFormat="1" ht="29.25">
      <c r="A21" s="35" t="s">
        <v>638</v>
      </c>
      <c r="B21" s="405" t="s">
        <v>639</v>
      </c>
      <c r="C21" s="315"/>
      <c r="D21" s="406" t="s">
        <v>640</v>
      </c>
      <c r="E21" s="316"/>
      <c r="F21" s="407"/>
      <c r="G21" s="312"/>
      <c r="H21" s="64"/>
      <c r="I21" s="64"/>
      <c r="J21" s="64"/>
      <c r="K21" s="64">
        <f>SUM(H21*0.1)</f>
        <v>0</v>
      </c>
      <c r="L21" s="60">
        <f>H21*0.07</f>
        <v>0</v>
      </c>
      <c r="M21" s="180">
        <f>SUM(H21:L21)</f>
        <v>0</v>
      </c>
      <c r="N21" s="317"/>
      <c r="O21" s="317"/>
      <c r="P21" s="317"/>
      <c r="Q21" s="64"/>
      <c r="R21" s="409"/>
      <c r="S21" s="409"/>
      <c r="T21" s="409"/>
      <c r="U21" s="409"/>
      <c r="V21" s="60"/>
      <c r="W21" s="247">
        <f>SUM(N21:V21)/9</f>
        <v>0</v>
      </c>
      <c r="Y21" s="321"/>
      <c r="Z21" s="23"/>
      <c r="AA21" s="23"/>
      <c r="AB21" s="23"/>
      <c r="AC21" s="23"/>
      <c r="AD21" s="23"/>
      <c r="AE21" s="53"/>
      <c r="AF21" s="53"/>
      <c r="AG21" s="53"/>
      <c r="AH21" s="30"/>
    </row>
    <row r="22" spans="1:34" s="311" customFormat="1" ht="29.25">
      <c r="A22" s="35" t="s">
        <v>641</v>
      </c>
      <c r="B22" s="410" t="s">
        <v>642</v>
      </c>
      <c r="C22" s="315"/>
      <c r="D22" s="406" t="s">
        <v>643</v>
      </c>
      <c r="E22" s="316"/>
      <c r="F22" s="407"/>
      <c r="G22" s="312"/>
      <c r="H22" s="64"/>
      <c r="I22" s="64"/>
      <c r="J22" s="64"/>
      <c r="K22" s="64">
        <f>SUM(H22*0.1)</f>
        <v>0</v>
      </c>
      <c r="L22" s="60">
        <f>H22*0.07</f>
        <v>0</v>
      </c>
      <c r="M22" s="180">
        <f>SUM(H22:L22)</f>
        <v>0</v>
      </c>
      <c r="N22" s="317"/>
      <c r="O22" s="317"/>
      <c r="P22" s="317"/>
      <c r="Q22" s="64"/>
      <c r="R22" s="409"/>
      <c r="S22" s="409"/>
      <c r="T22" s="409"/>
      <c r="U22" s="409"/>
      <c r="V22" s="60"/>
      <c r="W22" s="247">
        <f>SUM(N22:V22)/9</f>
        <v>0</v>
      </c>
      <c r="Y22" s="321"/>
      <c r="Z22" s="23"/>
      <c r="AA22" s="23"/>
      <c r="AB22" s="23"/>
      <c r="AC22" s="23"/>
      <c r="AD22" s="23"/>
      <c r="AE22" s="53"/>
      <c r="AF22" s="53"/>
      <c r="AG22" s="53"/>
      <c r="AH22" s="30"/>
    </row>
    <row r="23" spans="1:34" ht="15">
      <c r="A23" s="35"/>
      <c r="B23" s="315"/>
      <c r="C23" s="315"/>
      <c r="D23" s="408" t="s">
        <v>258</v>
      </c>
      <c r="E23" s="316"/>
      <c r="F23" s="407"/>
      <c r="G23" s="312"/>
      <c r="H23" s="64"/>
      <c r="I23" s="64"/>
      <c r="J23" s="60"/>
      <c r="K23" s="64">
        <f>SUM(H23*0.1)</f>
        <v>0</v>
      </c>
      <c r="L23" s="60">
        <f>H23*0.07</f>
        <v>0</v>
      </c>
      <c r="M23" s="180">
        <f>SUM(M4:M18)</f>
        <v>14315536</v>
      </c>
      <c r="N23" s="317"/>
      <c r="O23" s="317"/>
      <c r="P23" s="317"/>
      <c r="Q23" s="64"/>
      <c r="R23" s="317"/>
      <c r="S23" s="317"/>
      <c r="T23" s="317"/>
      <c r="U23" s="317"/>
      <c r="V23" s="60"/>
      <c r="W23" s="247"/>
      <c r="X23" s="311"/>
      <c r="Y23" s="34"/>
      <c r="Z23" s="22"/>
      <c r="AA23" s="22"/>
      <c r="AB23" s="22"/>
      <c r="AC23" s="22"/>
      <c r="AD23" s="22"/>
      <c r="AE23" s="52"/>
      <c r="AF23" s="52"/>
      <c r="AG23" s="52"/>
      <c r="AH23" s="29"/>
    </row>
    <row r="24" spans="1:34" ht="57.6">
      <c r="A24" s="35"/>
      <c r="B24" s="6"/>
      <c r="C24" s="5"/>
      <c r="D24" s="6"/>
      <c r="E24" s="5"/>
      <c r="G24" s="311"/>
      <c r="H24" s="311"/>
      <c r="I24" s="311"/>
      <c r="J24" s="311"/>
      <c r="K24" s="311"/>
      <c r="L24" s="311"/>
      <c r="M24" s="311"/>
      <c r="N24" s="8"/>
      <c r="O24" s="8"/>
      <c r="P24" s="8"/>
      <c r="Q24" s="64"/>
      <c r="R24" s="311"/>
      <c r="S24" s="311"/>
      <c r="T24" s="311"/>
      <c r="U24" s="311"/>
      <c r="V24" s="60"/>
      <c r="W24" s="205"/>
      <c r="X24" s="311"/>
      <c r="Y24" s="374" t="s">
        <v>127</v>
      </c>
      <c r="Z24" s="24" t="s">
        <v>644</v>
      </c>
      <c r="AA24" s="24" t="s">
        <v>645</v>
      </c>
      <c r="AB24" s="24" t="s">
        <v>646</v>
      </c>
      <c r="AC24" s="24" t="s">
        <v>647</v>
      </c>
      <c r="AD24" s="24" t="s">
        <v>131</v>
      </c>
      <c r="AE24" s="54" t="s">
        <v>132</v>
      </c>
      <c r="AF24" s="54" t="s">
        <v>442</v>
      </c>
      <c r="AG24" s="54" t="s">
        <v>133</v>
      </c>
      <c r="AH24" s="31" t="s">
        <v>134</v>
      </c>
    </row>
    <row r="25" spans="1:34">
      <c r="A25" s="35"/>
      <c r="B25" s="6"/>
      <c r="C25" s="6"/>
      <c r="D25" s="6"/>
      <c r="E25" s="5"/>
      <c r="G25" s="311"/>
      <c r="H25" s="311"/>
      <c r="I25" s="311"/>
      <c r="J25" s="311"/>
      <c r="K25" s="311"/>
      <c r="L25" s="311"/>
      <c r="M25" s="311"/>
      <c r="N25" s="8"/>
      <c r="O25" s="8"/>
      <c r="P25" s="8"/>
      <c r="Q25" s="64"/>
      <c r="R25" s="311"/>
      <c r="S25" s="311"/>
      <c r="T25" s="311"/>
      <c r="U25" s="311"/>
      <c r="V25" s="60"/>
      <c r="W25" s="205"/>
      <c r="X25" s="311"/>
      <c r="Y25" s="375"/>
      <c r="Z25" s="37"/>
      <c r="AA25" s="24"/>
      <c r="AB25" s="24"/>
      <c r="AC25" s="24"/>
      <c r="AD25" s="24"/>
      <c r="AE25" s="37"/>
      <c r="AF25" s="55"/>
      <c r="AG25" s="55"/>
      <c r="AH25" s="38"/>
    </row>
    <row r="26" spans="1:34">
      <c r="A26" s="35"/>
      <c r="B26" s="6"/>
      <c r="C26" s="6"/>
      <c r="D26" s="6"/>
      <c r="E26" s="5"/>
      <c r="G26" s="311"/>
      <c r="H26" s="311"/>
      <c r="I26" s="311"/>
      <c r="J26" s="311"/>
      <c r="K26" s="311"/>
      <c r="L26" s="311"/>
      <c r="M26" s="311"/>
      <c r="N26" s="8"/>
      <c r="O26" s="8"/>
      <c r="P26" s="8"/>
      <c r="Q26" s="64"/>
      <c r="R26" s="311"/>
      <c r="S26" s="311"/>
      <c r="T26" s="311"/>
      <c r="U26" s="311"/>
      <c r="V26" s="60"/>
      <c r="W26" s="205"/>
      <c r="X26" s="311"/>
      <c r="Y26" s="375"/>
      <c r="Z26" s="37"/>
      <c r="AA26" s="24"/>
      <c r="AB26" s="24"/>
      <c r="AC26" s="24"/>
      <c r="AD26" s="24"/>
      <c r="AE26" s="37"/>
      <c r="AF26" s="55"/>
      <c r="AG26" s="55"/>
      <c r="AH26" s="38"/>
    </row>
    <row r="27" spans="1:34">
      <c r="A27" s="35"/>
      <c r="B27" s="6"/>
      <c r="C27" s="6"/>
      <c r="D27" s="6"/>
      <c r="E27" s="5"/>
      <c r="G27" s="311"/>
      <c r="H27" s="311"/>
      <c r="I27" s="311"/>
      <c r="J27" s="311"/>
      <c r="K27" s="311"/>
      <c r="L27" s="311"/>
      <c r="M27" s="311"/>
      <c r="N27" s="8"/>
      <c r="O27" s="8"/>
      <c r="P27" s="8"/>
      <c r="Q27" s="64"/>
      <c r="R27" s="311"/>
      <c r="S27" s="311"/>
      <c r="T27" s="311"/>
      <c r="U27" s="311"/>
      <c r="V27" s="60"/>
      <c r="W27" s="205"/>
      <c r="X27" s="311"/>
      <c r="Y27" s="356"/>
      <c r="Z27" s="356"/>
      <c r="AA27" s="356"/>
      <c r="AB27" s="356"/>
      <c r="AC27" s="356"/>
      <c r="AD27" s="356"/>
      <c r="AE27" s="356"/>
      <c r="AF27" s="356"/>
      <c r="AG27" s="356"/>
      <c r="AH27" s="356"/>
    </row>
    <row r="28" spans="1:34">
      <c r="A28" s="35"/>
      <c r="B28" s="6"/>
      <c r="C28" s="6"/>
      <c r="D28" s="6"/>
      <c r="E28" s="5"/>
      <c r="G28" s="311"/>
      <c r="H28" s="311"/>
      <c r="I28" s="311"/>
      <c r="J28" s="311"/>
      <c r="K28" s="311"/>
      <c r="L28" s="311"/>
      <c r="M28" s="311"/>
      <c r="N28" s="8"/>
      <c r="O28" s="8"/>
      <c r="P28" s="8"/>
      <c r="Q28" s="64"/>
      <c r="R28" s="311"/>
      <c r="S28" s="311"/>
      <c r="T28" s="311"/>
      <c r="U28" s="311"/>
      <c r="V28" s="60"/>
      <c r="W28" s="205"/>
      <c r="X28" s="311"/>
      <c r="Y28" s="311"/>
      <c r="Z28" s="311"/>
      <c r="AB28" s="311"/>
      <c r="AD28" s="311"/>
      <c r="AE28" s="311"/>
      <c r="AF28" s="311"/>
      <c r="AG28" s="311"/>
      <c r="AH28" s="311"/>
    </row>
    <row r="29" spans="1:34">
      <c r="A29" s="35"/>
      <c r="B29" s="6"/>
      <c r="C29" s="5"/>
      <c r="D29" s="6"/>
      <c r="E29" s="5"/>
      <c r="G29" s="311"/>
      <c r="H29" s="311"/>
      <c r="I29" s="311"/>
      <c r="J29" s="311"/>
      <c r="K29" s="311"/>
      <c r="L29" s="311"/>
      <c r="M29" s="311"/>
      <c r="N29" s="8"/>
      <c r="O29" s="8"/>
      <c r="P29" s="8"/>
      <c r="Q29" s="64"/>
      <c r="R29" s="311"/>
      <c r="S29" s="311"/>
      <c r="T29" s="311"/>
      <c r="U29" s="311"/>
      <c r="V29" s="60"/>
      <c r="W29" s="205"/>
      <c r="X29" s="311"/>
      <c r="Y29" s="311"/>
      <c r="Z29" s="311"/>
      <c r="AB29" s="311"/>
      <c r="AD29" s="311"/>
      <c r="AE29" s="311"/>
      <c r="AF29" s="311"/>
      <c r="AG29" s="311"/>
      <c r="AH29" s="311"/>
    </row>
    <row r="30" spans="1:34">
      <c r="A30" s="35"/>
      <c r="B30" s="6"/>
      <c r="C30" s="6"/>
      <c r="D30" s="6"/>
      <c r="E30" s="5"/>
      <c r="G30" s="311"/>
      <c r="H30" s="311"/>
      <c r="I30" s="311"/>
      <c r="J30" s="311"/>
      <c r="K30" s="311"/>
      <c r="L30" s="311"/>
      <c r="M30" s="311"/>
      <c r="N30" s="8"/>
      <c r="O30" s="8"/>
      <c r="P30" s="8"/>
      <c r="Q30" s="64"/>
      <c r="R30" s="311"/>
      <c r="S30" s="311"/>
      <c r="T30" s="311"/>
      <c r="U30" s="311"/>
      <c r="V30" s="60"/>
      <c r="W30" s="205"/>
      <c r="X30" s="311"/>
      <c r="Y30" s="311"/>
      <c r="Z30" s="311"/>
      <c r="AB30" s="311"/>
      <c r="AD30" s="311"/>
      <c r="AE30" s="311"/>
      <c r="AF30" s="311"/>
      <c r="AG30" s="311"/>
      <c r="AH30" s="311"/>
    </row>
    <row r="31" spans="1:34">
      <c r="A31" s="35"/>
      <c r="B31" s="6"/>
      <c r="C31" s="6"/>
      <c r="D31" s="6"/>
      <c r="E31" s="5"/>
      <c r="G31" s="311"/>
      <c r="H31" s="311"/>
      <c r="I31" s="311"/>
      <c r="J31" s="311"/>
      <c r="K31" s="311"/>
      <c r="L31" s="311"/>
      <c r="M31" s="311"/>
      <c r="N31" s="8"/>
      <c r="O31" s="8"/>
      <c r="P31" s="8"/>
      <c r="Q31" s="64"/>
      <c r="R31" s="311"/>
      <c r="S31" s="311"/>
      <c r="T31" s="311"/>
      <c r="U31" s="311"/>
      <c r="V31" s="60"/>
      <c r="W31" s="205"/>
      <c r="X31" s="311"/>
      <c r="Y31" s="311"/>
      <c r="Z31" s="311"/>
      <c r="AB31" s="311"/>
      <c r="AD31" s="311"/>
      <c r="AE31" s="311"/>
      <c r="AF31" s="311"/>
      <c r="AG31" s="311"/>
      <c r="AH31" s="311"/>
    </row>
    <row r="32" spans="1:34">
      <c r="A32" s="35"/>
      <c r="B32" s="6"/>
      <c r="C32" s="5"/>
      <c r="D32" s="6"/>
      <c r="E32" s="5"/>
      <c r="G32" s="311"/>
      <c r="H32" s="311"/>
      <c r="I32" s="311"/>
      <c r="J32" s="311"/>
      <c r="K32" s="311"/>
      <c r="L32" s="311"/>
      <c r="M32" s="311"/>
      <c r="N32" s="8"/>
      <c r="O32" s="8"/>
      <c r="P32" s="8"/>
      <c r="Q32" s="64"/>
      <c r="R32" s="311"/>
      <c r="S32" s="311"/>
      <c r="T32" s="311"/>
      <c r="U32" s="311"/>
      <c r="V32" s="60"/>
      <c r="W32" s="205"/>
      <c r="X32" s="311"/>
      <c r="Y32" s="311"/>
      <c r="Z32" s="311"/>
      <c r="AB32" s="311"/>
      <c r="AD32" s="311"/>
      <c r="AE32" s="311"/>
      <c r="AF32" s="311"/>
      <c r="AG32" s="311"/>
      <c r="AH32" s="311"/>
    </row>
    <row r="33" spans="1:34">
      <c r="A33" s="35"/>
      <c r="B33" s="6"/>
      <c r="C33" s="6"/>
      <c r="D33" s="6"/>
      <c r="E33" s="5"/>
      <c r="G33" s="311"/>
      <c r="H33" s="311"/>
      <c r="I33" s="311"/>
      <c r="J33" s="311"/>
      <c r="K33" s="311"/>
      <c r="L33" s="311"/>
      <c r="M33" s="311"/>
      <c r="N33" s="8"/>
      <c r="O33" s="8"/>
      <c r="P33" s="8"/>
      <c r="Q33" s="64"/>
      <c r="R33" s="311"/>
      <c r="S33" s="311"/>
      <c r="T33" s="311"/>
      <c r="U33" s="311"/>
      <c r="V33" s="60"/>
      <c r="W33" s="205"/>
      <c r="X33" s="311"/>
      <c r="Y33" s="311"/>
      <c r="Z33" s="311"/>
      <c r="AB33" s="311"/>
      <c r="AD33" s="311"/>
      <c r="AE33" s="311"/>
      <c r="AF33" s="311"/>
      <c r="AG33" s="311"/>
      <c r="AH33" s="311"/>
    </row>
    <row r="34" spans="1:34">
      <c r="A34" s="35"/>
      <c r="B34" s="6"/>
      <c r="C34" s="6"/>
      <c r="D34" s="6"/>
      <c r="E34" s="5"/>
      <c r="G34" s="311"/>
      <c r="H34" s="311"/>
      <c r="I34" s="311"/>
      <c r="J34" s="311"/>
      <c r="K34" s="311"/>
      <c r="L34" s="311"/>
      <c r="M34" s="311"/>
      <c r="N34" s="8"/>
      <c r="O34" s="8"/>
      <c r="P34" s="8"/>
      <c r="Q34" s="64"/>
      <c r="R34" s="311"/>
      <c r="S34" s="311"/>
      <c r="T34" s="311"/>
      <c r="U34" s="311"/>
      <c r="V34" s="60"/>
      <c r="W34" s="205"/>
      <c r="X34" s="311"/>
      <c r="Y34" s="311"/>
      <c r="Z34" s="311"/>
      <c r="AB34" s="311"/>
      <c r="AD34" s="311"/>
      <c r="AE34" s="311"/>
      <c r="AF34" s="311"/>
      <c r="AG34" s="311"/>
      <c r="AH34" s="311"/>
    </row>
    <row r="35" spans="1:34">
      <c r="A35" s="35"/>
      <c r="B35" s="6"/>
      <c r="C35" s="6"/>
      <c r="D35" s="6"/>
      <c r="E35" s="5"/>
      <c r="G35" s="311"/>
      <c r="H35" s="311"/>
      <c r="I35" s="311"/>
      <c r="J35" s="311"/>
      <c r="K35" s="311"/>
      <c r="L35" s="311"/>
      <c r="M35" s="311"/>
      <c r="N35" s="8"/>
      <c r="O35" s="8"/>
      <c r="P35" s="8"/>
      <c r="Q35" s="64"/>
      <c r="R35" s="311"/>
      <c r="S35" s="311"/>
      <c r="T35" s="311"/>
      <c r="U35" s="311"/>
      <c r="V35" s="60"/>
      <c r="W35" s="205"/>
      <c r="X35" s="311"/>
      <c r="Y35" s="311"/>
      <c r="Z35" s="311"/>
      <c r="AB35" s="311"/>
      <c r="AD35" s="311"/>
      <c r="AE35" s="311"/>
      <c r="AF35" s="311"/>
      <c r="AG35" s="311"/>
      <c r="AH35" s="311"/>
    </row>
    <row r="36" spans="1:34">
      <c r="A36" s="35"/>
      <c r="B36" s="6"/>
      <c r="C36" s="6"/>
      <c r="D36" s="6"/>
      <c r="E36" s="5"/>
      <c r="G36" s="311"/>
      <c r="H36" s="311"/>
      <c r="I36" s="311"/>
      <c r="J36" s="311"/>
      <c r="K36" s="311"/>
      <c r="L36" s="311"/>
      <c r="M36" s="311"/>
      <c r="N36" s="8"/>
      <c r="O36" s="8"/>
      <c r="P36" s="8"/>
      <c r="Q36" s="64"/>
      <c r="R36" s="311"/>
      <c r="S36" s="311"/>
      <c r="T36" s="311"/>
      <c r="U36" s="311"/>
      <c r="V36" s="60"/>
      <c r="W36" s="205"/>
      <c r="X36" s="311"/>
      <c r="Y36" s="311"/>
      <c r="Z36" s="311"/>
      <c r="AB36" s="311"/>
      <c r="AD36" s="311"/>
      <c r="AE36" s="311"/>
      <c r="AF36" s="311"/>
      <c r="AG36" s="311"/>
      <c r="AH36" s="311"/>
    </row>
    <row r="37" spans="1:34">
      <c r="A37" s="35"/>
      <c r="B37" s="6"/>
      <c r="C37" s="6"/>
      <c r="D37" s="6"/>
      <c r="E37" s="5"/>
      <c r="G37" s="311"/>
      <c r="H37" s="311"/>
      <c r="I37" s="311"/>
      <c r="J37" s="311"/>
      <c r="K37" s="311"/>
      <c r="L37" s="311"/>
      <c r="M37" s="311"/>
      <c r="N37" s="8"/>
      <c r="O37" s="8"/>
      <c r="P37" s="8"/>
      <c r="Q37" s="64"/>
      <c r="R37" s="311"/>
      <c r="S37" s="311"/>
      <c r="T37" s="311"/>
      <c r="U37" s="311"/>
      <c r="V37" s="60"/>
      <c r="W37" s="205"/>
      <c r="X37" s="311"/>
      <c r="Y37" s="311"/>
      <c r="Z37" s="311"/>
      <c r="AB37" s="311"/>
      <c r="AD37" s="311"/>
      <c r="AE37" s="311"/>
      <c r="AF37" s="311"/>
      <c r="AG37" s="311"/>
      <c r="AH37" s="311"/>
    </row>
    <row r="38" spans="1:34">
      <c r="A38" s="35"/>
      <c r="B38" s="6"/>
      <c r="C38" s="5"/>
      <c r="D38" s="6"/>
      <c r="E38" s="5"/>
      <c r="G38" s="311"/>
      <c r="H38" s="311"/>
      <c r="I38" s="311"/>
      <c r="J38" s="311"/>
      <c r="K38" s="311"/>
      <c r="L38" s="311"/>
      <c r="M38" s="311"/>
      <c r="N38" s="8"/>
      <c r="O38" s="8"/>
      <c r="P38" s="8"/>
      <c r="Q38" s="64"/>
      <c r="R38" s="311"/>
      <c r="S38" s="311"/>
      <c r="T38" s="311"/>
      <c r="U38" s="311"/>
      <c r="V38" s="60"/>
      <c r="W38" s="205"/>
      <c r="X38" s="311"/>
      <c r="Y38" s="311"/>
      <c r="Z38" s="311"/>
      <c r="AB38" s="311"/>
      <c r="AD38" s="311"/>
      <c r="AE38" s="311"/>
      <c r="AF38" s="311"/>
      <c r="AG38" s="311"/>
      <c r="AH38" s="311"/>
    </row>
    <row r="39" spans="1:34">
      <c r="A39" s="35"/>
      <c r="B39" s="6"/>
      <c r="C39" s="6"/>
      <c r="D39" s="6"/>
      <c r="E39" s="5"/>
      <c r="G39" s="311"/>
      <c r="H39" s="311"/>
      <c r="I39" s="311"/>
      <c r="J39" s="311"/>
      <c r="K39" s="311"/>
      <c r="L39" s="311"/>
      <c r="M39" s="311"/>
      <c r="N39" s="8"/>
      <c r="O39" s="8"/>
      <c r="P39" s="8"/>
      <c r="Q39" s="64"/>
      <c r="R39" s="311"/>
      <c r="S39" s="311"/>
      <c r="T39" s="311"/>
      <c r="U39" s="311"/>
      <c r="V39" s="60"/>
      <c r="W39" s="205"/>
      <c r="X39" s="311"/>
      <c r="Y39" s="311"/>
      <c r="Z39" s="311"/>
      <c r="AB39" s="311"/>
      <c r="AD39" s="311"/>
      <c r="AE39" s="311"/>
      <c r="AF39" s="311"/>
      <c r="AG39" s="311"/>
      <c r="AH39" s="311"/>
    </row>
    <row r="40" spans="1:34">
      <c r="A40" s="35"/>
      <c r="B40" s="6"/>
      <c r="C40" s="5"/>
      <c r="D40" s="6"/>
      <c r="E40" s="5"/>
      <c r="G40" s="311"/>
      <c r="H40" s="311"/>
      <c r="I40" s="311"/>
      <c r="J40" s="311"/>
      <c r="K40" s="311"/>
      <c r="L40" s="311"/>
      <c r="M40" s="311"/>
      <c r="N40" s="8"/>
      <c r="O40" s="8"/>
      <c r="P40" s="8"/>
      <c r="Q40" s="64"/>
      <c r="R40" s="311"/>
      <c r="S40" s="311"/>
      <c r="T40" s="311"/>
      <c r="U40" s="311"/>
      <c r="V40" s="60"/>
      <c r="W40" s="205"/>
      <c r="X40" s="311"/>
      <c r="Y40" s="311"/>
      <c r="Z40" s="311"/>
      <c r="AB40" s="311"/>
      <c r="AD40" s="311"/>
      <c r="AE40" s="311"/>
      <c r="AF40" s="311"/>
      <c r="AG40" s="311"/>
      <c r="AH40" s="311"/>
    </row>
    <row r="41" spans="1:34">
      <c r="A41" s="35"/>
      <c r="B41" s="6"/>
      <c r="C41" s="5"/>
      <c r="D41" s="6"/>
      <c r="E41" s="5"/>
      <c r="G41" s="311"/>
      <c r="H41" s="311"/>
      <c r="I41" s="311"/>
      <c r="J41" s="311"/>
      <c r="K41" s="311"/>
      <c r="L41" s="311"/>
      <c r="M41" s="311"/>
      <c r="N41" s="8"/>
      <c r="O41" s="8"/>
      <c r="P41" s="8"/>
      <c r="Q41" s="64"/>
      <c r="R41" s="311"/>
      <c r="S41" s="311"/>
      <c r="T41" s="311"/>
      <c r="U41" s="311"/>
      <c r="V41" s="60"/>
      <c r="W41" s="205"/>
      <c r="X41" s="311"/>
      <c r="Y41" s="311"/>
      <c r="Z41" s="311"/>
      <c r="AB41" s="311"/>
      <c r="AD41" s="311"/>
      <c r="AE41" s="311"/>
      <c r="AF41" s="311"/>
      <c r="AG41" s="311"/>
      <c r="AH41" s="311"/>
    </row>
    <row r="42" spans="1:34">
      <c r="A42" s="35"/>
      <c r="B42" s="6"/>
      <c r="C42" s="6"/>
      <c r="D42" s="6"/>
      <c r="E42" s="5"/>
      <c r="G42" s="311"/>
      <c r="H42" s="311"/>
      <c r="I42" s="311"/>
      <c r="J42" s="311"/>
      <c r="K42" s="311"/>
      <c r="L42" s="311"/>
      <c r="M42" s="311"/>
      <c r="N42" s="8"/>
      <c r="O42" s="8"/>
      <c r="P42" s="8"/>
      <c r="Q42" s="64"/>
      <c r="R42" s="311"/>
      <c r="S42" s="311"/>
      <c r="T42" s="311"/>
      <c r="U42" s="311"/>
      <c r="V42" s="60"/>
      <c r="W42" s="205"/>
      <c r="X42" s="311"/>
      <c r="Y42" s="311"/>
      <c r="Z42" s="311"/>
      <c r="AB42" s="311"/>
      <c r="AD42" s="311"/>
      <c r="AE42" s="311"/>
      <c r="AF42" s="311"/>
      <c r="AG42" s="311"/>
      <c r="AH42" s="311"/>
    </row>
    <row r="43" spans="1:34">
      <c r="A43" s="35"/>
      <c r="B43" s="6"/>
      <c r="C43" s="5"/>
      <c r="D43" s="6"/>
      <c r="E43" s="5"/>
      <c r="G43" s="311"/>
      <c r="H43" s="311"/>
      <c r="I43" s="311"/>
      <c r="J43" s="311"/>
      <c r="K43" s="311"/>
      <c r="L43" s="311"/>
      <c r="M43" s="311"/>
      <c r="N43" s="8"/>
      <c r="O43" s="8"/>
      <c r="P43" s="8"/>
      <c r="Q43" s="64"/>
      <c r="R43" s="311"/>
      <c r="S43" s="311"/>
      <c r="T43" s="311"/>
      <c r="U43" s="311"/>
      <c r="V43" s="60"/>
      <c r="W43" s="205"/>
      <c r="X43" s="311"/>
      <c r="Y43" s="311"/>
      <c r="Z43" s="311"/>
      <c r="AB43" s="311"/>
      <c r="AD43" s="311"/>
      <c r="AE43" s="311"/>
      <c r="AF43" s="311"/>
      <c r="AG43" s="311"/>
      <c r="AH43" s="311"/>
    </row>
    <row r="44" spans="1:34">
      <c r="A44" s="35"/>
      <c r="B44" s="6"/>
      <c r="C44" s="6"/>
      <c r="D44" s="6"/>
      <c r="E44" s="5"/>
      <c r="G44" s="311"/>
      <c r="H44" s="311"/>
      <c r="I44" s="311"/>
      <c r="J44" s="311"/>
      <c r="K44" s="311"/>
      <c r="L44" s="311"/>
      <c r="M44" s="311"/>
      <c r="N44" s="8"/>
      <c r="O44" s="8"/>
      <c r="P44" s="8"/>
      <c r="Q44" s="64"/>
      <c r="R44" s="311"/>
      <c r="S44" s="311"/>
      <c r="T44" s="311"/>
      <c r="U44" s="311"/>
      <c r="V44" s="60"/>
      <c r="W44" s="205"/>
      <c r="X44" s="311"/>
      <c r="Y44" s="311"/>
      <c r="Z44" s="311"/>
      <c r="AB44" s="311"/>
      <c r="AD44" s="311"/>
      <c r="AE44" s="311"/>
      <c r="AF44" s="311"/>
      <c r="AG44" s="311"/>
      <c r="AH44" s="311"/>
    </row>
    <row r="45" spans="1:34">
      <c r="A45" s="35"/>
      <c r="B45" s="6"/>
      <c r="C45" s="5"/>
      <c r="D45" s="6"/>
      <c r="E45" s="5"/>
      <c r="G45" s="311"/>
      <c r="H45" s="311"/>
      <c r="I45" s="311"/>
      <c r="J45" s="311"/>
      <c r="K45" s="311"/>
      <c r="L45" s="311"/>
      <c r="M45" s="311"/>
      <c r="N45" s="8"/>
      <c r="O45" s="8"/>
      <c r="P45" s="8"/>
      <c r="Q45" s="64"/>
      <c r="R45" s="311"/>
      <c r="S45" s="311"/>
      <c r="T45" s="311"/>
      <c r="U45" s="311"/>
      <c r="V45" s="60"/>
      <c r="W45" s="205"/>
      <c r="X45" s="311"/>
      <c r="Y45" s="311"/>
      <c r="Z45" s="311"/>
      <c r="AB45" s="311"/>
      <c r="AD45" s="311"/>
      <c r="AE45" s="311"/>
      <c r="AF45" s="311"/>
      <c r="AG45" s="311"/>
      <c r="AH45" s="311"/>
    </row>
    <row r="46" spans="1:34">
      <c r="A46" s="35"/>
      <c r="B46" s="6"/>
      <c r="C46" s="6"/>
      <c r="D46" s="6"/>
      <c r="E46" s="5"/>
      <c r="G46" s="311"/>
      <c r="H46" s="311"/>
      <c r="I46" s="311"/>
      <c r="J46" s="311"/>
      <c r="K46" s="311"/>
      <c r="L46" s="311"/>
      <c r="M46" s="311"/>
      <c r="N46" s="8"/>
      <c r="O46" s="8"/>
      <c r="P46" s="8"/>
      <c r="Q46" s="64"/>
      <c r="R46" s="311"/>
      <c r="S46" s="311"/>
      <c r="T46" s="311"/>
      <c r="U46" s="311"/>
      <c r="V46" s="60"/>
      <c r="W46" s="205"/>
      <c r="X46" s="311"/>
      <c r="Y46" s="311"/>
      <c r="Z46" s="311"/>
      <c r="AB46" s="311"/>
      <c r="AD46" s="311"/>
      <c r="AE46" s="311"/>
      <c r="AF46" s="311"/>
      <c r="AG46" s="311"/>
      <c r="AH46" s="311"/>
    </row>
    <row r="47" spans="1:34">
      <c r="A47" s="35"/>
      <c r="B47" s="6"/>
      <c r="C47" s="5"/>
      <c r="D47" s="6"/>
      <c r="E47" s="5"/>
      <c r="G47" s="311"/>
      <c r="H47" s="311"/>
      <c r="I47" s="311"/>
      <c r="J47" s="311"/>
      <c r="K47" s="311"/>
      <c r="L47" s="311"/>
      <c r="M47" s="311"/>
      <c r="N47" s="8"/>
      <c r="O47" s="8"/>
      <c r="P47" s="8"/>
      <c r="Q47" s="64"/>
      <c r="R47" s="311"/>
      <c r="S47" s="311"/>
      <c r="T47" s="311"/>
      <c r="U47" s="311"/>
      <c r="V47" s="60"/>
      <c r="W47" s="205"/>
      <c r="X47" s="311"/>
      <c r="Y47" s="311"/>
      <c r="Z47" s="311"/>
      <c r="AB47" s="311"/>
      <c r="AD47" s="311"/>
      <c r="AE47" s="311"/>
      <c r="AF47" s="311"/>
      <c r="AG47" s="311"/>
      <c r="AH47" s="311"/>
    </row>
    <row r="48" spans="1:34">
      <c r="A48" s="35"/>
      <c r="B48" s="6"/>
      <c r="C48" s="6"/>
      <c r="D48" s="6"/>
      <c r="E48" s="5"/>
      <c r="G48" s="311"/>
      <c r="H48" s="311"/>
      <c r="I48" s="311"/>
      <c r="J48" s="311"/>
      <c r="K48" s="311"/>
      <c r="L48" s="311"/>
      <c r="M48" s="311"/>
      <c r="N48" s="8"/>
      <c r="O48" s="8"/>
      <c r="P48" s="8"/>
      <c r="Q48" s="64"/>
      <c r="R48" s="311"/>
      <c r="S48" s="311"/>
      <c r="T48" s="311"/>
      <c r="U48" s="311"/>
      <c r="V48" s="60"/>
      <c r="W48" s="205"/>
      <c r="X48" s="311"/>
      <c r="Y48" s="311"/>
      <c r="Z48" s="311"/>
      <c r="AB48" s="311"/>
      <c r="AD48" s="311"/>
      <c r="AE48" s="311"/>
      <c r="AF48" s="311"/>
      <c r="AG48" s="311"/>
      <c r="AH48" s="311"/>
    </row>
    <row r="49" spans="1:34">
      <c r="A49" s="35"/>
      <c r="B49" s="6"/>
      <c r="C49" s="6"/>
      <c r="D49" s="6"/>
      <c r="E49" s="5"/>
      <c r="G49" s="311"/>
      <c r="H49" s="311"/>
      <c r="I49" s="311"/>
      <c r="J49" s="311"/>
      <c r="K49" s="311"/>
      <c r="L49" s="311"/>
      <c r="M49" s="311"/>
      <c r="N49" s="8"/>
      <c r="O49" s="8"/>
      <c r="P49" s="8"/>
      <c r="Q49" s="64"/>
      <c r="R49" s="311"/>
      <c r="S49" s="311"/>
      <c r="T49" s="311"/>
      <c r="U49" s="311"/>
      <c r="V49" s="60"/>
      <c r="W49" s="205"/>
      <c r="X49" s="311"/>
      <c r="Y49" s="311"/>
      <c r="Z49" s="311"/>
      <c r="AB49" s="311"/>
      <c r="AD49" s="311"/>
      <c r="AE49" s="311"/>
      <c r="AF49" s="311"/>
      <c r="AG49" s="311"/>
      <c r="AH49" s="311"/>
    </row>
    <row r="50" spans="1:34">
      <c r="A50" s="35"/>
      <c r="B50" s="6"/>
      <c r="C50" s="6"/>
      <c r="D50" s="6"/>
      <c r="E50" s="5"/>
      <c r="G50" s="311"/>
      <c r="H50" s="311"/>
      <c r="I50" s="311"/>
      <c r="J50" s="311"/>
      <c r="K50" s="311"/>
      <c r="L50" s="311"/>
      <c r="M50" s="311"/>
      <c r="N50" s="8"/>
      <c r="O50" s="8"/>
      <c r="P50" s="8"/>
      <c r="Q50" s="64"/>
      <c r="R50" s="311"/>
      <c r="S50" s="311"/>
      <c r="T50" s="311"/>
      <c r="U50" s="311"/>
      <c r="V50" s="60"/>
      <c r="W50" s="205"/>
      <c r="X50" s="311"/>
      <c r="Y50" s="311"/>
      <c r="Z50" s="311"/>
      <c r="AB50" s="311"/>
      <c r="AD50" s="311"/>
      <c r="AE50" s="311"/>
      <c r="AF50" s="311"/>
      <c r="AG50" s="311"/>
      <c r="AH50" s="311"/>
    </row>
    <row r="51" spans="1:34">
      <c r="A51" s="35"/>
      <c r="B51" s="6"/>
      <c r="C51" s="6"/>
      <c r="D51" s="6"/>
      <c r="E51" s="5"/>
      <c r="G51" s="311"/>
      <c r="H51" s="311"/>
      <c r="I51" s="311"/>
      <c r="J51" s="311"/>
      <c r="K51" s="311"/>
      <c r="L51" s="311"/>
      <c r="M51" s="311"/>
      <c r="N51" s="8"/>
      <c r="O51" s="8"/>
      <c r="P51" s="8"/>
      <c r="Q51" s="64"/>
      <c r="R51" s="311"/>
      <c r="S51" s="311"/>
      <c r="T51" s="311"/>
      <c r="U51" s="311"/>
      <c r="V51" s="60"/>
      <c r="W51" s="205"/>
      <c r="X51" s="311"/>
      <c r="Y51" s="311"/>
      <c r="Z51" s="311"/>
      <c r="AB51" s="311"/>
      <c r="AD51" s="311"/>
      <c r="AE51" s="311"/>
      <c r="AF51" s="311"/>
      <c r="AG51" s="311"/>
      <c r="AH51" s="311"/>
    </row>
    <row r="52" spans="1:34">
      <c r="A52" s="35"/>
      <c r="B52" s="6"/>
      <c r="C52" s="6"/>
      <c r="D52" s="6"/>
      <c r="E52" s="5"/>
      <c r="G52" s="311"/>
      <c r="H52" s="311"/>
      <c r="I52" s="311"/>
      <c r="J52" s="311"/>
      <c r="K52" s="311"/>
      <c r="L52" s="311"/>
      <c r="M52" s="311"/>
      <c r="N52" s="8"/>
      <c r="O52" s="8"/>
      <c r="P52" s="8"/>
      <c r="Q52" s="64"/>
      <c r="R52" s="311"/>
      <c r="S52" s="311"/>
      <c r="T52" s="311"/>
      <c r="U52" s="311"/>
      <c r="V52" s="60"/>
      <c r="W52" s="205"/>
      <c r="X52" s="311"/>
      <c r="Y52" s="311"/>
      <c r="Z52" s="311"/>
      <c r="AB52" s="311"/>
      <c r="AD52" s="311"/>
      <c r="AE52" s="311"/>
      <c r="AF52" s="311"/>
      <c r="AG52" s="311"/>
      <c r="AH52" s="311"/>
    </row>
  </sheetData>
  <mergeCells count="6">
    <mergeCell ref="Y24:Y26"/>
    <mergeCell ref="Y27:AH27"/>
    <mergeCell ref="A2:W2"/>
    <mergeCell ref="Y3:AH3"/>
    <mergeCell ref="Y5:Y12"/>
    <mergeCell ref="Y14:Y18"/>
  </mergeCells>
  <phoneticPr fontId="5" type="noConversion"/>
  <printOptions horizontalCentered="1"/>
  <pageMargins left="0.7" right="0.7" top="0.75" bottom="0.75" header="0.3" footer="0.3"/>
  <pageSetup scale="27" orientation="landscape"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44C64-70C8-480A-AE05-6E333038DFB7}">
  <dimension ref="B3:G23"/>
  <sheetViews>
    <sheetView topLeftCell="A4" zoomScaleNormal="100" workbookViewId="0">
      <selection activeCell="A10" sqref="A10:XFD10"/>
    </sheetView>
  </sheetViews>
  <sheetFormatPr defaultRowHeight="14.45"/>
  <cols>
    <col min="2" max="2" width="41.28515625" customWidth="1"/>
    <col min="3" max="3" width="83.85546875" customWidth="1"/>
    <col min="4" max="6" width="25.7109375" customWidth="1"/>
    <col min="7" max="7" width="18.5703125" customWidth="1"/>
  </cols>
  <sheetData>
    <row r="3" spans="2:7">
      <c r="B3" s="311"/>
      <c r="C3" s="311"/>
      <c r="D3" s="311"/>
      <c r="E3" s="311"/>
      <c r="F3" s="65" t="s">
        <v>648</v>
      </c>
      <c r="G3" s="70">
        <v>44782</v>
      </c>
    </row>
    <row r="4" spans="2:7" ht="43.15">
      <c r="B4" s="311"/>
      <c r="C4" s="311"/>
      <c r="D4" s="311"/>
      <c r="E4" s="311"/>
      <c r="F4" s="65" t="s">
        <v>649</v>
      </c>
      <c r="G4" s="71" t="s">
        <v>650</v>
      </c>
    </row>
    <row r="5" spans="2:7" ht="18">
      <c r="B5" s="388" t="s">
        <v>651</v>
      </c>
      <c r="C5" s="388"/>
      <c r="D5" s="388"/>
      <c r="E5" s="388"/>
      <c r="F5" s="388"/>
      <c r="G5" s="388"/>
    </row>
    <row r="6" spans="2:7">
      <c r="B6" s="387" t="s">
        <v>652</v>
      </c>
      <c r="C6" s="387"/>
      <c r="D6" s="387"/>
      <c r="E6" s="387"/>
      <c r="F6" s="387"/>
      <c r="G6" s="387"/>
    </row>
    <row r="7" spans="2:7">
      <c r="B7" s="322" t="s">
        <v>653</v>
      </c>
      <c r="C7" s="322" t="s">
        <v>7</v>
      </c>
      <c r="D7" s="322" t="s">
        <v>654</v>
      </c>
      <c r="E7" s="322" t="s">
        <v>5</v>
      </c>
      <c r="F7" s="322" t="s">
        <v>6</v>
      </c>
      <c r="G7" s="322" t="s">
        <v>655</v>
      </c>
    </row>
    <row r="8" spans="2:7" ht="28.9">
      <c r="B8" s="66" t="s">
        <v>276</v>
      </c>
      <c r="C8" s="67" t="s">
        <v>277</v>
      </c>
      <c r="D8" s="66" t="s">
        <v>276</v>
      </c>
      <c r="E8" s="67" t="s">
        <v>168</v>
      </c>
      <c r="F8" s="66" t="s">
        <v>151</v>
      </c>
      <c r="G8" s="72">
        <f>'Roadway Projects - All'!R13</f>
        <v>3186000</v>
      </c>
    </row>
    <row r="9" spans="2:7" ht="28.9">
      <c r="B9" s="67" t="s">
        <v>656</v>
      </c>
      <c r="C9" s="67" t="s">
        <v>657</v>
      </c>
      <c r="D9" s="66" t="s">
        <v>43</v>
      </c>
      <c r="E9" s="67" t="s">
        <v>42</v>
      </c>
      <c r="F9" s="66" t="s">
        <v>84</v>
      </c>
      <c r="G9" s="283">
        <f>'Roadway Projects - All'!R18</f>
        <v>5890560</v>
      </c>
    </row>
    <row r="10" spans="2:7" ht="43.15">
      <c r="B10" s="67" t="s">
        <v>297</v>
      </c>
      <c r="C10" s="67" t="s">
        <v>300</v>
      </c>
      <c r="D10" s="67" t="s">
        <v>294</v>
      </c>
      <c r="E10" s="66" t="s">
        <v>141</v>
      </c>
      <c r="F10" s="66" t="s">
        <v>295</v>
      </c>
      <c r="G10" s="283">
        <f>'Roadway Projects - All'!R17</f>
        <v>1100000</v>
      </c>
    </row>
    <row r="11" spans="2:7" ht="43.15">
      <c r="B11" s="66" t="s">
        <v>658</v>
      </c>
      <c r="C11" s="67" t="s">
        <v>300</v>
      </c>
      <c r="D11" s="66" t="s">
        <v>124</v>
      </c>
      <c r="E11" s="67" t="s">
        <v>301</v>
      </c>
      <c r="F11" s="66" t="s">
        <v>120</v>
      </c>
      <c r="G11" s="283">
        <f>'Roadway Projects - All'!R20</f>
        <v>4180032</v>
      </c>
    </row>
    <row r="12" spans="2:7">
      <c r="B12" s="66" t="s">
        <v>659</v>
      </c>
      <c r="C12" s="67" t="s">
        <v>660</v>
      </c>
      <c r="D12" s="389" t="s">
        <v>661</v>
      </c>
      <c r="E12" s="390"/>
      <c r="F12" s="391"/>
      <c r="G12" s="283">
        <v>800000</v>
      </c>
    </row>
    <row r="13" spans="2:7">
      <c r="B13" s="311"/>
      <c r="C13" s="311"/>
      <c r="D13" s="311"/>
      <c r="E13" s="311"/>
      <c r="F13" s="68" t="s">
        <v>258</v>
      </c>
      <c r="G13" s="283">
        <f>SUM(G8:G12)</f>
        <v>15156592</v>
      </c>
    </row>
    <row r="14" spans="2:7">
      <c r="B14" s="387" t="s">
        <v>662</v>
      </c>
      <c r="C14" s="387"/>
      <c r="D14" s="387"/>
      <c r="E14" s="387"/>
      <c r="F14" s="387"/>
      <c r="G14" s="387"/>
    </row>
    <row r="15" spans="2:7">
      <c r="B15" s="322" t="s">
        <v>653</v>
      </c>
      <c r="C15" s="322" t="s">
        <v>7</v>
      </c>
      <c r="D15" s="322" t="s">
        <v>654</v>
      </c>
      <c r="E15" s="322" t="s">
        <v>5</v>
      </c>
      <c r="F15" s="322" t="s">
        <v>6</v>
      </c>
      <c r="G15" s="322" t="s">
        <v>655</v>
      </c>
    </row>
    <row r="16" spans="2:7" ht="43.15">
      <c r="B16" s="66" t="s">
        <v>663</v>
      </c>
      <c r="C16" s="67" t="s">
        <v>664</v>
      </c>
      <c r="D16" s="66" t="s">
        <v>665</v>
      </c>
      <c r="E16" s="67" t="s">
        <v>168</v>
      </c>
      <c r="F16" s="66" t="s">
        <v>176</v>
      </c>
      <c r="G16" s="283" t="e">
        <f>SUM('Sidewalk Projects - All'!W6,'Sidewalk Projects - All'!W7,'Sidewalk Projects - All'!#REF!,'Sidewalk Projects - All'!W9)</f>
        <v>#REF!</v>
      </c>
    </row>
    <row r="17" spans="2:7" ht="57.6">
      <c r="B17" s="67" t="s">
        <v>666</v>
      </c>
      <c r="C17" s="67" t="s">
        <v>667</v>
      </c>
      <c r="D17" s="66" t="s">
        <v>42</v>
      </c>
      <c r="E17" s="67" t="s">
        <v>43</v>
      </c>
      <c r="F17" s="66" t="s">
        <v>668</v>
      </c>
      <c r="G17" s="283">
        <f>'Sidewalk Projects - All'!W5</f>
        <v>4470000</v>
      </c>
    </row>
    <row r="18" spans="2:7" ht="28.9">
      <c r="B18" s="67" t="s">
        <v>669</v>
      </c>
      <c r="C18" s="67" t="s">
        <v>670</v>
      </c>
      <c r="D18" s="67" t="s">
        <v>61</v>
      </c>
      <c r="E18" s="66" t="s">
        <v>43</v>
      </c>
      <c r="F18" s="66" t="s">
        <v>225</v>
      </c>
      <c r="G18" s="283">
        <f>SUM('Sidewalk Projects - All'!W10,'Sidewalk Projects - All'!W21)</f>
        <v>1061424</v>
      </c>
    </row>
    <row r="19" spans="2:7" ht="28.9">
      <c r="B19" s="67" t="s">
        <v>671</v>
      </c>
      <c r="C19" s="67" t="s">
        <v>672</v>
      </c>
      <c r="D19" s="67" t="s">
        <v>673</v>
      </c>
      <c r="E19" s="66" t="s">
        <v>84</v>
      </c>
      <c r="F19" s="66" t="s">
        <v>91</v>
      </c>
      <c r="G19" s="72">
        <f>'Sidewalk Projects - All'!W8</f>
        <v>383292</v>
      </c>
    </row>
    <row r="20" spans="2:7" ht="45" customHeight="1">
      <c r="B20" s="67" t="s">
        <v>674</v>
      </c>
      <c r="C20" s="67" t="s">
        <v>675</v>
      </c>
      <c r="D20" s="67" t="s">
        <v>676</v>
      </c>
      <c r="E20" s="66" t="s">
        <v>329</v>
      </c>
      <c r="F20" s="66" t="s">
        <v>677</v>
      </c>
      <c r="G20" s="72">
        <f>'Sidewalk Projects - All'!W11</f>
        <v>1460000</v>
      </c>
    </row>
    <row r="21" spans="2:7" ht="45" customHeight="1">
      <c r="B21" s="67" t="s">
        <v>678</v>
      </c>
      <c r="C21" s="67" t="s">
        <v>679</v>
      </c>
      <c r="D21" s="67" t="s">
        <v>124</v>
      </c>
      <c r="E21" s="66" t="s">
        <v>680</v>
      </c>
      <c r="F21" s="66" t="s">
        <v>78</v>
      </c>
      <c r="G21" s="72">
        <f>'Sidewalk Projects - All'!W22</f>
        <v>746928</v>
      </c>
    </row>
    <row r="22" spans="2:7">
      <c r="B22" s="66" t="s">
        <v>681</v>
      </c>
      <c r="C22" s="67" t="s">
        <v>682</v>
      </c>
      <c r="D22" s="66" t="s">
        <v>683</v>
      </c>
      <c r="E22" s="67" t="s">
        <v>168</v>
      </c>
      <c r="F22" s="66" t="s">
        <v>149</v>
      </c>
      <c r="G22" s="72">
        <f>SUM('Sidewalk Projects - All'!W34,'Sidewalk Projects - All'!W35,'Sidewalk Projects - All'!W27,)</f>
        <v>3071888</v>
      </c>
    </row>
    <row r="23" spans="2:7">
      <c r="B23" s="311"/>
      <c r="C23" s="311"/>
      <c r="D23" s="311"/>
      <c r="E23" s="311"/>
      <c r="F23" s="68" t="s">
        <v>258</v>
      </c>
      <c r="G23" s="69" t="e">
        <f>SUM(G16:G22)</f>
        <v>#REF!</v>
      </c>
    </row>
  </sheetData>
  <mergeCells count="4">
    <mergeCell ref="B6:G6"/>
    <mergeCell ref="B5:G5"/>
    <mergeCell ref="B14:G14"/>
    <mergeCell ref="D12:F12"/>
  </mergeCell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611A9-9BF9-4B26-8CFC-3219F34549E0}">
  <sheetPr>
    <pageSetUpPr fitToPage="1"/>
  </sheetPr>
  <dimension ref="B4:X30"/>
  <sheetViews>
    <sheetView zoomScale="70" zoomScaleNormal="70" workbookViewId="0">
      <selection activeCell="E34" sqref="E34"/>
    </sheetView>
  </sheetViews>
  <sheetFormatPr defaultRowHeight="14.45"/>
  <cols>
    <col min="3" max="3" width="15.5703125" bestFit="1" customWidth="1"/>
    <col min="4" max="4" width="32.85546875" customWidth="1"/>
    <col min="5" max="5" width="31.85546875" customWidth="1"/>
    <col min="6" max="6" width="75.5703125" customWidth="1"/>
    <col min="7" max="7" width="21.28515625" customWidth="1"/>
    <col min="8" max="16" width="15.7109375" customWidth="1"/>
    <col min="17" max="17" width="18.5703125" customWidth="1"/>
    <col min="18" max="18" width="23.28515625" customWidth="1"/>
    <col min="19" max="19" width="23" customWidth="1"/>
    <col min="20" max="20" width="25.28515625" customWidth="1"/>
    <col min="21" max="21" width="21.28515625" customWidth="1"/>
    <col min="22" max="22" width="26.28515625" customWidth="1"/>
    <col min="23" max="23" width="22.28515625" customWidth="1"/>
    <col min="24" max="24" width="17" customWidth="1"/>
  </cols>
  <sheetData>
    <row r="4" spans="2:24">
      <c r="B4" s="311"/>
      <c r="C4" s="311"/>
      <c r="D4" s="311"/>
      <c r="E4" s="311"/>
      <c r="F4" s="311"/>
      <c r="G4" s="311"/>
      <c r="H4" s="311"/>
      <c r="I4" s="311"/>
      <c r="J4" s="311"/>
      <c r="K4" s="311"/>
      <c r="L4" s="311"/>
      <c r="M4" s="311"/>
      <c r="N4" s="311"/>
      <c r="O4" s="311"/>
      <c r="P4" s="311"/>
      <c r="Q4" s="311"/>
      <c r="R4" s="363" t="s">
        <v>684</v>
      </c>
      <c r="S4" s="363"/>
      <c r="T4" s="363"/>
      <c r="U4" s="363"/>
      <c r="V4" s="363"/>
      <c r="W4" s="363"/>
      <c r="X4" s="311"/>
    </row>
    <row r="5" spans="2:24">
      <c r="B5" s="311"/>
      <c r="C5" s="311"/>
      <c r="D5" s="311"/>
      <c r="E5" s="311"/>
      <c r="F5" s="311"/>
      <c r="G5" s="311"/>
      <c r="H5" s="311"/>
      <c r="I5" s="311"/>
      <c r="J5" s="311"/>
      <c r="K5" s="311"/>
      <c r="L5" s="311"/>
      <c r="M5" s="311"/>
      <c r="N5" s="311"/>
      <c r="O5" s="311"/>
      <c r="P5" s="311"/>
      <c r="Q5" s="311"/>
      <c r="R5" s="311" t="s">
        <v>685</v>
      </c>
      <c r="S5" s="311" t="s">
        <v>686</v>
      </c>
      <c r="T5" s="1" t="s">
        <v>687</v>
      </c>
      <c r="U5" s="311" t="s">
        <v>688</v>
      </c>
      <c r="V5" s="311" t="s">
        <v>689</v>
      </c>
      <c r="W5" s="311" t="s">
        <v>690</v>
      </c>
      <c r="X5" s="311"/>
    </row>
    <row r="6" spans="2:24">
      <c r="B6" s="311"/>
      <c r="C6" s="311"/>
      <c r="D6" s="311"/>
      <c r="E6" s="311"/>
      <c r="F6" s="311"/>
      <c r="G6" s="311"/>
      <c r="H6" s="311"/>
      <c r="I6" s="311"/>
      <c r="J6" s="311"/>
      <c r="K6" s="311"/>
      <c r="L6" s="311"/>
      <c r="M6" s="311"/>
      <c r="N6" s="311"/>
      <c r="O6" s="311"/>
      <c r="P6" s="311"/>
      <c r="Q6" s="311"/>
      <c r="R6" s="311" t="s">
        <v>691</v>
      </c>
      <c r="S6" s="311" t="s">
        <v>692</v>
      </c>
      <c r="T6" s="311" t="s">
        <v>693</v>
      </c>
      <c r="U6" s="311" t="s">
        <v>694</v>
      </c>
      <c r="V6" s="311" t="s">
        <v>695</v>
      </c>
      <c r="W6" s="311" t="s">
        <v>696</v>
      </c>
      <c r="X6" s="311"/>
    </row>
    <row r="7" spans="2:24">
      <c r="B7" s="311"/>
      <c r="C7" s="311"/>
      <c r="D7" s="311"/>
      <c r="E7" s="311"/>
      <c r="F7" s="311"/>
      <c r="G7" s="311"/>
      <c r="H7" s="311"/>
      <c r="I7" s="311"/>
      <c r="J7" s="311"/>
      <c r="K7" s="311"/>
      <c r="L7" s="311"/>
      <c r="M7" s="311"/>
      <c r="N7" s="311"/>
      <c r="O7" s="311"/>
      <c r="P7" s="311"/>
      <c r="Q7" s="311"/>
      <c r="R7" s="311" t="s">
        <v>697</v>
      </c>
      <c r="S7" s="311" t="s">
        <v>698</v>
      </c>
      <c r="T7" s="311" t="s">
        <v>699</v>
      </c>
      <c r="U7" s="311" t="s">
        <v>700</v>
      </c>
      <c r="V7" s="311" t="s">
        <v>701</v>
      </c>
      <c r="W7" s="311" t="s">
        <v>702</v>
      </c>
      <c r="X7" s="311"/>
    </row>
    <row r="8" spans="2:24">
      <c r="B8" s="311"/>
      <c r="C8" s="311"/>
      <c r="D8" s="311"/>
      <c r="E8" s="311"/>
      <c r="F8" s="311"/>
      <c r="G8" s="311"/>
      <c r="H8" s="311"/>
      <c r="I8" s="311"/>
      <c r="J8" s="311"/>
      <c r="K8" s="311"/>
      <c r="L8" s="311"/>
      <c r="M8" s="311"/>
      <c r="N8" s="311"/>
      <c r="O8" s="311"/>
      <c r="P8" s="311"/>
      <c r="Q8" s="311"/>
      <c r="R8" s="311" t="s">
        <v>703</v>
      </c>
      <c r="S8" s="311" t="s">
        <v>704</v>
      </c>
      <c r="T8" s="311" t="s">
        <v>705</v>
      </c>
      <c r="U8" s="311" t="s">
        <v>706</v>
      </c>
      <c r="V8" s="311" t="s">
        <v>707</v>
      </c>
      <c r="W8" s="311" t="s">
        <v>708</v>
      </c>
      <c r="X8" s="311"/>
    </row>
    <row r="9" spans="2:24">
      <c r="B9" s="311"/>
      <c r="C9" s="311"/>
      <c r="D9" s="311"/>
      <c r="E9" s="311"/>
      <c r="F9" s="311"/>
      <c r="G9" s="311"/>
      <c r="H9" s="311"/>
      <c r="I9" s="311"/>
      <c r="J9" s="311"/>
      <c r="K9" s="311"/>
      <c r="L9" s="311"/>
      <c r="M9" s="311"/>
      <c r="N9" s="311"/>
      <c r="O9" s="311"/>
      <c r="P9" s="311"/>
      <c r="Q9" s="311"/>
      <c r="R9" s="311" t="s">
        <v>709</v>
      </c>
      <c r="S9" s="311" t="s">
        <v>710</v>
      </c>
      <c r="T9" s="311" t="s">
        <v>711</v>
      </c>
      <c r="U9" s="311" t="s">
        <v>712</v>
      </c>
      <c r="V9" s="311" t="s">
        <v>713</v>
      </c>
      <c r="W9" s="311" t="s">
        <v>714</v>
      </c>
      <c r="X9" s="311"/>
    </row>
    <row r="10" spans="2:24">
      <c r="B10" s="311"/>
      <c r="C10" s="363" t="s">
        <v>715</v>
      </c>
      <c r="D10" s="363"/>
      <c r="E10" s="363"/>
      <c r="F10" s="363"/>
      <c r="G10" s="363"/>
      <c r="H10" s="363"/>
      <c r="I10" s="363"/>
      <c r="J10" s="363"/>
      <c r="K10" s="363"/>
      <c r="L10" s="363"/>
      <c r="M10" s="363"/>
      <c r="N10" s="363"/>
      <c r="O10" s="363"/>
      <c r="P10" s="363"/>
      <c r="Q10" s="363"/>
      <c r="R10" s="311"/>
      <c r="S10" s="311"/>
      <c r="T10" s="311"/>
      <c r="U10" s="311"/>
      <c r="V10" s="311"/>
      <c r="W10" s="311"/>
      <c r="X10" s="311"/>
    </row>
    <row r="11" spans="2:24" ht="28.9">
      <c r="B11" s="11" t="s">
        <v>2</v>
      </c>
      <c r="C11" s="2" t="s">
        <v>4</v>
      </c>
      <c r="D11" s="2" t="s">
        <v>5</v>
      </c>
      <c r="E11" s="2" t="s">
        <v>6</v>
      </c>
      <c r="F11" s="2" t="s">
        <v>716</v>
      </c>
      <c r="G11" s="2" t="s">
        <v>717</v>
      </c>
      <c r="H11" s="3" t="s">
        <v>11</v>
      </c>
      <c r="I11" s="3" t="s">
        <v>12</v>
      </c>
      <c r="J11" s="3" t="s">
        <v>15</v>
      </c>
      <c r="K11" s="3" t="s">
        <v>16</v>
      </c>
      <c r="L11" s="3" t="s">
        <v>17</v>
      </c>
      <c r="M11" s="3" t="s">
        <v>16</v>
      </c>
      <c r="N11" s="3" t="s">
        <v>19</v>
      </c>
      <c r="O11" s="3" t="s">
        <v>20</v>
      </c>
      <c r="P11" s="3" t="s">
        <v>21</v>
      </c>
      <c r="Q11" s="3" t="s">
        <v>23</v>
      </c>
      <c r="R11" s="4" t="s">
        <v>718</v>
      </c>
      <c r="S11" s="3" t="s">
        <v>719</v>
      </c>
      <c r="T11" s="3" t="s">
        <v>720</v>
      </c>
      <c r="U11" s="3" t="s">
        <v>717</v>
      </c>
      <c r="V11" s="3" t="s">
        <v>31</v>
      </c>
      <c r="W11" s="3" t="s">
        <v>34</v>
      </c>
      <c r="X11" s="3" t="s">
        <v>35</v>
      </c>
    </row>
    <row r="12" spans="2:24" ht="16.149999999999999">
      <c r="B12" s="311"/>
      <c r="C12" s="5" t="s">
        <v>721</v>
      </c>
      <c r="D12" s="5" t="s">
        <v>154</v>
      </c>
      <c r="E12" s="5" t="s">
        <v>149</v>
      </c>
      <c r="F12" s="5" t="s">
        <v>722</v>
      </c>
      <c r="G12" s="5">
        <v>1444</v>
      </c>
      <c r="H12" s="311">
        <v>1300</v>
      </c>
      <c r="I12" s="311">
        <v>400</v>
      </c>
      <c r="J12" s="311">
        <v>2</v>
      </c>
      <c r="K12" s="311">
        <v>4000</v>
      </c>
      <c r="L12" s="311"/>
      <c r="M12" s="311">
        <v>2500</v>
      </c>
      <c r="N12" s="7">
        <f t="shared" ref="N12:N30" si="0">H12*I12+J12*K12+L12*M12</f>
        <v>528000</v>
      </c>
      <c r="O12" s="8">
        <f t="shared" ref="O12:O30" si="1">N12*0.1</f>
        <v>52800</v>
      </c>
      <c r="P12" s="8">
        <f t="shared" ref="P12:P30" si="2">N12*0.07</f>
        <v>36960</v>
      </c>
      <c r="Q12" s="8">
        <f t="shared" ref="Q12:Q30" si="3">SUM(N12:P12)</f>
        <v>617760</v>
      </c>
      <c r="R12" s="311">
        <v>3</v>
      </c>
      <c r="S12" s="311">
        <v>3</v>
      </c>
      <c r="T12" s="311">
        <v>5</v>
      </c>
      <c r="U12" s="311">
        <v>5</v>
      </c>
      <c r="V12" s="311">
        <v>3</v>
      </c>
      <c r="W12" s="311">
        <v>0</v>
      </c>
      <c r="X12" s="9" cm="1">
        <f t="array" ref="X12">SUM(R12:W12/6)</f>
        <v>3.166666666666667</v>
      </c>
    </row>
    <row r="13" spans="2:24" ht="16.149999999999999">
      <c r="B13" s="311"/>
      <c r="C13" s="5" t="s">
        <v>723</v>
      </c>
      <c r="D13" s="5" t="s">
        <v>168</v>
      </c>
      <c r="E13" s="5" t="s">
        <v>187</v>
      </c>
      <c r="F13" s="5" t="s">
        <v>724</v>
      </c>
      <c r="G13" s="5">
        <v>1444</v>
      </c>
      <c r="H13" s="311">
        <v>850</v>
      </c>
      <c r="I13" s="311">
        <v>400</v>
      </c>
      <c r="J13" s="311"/>
      <c r="K13" s="311">
        <v>4000</v>
      </c>
      <c r="L13" s="311"/>
      <c r="M13" s="311">
        <v>2500</v>
      </c>
      <c r="N13" s="7">
        <f t="shared" si="0"/>
        <v>340000</v>
      </c>
      <c r="O13" s="8">
        <f t="shared" si="1"/>
        <v>34000</v>
      </c>
      <c r="P13" s="8">
        <f t="shared" si="2"/>
        <v>23800.000000000004</v>
      </c>
      <c r="Q13" s="8">
        <f t="shared" si="3"/>
        <v>397800</v>
      </c>
      <c r="R13" s="311">
        <v>3</v>
      </c>
      <c r="S13" s="311">
        <v>4</v>
      </c>
      <c r="T13" s="311">
        <v>5</v>
      </c>
      <c r="U13" s="311">
        <v>5</v>
      </c>
      <c r="V13" s="311">
        <v>4</v>
      </c>
      <c r="W13" s="311">
        <v>0</v>
      </c>
      <c r="X13" s="9" cm="1">
        <f t="array" ref="X13">SUM(R13:W13/6)</f>
        <v>3.5</v>
      </c>
    </row>
    <row r="14" spans="2:24" ht="16.149999999999999">
      <c r="B14" s="311"/>
      <c r="C14" s="5" t="s">
        <v>190</v>
      </c>
      <c r="D14" s="5" t="s">
        <v>218</v>
      </c>
      <c r="E14" s="5" t="s">
        <v>725</v>
      </c>
      <c r="F14" s="5" t="s">
        <v>726</v>
      </c>
      <c r="G14" s="5">
        <v>554</v>
      </c>
      <c r="H14" s="311">
        <v>0</v>
      </c>
      <c r="I14" s="311">
        <v>400</v>
      </c>
      <c r="J14" s="311">
        <v>12</v>
      </c>
      <c r="K14" s="311">
        <v>4000</v>
      </c>
      <c r="L14" s="311">
        <v>4</v>
      </c>
      <c r="M14" s="311">
        <v>2500</v>
      </c>
      <c r="N14" s="7">
        <f t="shared" si="0"/>
        <v>58000</v>
      </c>
      <c r="O14" s="8">
        <f t="shared" si="1"/>
        <v>5800</v>
      </c>
      <c r="P14" s="8">
        <f t="shared" si="2"/>
        <v>4060.0000000000005</v>
      </c>
      <c r="Q14" s="8">
        <f t="shared" si="3"/>
        <v>67860</v>
      </c>
      <c r="R14" s="311">
        <v>3</v>
      </c>
      <c r="S14" s="311">
        <v>5</v>
      </c>
      <c r="T14" s="311">
        <v>5</v>
      </c>
      <c r="U14" s="311">
        <v>2</v>
      </c>
      <c r="V14" s="311">
        <v>5</v>
      </c>
      <c r="W14" s="311">
        <v>0</v>
      </c>
      <c r="X14" s="9" cm="1">
        <f t="array" ref="X14">SUM(R14:W14/6)</f>
        <v>3.3333333333333339</v>
      </c>
    </row>
    <row r="15" spans="2:24" ht="16.149999999999999">
      <c r="B15" s="311"/>
      <c r="C15" s="5" t="s">
        <v>727</v>
      </c>
      <c r="D15" s="5" t="s">
        <v>169</v>
      </c>
      <c r="E15" s="5" t="s">
        <v>170</v>
      </c>
      <c r="F15" s="5" t="s">
        <v>726</v>
      </c>
      <c r="G15" s="5">
        <v>554</v>
      </c>
      <c r="H15" s="311">
        <v>2700</v>
      </c>
      <c r="I15" s="311">
        <v>400</v>
      </c>
      <c r="J15" s="311">
        <v>6</v>
      </c>
      <c r="K15" s="311">
        <v>4000</v>
      </c>
      <c r="L15" s="311">
        <v>0</v>
      </c>
      <c r="M15" s="311">
        <v>2500</v>
      </c>
      <c r="N15" s="7">
        <f t="shared" si="0"/>
        <v>1104000</v>
      </c>
      <c r="O15" s="8">
        <f t="shared" si="1"/>
        <v>110400</v>
      </c>
      <c r="P15" s="8">
        <f t="shared" si="2"/>
        <v>77280.000000000015</v>
      </c>
      <c r="Q15" s="8">
        <f t="shared" si="3"/>
        <v>1291680</v>
      </c>
      <c r="R15" s="311">
        <v>4</v>
      </c>
      <c r="S15" s="311">
        <v>5</v>
      </c>
      <c r="T15" s="311">
        <v>5</v>
      </c>
      <c r="U15" s="311">
        <v>2</v>
      </c>
      <c r="V15" s="311">
        <v>1</v>
      </c>
      <c r="W15" s="311">
        <v>0</v>
      </c>
      <c r="X15" s="9" cm="1">
        <f t="array" ref="X15">SUM(R15:W15/6)</f>
        <v>2.8333333333333335</v>
      </c>
    </row>
    <row r="16" spans="2:24" ht="16.149999999999999">
      <c r="B16" s="311" t="s">
        <v>72</v>
      </c>
      <c r="C16" s="5" t="s">
        <v>195</v>
      </c>
      <c r="D16" s="5" t="s">
        <v>196</v>
      </c>
      <c r="E16" s="5" t="s">
        <v>197</v>
      </c>
      <c r="F16" s="5" t="s">
        <v>728</v>
      </c>
      <c r="G16" s="5">
        <v>578</v>
      </c>
      <c r="H16" s="311">
        <v>0</v>
      </c>
      <c r="I16" s="311">
        <v>400</v>
      </c>
      <c r="J16" s="311">
        <v>11</v>
      </c>
      <c r="K16" s="311">
        <v>4000</v>
      </c>
      <c r="L16" s="311">
        <v>2</v>
      </c>
      <c r="M16" s="311">
        <v>2500</v>
      </c>
      <c r="N16" s="7">
        <f t="shared" si="0"/>
        <v>49000</v>
      </c>
      <c r="O16" s="8">
        <f t="shared" si="1"/>
        <v>4900</v>
      </c>
      <c r="P16" s="8">
        <f t="shared" si="2"/>
        <v>3430.0000000000005</v>
      </c>
      <c r="Q16" s="8">
        <f t="shared" si="3"/>
        <v>57330</v>
      </c>
      <c r="R16" s="311">
        <v>1</v>
      </c>
      <c r="S16" s="311">
        <v>5</v>
      </c>
      <c r="T16" s="311">
        <v>5</v>
      </c>
      <c r="U16" s="311">
        <v>2</v>
      </c>
      <c r="V16" s="311">
        <v>5</v>
      </c>
      <c r="W16" s="311">
        <v>0</v>
      </c>
      <c r="X16" s="9" cm="1">
        <f t="array" ref="X16">SUM(R16:W16/6)</f>
        <v>3.0000000000000004</v>
      </c>
    </row>
    <row r="17" spans="2:24">
      <c r="B17" s="311"/>
      <c r="C17" s="5" t="s">
        <v>83</v>
      </c>
      <c r="D17" s="5" t="s">
        <v>211</v>
      </c>
      <c r="E17" s="5" t="s">
        <v>78</v>
      </c>
      <c r="F17" s="5" t="s">
        <v>729</v>
      </c>
      <c r="G17" s="5">
        <v>578</v>
      </c>
      <c r="H17" s="311">
        <v>3400</v>
      </c>
      <c r="I17" s="311">
        <v>400</v>
      </c>
      <c r="J17" s="311">
        <v>6</v>
      </c>
      <c r="K17" s="311">
        <v>4000</v>
      </c>
      <c r="L17" s="311">
        <v>2</v>
      </c>
      <c r="M17" s="311">
        <v>2500</v>
      </c>
      <c r="N17" s="7">
        <f t="shared" si="0"/>
        <v>1389000</v>
      </c>
      <c r="O17" s="8">
        <f t="shared" si="1"/>
        <v>138900</v>
      </c>
      <c r="P17" s="8">
        <f t="shared" si="2"/>
        <v>97230.000000000015</v>
      </c>
      <c r="Q17" s="8">
        <f t="shared" si="3"/>
        <v>1625130</v>
      </c>
      <c r="R17" s="311">
        <v>1</v>
      </c>
      <c r="S17" s="311">
        <v>4</v>
      </c>
      <c r="T17" s="311">
        <v>1</v>
      </c>
      <c r="U17" s="311">
        <v>2</v>
      </c>
      <c r="V17" s="311">
        <v>1</v>
      </c>
      <c r="W17" s="311">
        <v>0</v>
      </c>
      <c r="X17" s="9" cm="1">
        <f t="array" ref="X17">SUM(R17:W17/6)</f>
        <v>1.5</v>
      </c>
    </row>
    <row r="18" spans="2:24" ht="16.149999999999999">
      <c r="B18" s="311" t="s">
        <v>153</v>
      </c>
      <c r="C18" s="5" t="s">
        <v>730</v>
      </c>
      <c r="D18" s="5" t="s">
        <v>175</v>
      </c>
      <c r="E18" s="5" t="s">
        <v>176</v>
      </c>
      <c r="F18" s="6" t="s">
        <v>731</v>
      </c>
      <c r="G18" s="6">
        <v>2048</v>
      </c>
      <c r="H18" s="311">
        <v>1000</v>
      </c>
      <c r="I18" s="311">
        <v>400</v>
      </c>
      <c r="J18" s="311">
        <v>8</v>
      </c>
      <c r="K18" s="311">
        <v>4000</v>
      </c>
      <c r="L18" s="311"/>
      <c r="M18" s="311">
        <v>2500</v>
      </c>
      <c r="N18" s="7">
        <f t="shared" si="0"/>
        <v>432000</v>
      </c>
      <c r="O18" s="8">
        <f t="shared" si="1"/>
        <v>43200</v>
      </c>
      <c r="P18" s="8">
        <f t="shared" si="2"/>
        <v>30240.000000000004</v>
      </c>
      <c r="Q18" s="8">
        <f t="shared" si="3"/>
        <v>505440</v>
      </c>
      <c r="R18" s="311">
        <v>3</v>
      </c>
      <c r="S18" s="311">
        <v>5</v>
      </c>
      <c r="T18" s="311">
        <v>5</v>
      </c>
      <c r="U18" s="311">
        <v>5</v>
      </c>
      <c r="V18" s="311">
        <v>3</v>
      </c>
      <c r="W18" s="311">
        <v>0</v>
      </c>
      <c r="X18" s="9" cm="1">
        <f t="array" ref="X18">SUM(R18:W18/6)</f>
        <v>3.5000000000000004</v>
      </c>
    </row>
    <row r="19" spans="2:24" ht="16.149999999999999">
      <c r="B19" s="311" t="s">
        <v>87</v>
      </c>
      <c r="C19" s="5" t="s">
        <v>732</v>
      </c>
      <c r="D19" s="5" t="s">
        <v>733</v>
      </c>
      <c r="E19" s="5" t="s">
        <v>168</v>
      </c>
      <c r="F19" s="6" t="s">
        <v>731</v>
      </c>
      <c r="G19" s="6">
        <v>2048</v>
      </c>
      <c r="H19" s="311">
        <v>2400</v>
      </c>
      <c r="I19" s="311">
        <v>400</v>
      </c>
      <c r="J19" s="311">
        <v>5</v>
      </c>
      <c r="K19" s="311">
        <v>4000</v>
      </c>
      <c r="L19" s="311"/>
      <c r="M19" s="311">
        <v>2500</v>
      </c>
      <c r="N19" s="7">
        <f t="shared" si="0"/>
        <v>980000</v>
      </c>
      <c r="O19" s="8">
        <f t="shared" si="1"/>
        <v>98000</v>
      </c>
      <c r="P19" s="8">
        <f t="shared" si="2"/>
        <v>68600</v>
      </c>
      <c r="Q19" s="8">
        <f t="shared" si="3"/>
        <v>1146600</v>
      </c>
      <c r="R19" s="311">
        <v>3</v>
      </c>
      <c r="S19" s="311">
        <v>5</v>
      </c>
      <c r="T19" s="311">
        <v>5</v>
      </c>
      <c r="U19" s="311">
        <v>5</v>
      </c>
      <c r="V19" s="311">
        <v>1</v>
      </c>
      <c r="W19" s="311">
        <v>0</v>
      </c>
      <c r="X19" s="9" cm="1">
        <f t="array" ref="X19">SUM(R19:W19/6)</f>
        <v>3.166666666666667</v>
      </c>
    </row>
    <row r="20" spans="2:24" ht="16.149999999999999">
      <c r="B20" s="311"/>
      <c r="C20" s="5" t="s">
        <v>730</v>
      </c>
      <c r="D20" s="5" t="s">
        <v>149</v>
      </c>
      <c r="E20" s="5" t="s">
        <v>142</v>
      </c>
      <c r="F20" s="6" t="s">
        <v>731</v>
      </c>
      <c r="G20" s="6">
        <v>2048</v>
      </c>
      <c r="H20" s="311">
        <v>1350</v>
      </c>
      <c r="I20" s="311">
        <v>400</v>
      </c>
      <c r="J20" s="311">
        <v>4</v>
      </c>
      <c r="K20" s="311">
        <v>4000</v>
      </c>
      <c r="L20" s="311"/>
      <c r="M20" s="311">
        <v>2500</v>
      </c>
      <c r="N20" s="7">
        <f t="shared" si="0"/>
        <v>556000</v>
      </c>
      <c r="O20" s="8">
        <f t="shared" si="1"/>
        <v>55600</v>
      </c>
      <c r="P20" s="8">
        <f t="shared" si="2"/>
        <v>38920.000000000007</v>
      </c>
      <c r="Q20" s="8">
        <f t="shared" si="3"/>
        <v>650520</v>
      </c>
      <c r="R20" s="311">
        <v>3</v>
      </c>
      <c r="S20" s="311">
        <v>5</v>
      </c>
      <c r="T20" s="311">
        <v>1</v>
      </c>
      <c r="U20" s="311">
        <v>5</v>
      </c>
      <c r="V20" s="311">
        <v>3</v>
      </c>
      <c r="W20" s="311">
        <v>0</v>
      </c>
      <c r="X20" s="9" cm="1">
        <f t="array" ref="X20">SUM(R20:W20/6)</f>
        <v>2.8333333333333335</v>
      </c>
    </row>
    <row r="21" spans="2:24" ht="16.149999999999999">
      <c r="B21" s="311"/>
      <c r="C21" s="5" t="s">
        <v>206</v>
      </c>
      <c r="D21" s="5" t="s">
        <v>150</v>
      </c>
      <c r="E21" s="5" t="s">
        <v>207</v>
      </c>
      <c r="F21" s="6" t="s">
        <v>731</v>
      </c>
      <c r="G21" s="6">
        <v>2048</v>
      </c>
      <c r="H21" s="311">
        <v>2500</v>
      </c>
      <c r="I21" s="311">
        <v>400</v>
      </c>
      <c r="J21" s="311">
        <v>4</v>
      </c>
      <c r="K21" s="311">
        <v>4000</v>
      </c>
      <c r="L21" s="311">
        <v>2</v>
      </c>
      <c r="M21" s="311">
        <v>2500</v>
      </c>
      <c r="N21" s="7">
        <f t="shared" si="0"/>
        <v>1021000</v>
      </c>
      <c r="O21" s="8">
        <f t="shared" si="1"/>
        <v>102100</v>
      </c>
      <c r="P21" s="8">
        <f t="shared" si="2"/>
        <v>71470</v>
      </c>
      <c r="Q21" s="8">
        <f t="shared" si="3"/>
        <v>1194570</v>
      </c>
      <c r="R21" s="311">
        <v>3</v>
      </c>
      <c r="S21" s="311">
        <v>4</v>
      </c>
      <c r="T21" s="311">
        <v>1</v>
      </c>
      <c r="U21" s="311">
        <v>5</v>
      </c>
      <c r="V21" s="311">
        <v>1</v>
      </c>
      <c r="W21" s="311">
        <v>0</v>
      </c>
      <c r="X21" s="9" cm="1">
        <f t="array" ref="X21">SUM(R21:W21/6)</f>
        <v>2.333333333333333</v>
      </c>
    </row>
    <row r="22" spans="2:24">
      <c r="B22" s="311"/>
      <c r="C22" s="5" t="s">
        <v>734</v>
      </c>
      <c r="D22" s="5" t="s">
        <v>84</v>
      </c>
      <c r="E22" s="5" t="s">
        <v>91</v>
      </c>
      <c r="F22" s="5" t="s">
        <v>735</v>
      </c>
      <c r="G22" s="5">
        <v>1691</v>
      </c>
      <c r="H22" s="311">
        <v>2100</v>
      </c>
      <c r="I22" s="311">
        <v>400</v>
      </c>
      <c r="J22" s="311">
        <v>8</v>
      </c>
      <c r="K22" s="311">
        <v>4000</v>
      </c>
      <c r="L22" s="311"/>
      <c r="M22" s="311">
        <v>2500</v>
      </c>
      <c r="N22" s="7">
        <f t="shared" si="0"/>
        <v>872000</v>
      </c>
      <c r="O22" s="8">
        <f t="shared" si="1"/>
        <v>87200</v>
      </c>
      <c r="P22" s="8">
        <f t="shared" si="2"/>
        <v>61040.000000000007</v>
      </c>
      <c r="Q22" s="8">
        <f t="shared" si="3"/>
        <v>1020240</v>
      </c>
      <c r="R22" s="311">
        <v>3</v>
      </c>
      <c r="S22" s="311">
        <v>4</v>
      </c>
      <c r="T22" s="311">
        <v>1</v>
      </c>
      <c r="U22" s="311">
        <v>5</v>
      </c>
      <c r="V22" s="311">
        <v>1</v>
      </c>
      <c r="W22" s="311">
        <v>5</v>
      </c>
      <c r="X22" s="9" cm="1">
        <f t="array" ref="X22">SUM(R22:W22/6)</f>
        <v>3.1666666666666665</v>
      </c>
    </row>
    <row r="23" spans="2:24" ht="16.149999999999999">
      <c r="B23" s="311" t="s">
        <v>179</v>
      </c>
      <c r="C23" s="5" t="s">
        <v>736</v>
      </c>
      <c r="D23" s="5" t="s">
        <v>43</v>
      </c>
      <c r="E23" s="5" t="s">
        <v>214</v>
      </c>
      <c r="F23" s="5" t="s">
        <v>737</v>
      </c>
      <c r="G23" s="5">
        <v>551</v>
      </c>
      <c r="H23" s="311">
        <v>0</v>
      </c>
      <c r="I23" s="311">
        <v>400</v>
      </c>
      <c r="J23" s="311">
        <v>4</v>
      </c>
      <c r="K23" s="311">
        <v>4000</v>
      </c>
      <c r="L23" s="311">
        <v>2</v>
      </c>
      <c r="M23" s="311">
        <v>2500</v>
      </c>
      <c r="N23" s="7">
        <f t="shared" si="0"/>
        <v>21000</v>
      </c>
      <c r="O23" s="8">
        <f t="shared" si="1"/>
        <v>2100</v>
      </c>
      <c r="P23" s="8">
        <f t="shared" si="2"/>
        <v>1470.0000000000002</v>
      </c>
      <c r="Q23" s="8">
        <f t="shared" si="3"/>
        <v>24570</v>
      </c>
      <c r="R23" s="311">
        <v>4</v>
      </c>
      <c r="S23" s="311">
        <v>5</v>
      </c>
      <c r="T23" s="311">
        <v>5</v>
      </c>
      <c r="U23" s="311">
        <v>2</v>
      </c>
      <c r="V23" s="311">
        <v>5</v>
      </c>
      <c r="W23" s="311">
        <v>0</v>
      </c>
      <c r="X23" s="9" cm="1">
        <f t="array" ref="X23">SUM(R23:W23/6)</f>
        <v>3.5000000000000004</v>
      </c>
    </row>
    <row r="24" spans="2:24" ht="16.149999999999999">
      <c r="B24" s="311" t="s">
        <v>57</v>
      </c>
      <c r="C24" s="5" t="s">
        <v>199</v>
      </c>
      <c r="D24" s="5" t="s">
        <v>84</v>
      </c>
      <c r="E24" s="5" t="s">
        <v>200</v>
      </c>
      <c r="F24" s="5" t="s">
        <v>737</v>
      </c>
      <c r="G24" s="5">
        <v>551</v>
      </c>
      <c r="H24" s="311">
        <v>1800</v>
      </c>
      <c r="I24" s="311">
        <v>400</v>
      </c>
      <c r="J24" s="311">
        <v>2</v>
      </c>
      <c r="K24" s="311">
        <v>4000</v>
      </c>
      <c r="L24" s="311">
        <v>2</v>
      </c>
      <c r="M24" s="311">
        <v>2500</v>
      </c>
      <c r="N24" s="7">
        <f t="shared" si="0"/>
        <v>733000</v>
      </c>
      <c r="O24" s="8">
        <f t="shared" si="1"/>
        <v>73300</v>
      </c>
      <c r="P24" s="8">
        <f t="shared" si="2"/>
        <v>51310.000000000007</v>
      </c>
      <c r="Q24" s="8">
        <f t="shared" si="3"/>
        <v>857610</v>
      </c>
      <c r="R24" s="311">
        <v>1</v>
      </c>
      <c r="S24" s="311">
        <v>5</v>
      </c>
      <c r="T24" s="311">
        <v>5</v>
      </c>
      <c r="U24" s="311">
        <v>2</v>
      </c>
      <c r="V24" s="311">
        <v>5</v>
      </c>
      <c r="W24" s="311">
        <v>0</v>
      </c>
      <c r="X24" s="9" cm="1">
        <f t="array" ref="X24">SUM(R24:W24/6)</f>
        <v>3.0000000000000004</v>
      </c>
    </row>
    <row r="25" spans="2:24">
      <c r="B25" s="311" t="s">
        <v>109</v>
      </c>
      <c r="C25" s="5" t="s">
        <v>738</v>
      </c>
      <c r="D25" s="5" t="s">
        <v>739</v>
      </c>
      <c r="E25" s="5" t="s">
        <v>740</v>
      </c>
      <c r="F25" s="5" t="s">
        <v>741</v>
      </c>
      <c r="G25" s="5">
        <v>648</v>
      </c>
      <c r="H25" s="311">
        <v>160</v>
      </c>
      <c r="I25" s="311">
        <v>400</v>
      </c>
      <c r="J25" s="311">
        <v>2</v>
      </c>
      <c r="K25" s="311">
        <v>4000</v>
      </c>
      <c r="L25" s="311">
        <v>2</v>
      </c>
      <c r="M25" s="311">
        <v>2500</v>
      </c>
      <c r="N25" s="7">
        <f t="shared" si="0"/>
        <v>77000</v>
      </c>
      <c r="O25" s="8">
        <f t="shared" si="1"/>
        <v>7700</v>
      </c>
      <c r="P25" s="8">
        <f t="shared" si="2"/>
        <v>5390.0000000000009</v>
      </c>
      <c r="Q25" s="8">
        <f t="shared" si="3"/>
        <v>90090</v>
      </c>
      <c r="R25" s="311">
        <v>3</v>
      </c>
      <c r="S25" s="311">
        <v>5</v>
      </c>
      <c r="T25" s="311">
        <v>5</v>
      </c>
      <c r="U25" s="311">
        <v>2</v>
      </c>
      <c r="V25" s="311">
        <v>5</v>
      </c>
      <c r="W25" s="311">
        <v>0</v>
      </c>
      <c r="X25" s="9" cm="1">
        <f t="array" ref="X25">SUM(R25:W25/6)</f>
        <v>3.3333333333333339</v>
      </c>
    </row>
    <row r="26" spans="2:24" ht="16.149999999999999">
      <c r="B26" s="311" t="s">
        <v>113</v>
      </c>
      <c r="C26" s="5" t="s">
        <v>742</v>
      </c>
      <c r="D26" s="5" t="s">
        <v>61</v>
      </c>
      <c r="E26" s="5" t="s">
        <v>60</v>
      </c>
      <c r="F26" s="5" t="s">
        <v>741</v>
      </c>
      <c r="G26" s="5">
        <v>648</v>
      </c>
      <c r="H26" s="311">
        <v>650</v>
      </c>
      <c r="I26" s="311">
        <v>400</v>
      </c>
      <c r="J26" s="311">
        <v>10</v>
      </c>
      <c r="K26" s="311">
        <v>4000</v>
      </c>
      <c r="L26" s="311"/>
      <c r="M26" s="311">
        <v>2500</v>
      </c>
      <c r="N26" s="7">
        <f t="shared" si="0"/>
        <v>300000</v>
      </c>
      <c r="O26" s="8">
        <f t="shared" si="1"/>
        <v>30000</v>
      </c>
      <c r="P26" s="8">
        <f t="shared" si="2"/>
        <v>21000.000000000004</v>
      </c>
      <c r="Q26" s="8">
        <f t="shared" si="3"/>
        <v>351000</v>
      </c>
      <c r="R26" s="311">
        <v>1</v>
      </c>
      <c r="S26" s="311">
        <v>5</v>
      </c>
      <c r="T26" s="311">
        <v>5</v>
      </c>
      <c r="U26" s="311">
        <v>2</v>
      </c>
      <c r="V26" s="311">
        <v>4</v>
      </c>
      <c r="W26" s="311">
        <v>0</v>
      </c>
      <c r="X26" s="9" cm="1">
        <f t="array" ref="X26">SUM(R26:W26/6)</f>
        <v>2.8333333333333335</v>
      </c>
    </row>
    <row r="27" spans="2:24">
      <c r="B27" s="311"/>
      <c r="C27" s="10" t="s">
        <v>743</v>
      </c>
      <c r="D27" s="5" t="s">
        <v>329</v>
      </c>
      <c r="E27" s="5" t="s">
        <v>744</v>
      </c>
      <c r="F27" s="10" t="s">
        <v>745</v>
      </c>
      <c r="G27" s="10">
        <v>619</v>
      </c>
      <c r="H27" s="311">
        <v>1500</v>
      </c>
      <c r="I27" s="311">
        <v>400</v>
      </c>
      <c r="J27" s="311">
        <v>2</v>
      </c>
      <c r="K27" s="311">
        <v>4000</v>
      </c>
      <c r="L27" s="311">
        <v>0</v>
      </c>
      <c r="M27" s="311">
        <v>2500</v>
      </c>
      <c r="N27" s="7">
        <f t="shared" si="0"/>
        <v>608000</v>
      </c>
      <c r="O27" s="8">
        <f t="shared" si="1"/>
        <v>60800</v>
      </c>
      <c r="P27" s="8">
        <f t="shared" si="2"/>
        <v>42560.000000000007</v>
      </c>
      <c r="Q27" s="8">
        <f t="shared" si="3"/>
        <v>711360</v>
      </c>
      <c r="R27" s="311">
        <v>1</v>
      </c>
      <c r="S27" s="311">
        <v>5</v>
      </c>
      <c r="T27" s="311">
        <v>5</v>
      </c>
      <c r="U27" s="311">
        <v>2</v>
      </c>
      <c r="V27" s="311">
        <v>3</v>
      </c>
      <c r="W27" s="311">
        <v>0</v>
      </c>
      <c r="X27" s="9" cm="1">
        <f t="array" ref="X27">SUM(R27:W27/6)</f>
        <v>2.666666666666667</v>
      </c>
    </row>
    <row r="28" spans="2:24">
      <c r="B28" s="311"/>
      <c r="C28" s="10" t="s">
        <v>676</v>
      </c>
      <c r="D28" s="5" t="s">
        <v>110</v>
      </c>
      <c r="E28" s="5" t="s">
        <v>218</v>
      </c>
      <c r="F28" s="10" t="s">
        <v>746</v>
      </c>
      <c r="G28" s="10">
        <v>619</v>
      </c>
      <c r="H28" s="311">
        <v>3000</v>
      </c>
      <c r="I28" s="311">
        <v>400</v>
      </c>
      <c r="J28" s="311">
        <v>4</v>
      </c>
      <c r="K28" s="311">
        <v>4000</v>
      </c>
      <c r="L28" s="311">
        <v>2</v>
      </c>
      <c r="M28" s="311">
        <v>2500</v>
      </c>
      <c r="N28" s="7">
        <f t="shared" si="0"/>
        <v>1221000</v>
      </c>
      <c r="O28" s="8">
        <f t="shared" si="1"/>
        <v>122100</v>
      </c>
      <c r="P28" s="8">
        <f t="shared" si="2"/>
        <v>85470.000000000015</v>
      </c>
      <c r="Q28" s="8">
        <f t="shared" si="3"/>
        <v>1428570</v>
      </c>
      <c r="R28" s="311">
        <v>4</v>
      </c>
      <c r="S28" s="311">
        <v>4</v>
      </c>
      <c r="T28" s="311">
        <v>5</v>
      </c>
      <c r="U28" s="311">
        <v>2</v>
      </c>
      <c r="V28" s="311">
        <v>1</v>
      </c>
      <c r="W28" s="311">
        <v>0</v>
      </c>
      <c r="X28" s="9" cm="1">
        <f t="array" ref="X28">SUM(R28:W28/6)</f>
        <v>2.6666666666666665</v>
      </c>
    </row>
    <row r="29" spans="2:24" ht="16.149999999999999">
      <c r="B29" s="311"/>
      <c r="C29" s="82" t="s">
        <v>203</v>
      </c>
      <c r="D29" s="82" t="s">
        <v>204</v>
      </c>
      <c r="E29" s="82" t="s">
        <v>78</v>
      </c>
      <c r="F29" s="82" t="s">
        <v>747</v>
      </c>
      <c r="G29" s="5">
        <v>631</v>
      </c>
      <c r="H29" s="311">
        <v>1300</v>
      </c>
      <c r="I29" s="311">
        <v>400</v>
      </c>
      <c r="J29" s="311">
        <v>2</v>
      </c>
      <c r="K29" s="311">
        <v>4000</v>
      </c>
      <c r="L29" s="311"/>
      <c r="M29" s="311">
        <v>2500</v>
      </c>
      <c r="N29" s="7">
        <f t="shared" si="0"/>
        <v>528000</v>
      </c>
      <c r="O29" s="8">
        <f t="shared" si="1"/>
        <v>52800</v>
      </c>
      <c r="P29" s="8">
        <f t="shared" si="2"/>
        <v>36960</v>
      </c>
      <c r="Q29" s="8">
        <f t="shared" si="3"/>
        <v>617760</v>
      </c>
      <c r="R29" s="311">
        <v>3</v>
      </c>
      <c r="S29" s="311">
        <v>5</v>
      </c>
      <c r="T29" s="311">
        <v>1</v>
      </c>
      <c r="U29" s="311">
        <v>2</v>
      </c>
      <c r="V29" s="311">
        <v>3</v>
      </c>
      <c r="W29" s="311">
        <v>0</v>
      </c>
      <c r="X29" s="9" cm="1">
        <f t="array" ref="X29">SUM(R29:W29/6)</f>
        <v>2.3333333333333335</v>
      </c>
    </row>
    <row r="30" spans="2:24" ht="16.149999999999999">
      <c r="B30" s="311"/>
      <c r="C30" s="5" t="s">
        <v>209</v>
      </c>
      <c r="D30" s="5" t="s">
        <v>124</v>
      </c>
      <c r="E30" s="5" t="s">
        <v>96</v>
      </c>
      <c r="F30" s="5" t="s">
        <v>747</v>
      </c>
      <c r="G30" s="5">
        <v>631</v>
      </c>
      <c r="H30" s="311">
        <v>1200</v>
      </c>
      <c r="I30" s="311">
        <v>400</v>
      </c>
      <c r="J30" s="311">
        <v>4</v>
      </c>
      <c r="K30" s="311">
        <v>4000</v>
      </c>
      <c r="L30" s="311">
        <v>2</v>
      </c>
      <c r="M30" s="311">
        <v>2500</v>
      </c>
      <c r="N30" s="7">
        <f t="shared" si="0"/>
        <v>501000</v>
      </c>
      <c r="O30" s="8">
        <f t="shared" si="1"/>
        <v>50100</v>
      </c>
      <c r="P30" s="8">
        <f t="shared" si="2"/>
        <v>35070</v>
      </c>
      <c r="Q30" s="8">
        <f t="shared" si="3"/>
        <v>586170</v>
      </c>
      <c r="R30" s="311">
        <v>1</v>
      </c>
      <c r="S30" s="311">
        <v>4</v>
      </c>
      <c r="T30" s="311">
        <v>1</v>
      </c>
      <c r="U30" s="311">
        <v>2</v>
      </c>
      <c r="V30" s="311">
        <v>3</v>
      </c>
      <c r="W30" s="311">
        <v>0</v>
      </c>
      <c r="X30" s="9" cm="1">
        <f t="array" ref="X30">SUM(R30:W30/6)</f>
        <v>1.8333333333333333</v>
      </c>
    </row>
  </sheetData>
  <autoFilter ref="C11:X11" xr:uid="{334611A9-9BF9-4B26-8CFC-3219F34549E0}">
    <sortState xmlns:xlrd2="http://schemas.microsoft.com/office/spreadsheetml/2017/richdata2" ref="C12:X30">
      <sortCondition ref="F11"/>
    </sortState>
  </autoFilter>
  <mergeCells count="2">
    <mergeCell ref="R4:W4"/>
    <mergeCell ref="C10:Q10"/>
  </mergeCells>
  <hyperlinks>
    <hyperlink ref="R11" r:id="rId1" xr:uid="{118A6C0C-A4BF-424A-BECD-F8E25FF89C70}"/>
  </hyperlinks>
  <pageMargins left="0.7" right="0.7" top="0.75" bottom="0.75" header="0.3" footer="0.3"/>
  <pageSetup scale="17" orientation="portrait" horizontalDpi="1200" verticalDpi="120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19E1D-B4FE-40A9-88C0-C267B479D438}">
  <sheetPr>
    <pageSetUpPr fitToPage="1"/>
  </sheetPr>
  <dimension ref="B1:N116"/>
  <sheetViews>
    <sheetView zoomScale="115" zoomScaleNormal="115" workbookViewId="0">
      <selection activeCell="L31" sqref="L31"/>
    </sheetView>
  </sheetViews>
  <sheetFormatPr defaultRowHeight="14.45"/>
  <cols>
    <col min="1" max="1" width="12" customWidth="1"/>
    <col min="2" max="2" width="13.7109375" customWidth="1"/>
    <col min="3" max="3" width="20.5703125" style="1" customWidth="1"/>
    <col min="4" max="13" width="12.7109375" customWidth="1"/>
    <col min="14" max="14" width="13.85546875" customWidth="1"/>
  </cols>
  <sheetData>
    <row r="1" spans="2:14" ht="18">
      <c r="B1" s="392" t="s">
        <v>748</v>
      </c>
      <c r="C1" s="392"/>
      <c r="D1" s="392"/>
      <c r="E1" s="392"/>
      <c r="F1" s="392"/>
      <c r="G1" s="392"/>
      <c r="H1" s="392"/>
      <c r="I1" s="392"/>
      <c r="J1" s="392"/>
      <c r="K1" s="392"/>
      <c r="L1" s="392"/>
      <c r="M1" s="392"/>
      <c r="N1" s="162"/>
    </row>
    <row r="2" spans="2:14">
      <c r="B2" s="163"/>
      <c r="C2" s="400" t="s">
        <v>749</v>
      </c>
      <c r="D2" s="393" t="s">
        <v>750</v>
      </c>
      <c r="E2" s="393"/>
      <c r="F2" s="393"/>
      <c r="G2" s="393"/>
      <c r="H2" s="393"/>
      <c r="I2" s="393"/>
      <c r="J2" s="393"/>
      <c r="K2" s="393"/>
      <c r="L2" s="393"/>
      <c r="M2" s="393"/>
      <c r="N2" s="398" t="s">
        <v>258</v>
      </c>
    </row>
    <row r="3" spans="2:14">
      <c r="B3" s="164"/>
      <c r="C3" s="401"/>
      <c r="D3" s="165">
        <v>2023</v>
      </c>
      <c r="E3" s="165">
        <v>2024</v>
      </c>
      <c r="F3" s="165">
        <v>2025</v>
      </c>
      <c r="G3" s="165">
        <v>2026</v>
      </c>
      <c r="H3" s="165">
        <v>2027</v>
      </c>
      <c r="I3" s="165">
        <v>2028</v>
      </c>
      <c r="J3" s="165">
        <v>2029</v>
      </c>
      <c r="K3" s="165">
        <v>2030</v>
      </c>
      <c r="L3" s="165">
        <v>2031</v>
      </c>
      <c r="M3" s="165">
        <v>2032</v>
      </c>
      <c r="N3" s="399"/>
    </row>
    <row r="4" spans="2:14">
      <c r="B4" s="164"/>
      <c r="C4" s="401"/>
      <c r="D4" s="166">
        <v>1500000</v>
      </c>
      <c r="E4" s="166">
        <f>D4*1.045</f>
        <v>1567500</v>
      </c>
      <c r="F4" s="166">
        <f t="shared" ref="F4:G4" si="0">E4*1.045</f>
        <v>1638037.5</v>
      </c>
      <c r="G4" s="166">
        <f t="shared" si="0"/>
        <v>1711749.1875</v>
      </c>
      <c r="H4" s="166">
        <f>G4*1.03</f>
        <v>1763101.663125</v>
      </c>
      <c r="I4" s="166">
        <f t="shared" ref="I4:M4" si="1">H4*1.03</f>
        <v>1815994.7130187501</v>
      </c>
      <c r="J4" s="166">
        <f>I4*1.03</f>
        <v>1870474.5544093125</v>
      </c>
      <c r="K4" s="166">
        <f t="shared" si="1"/>
        <v>1926588.7910415919</v>
      </c>
      <c r="L4" s="166">
        <f t="shared" si="1"/>
        <v>1984386.4547728398</v>
      </c>
      <c r="M4" s="166">
        <f t="shared" si="1"/>
        <v>2043918.048416025</v>
      </c>
      <c r="N4" s="167"/>
    </row>
    <row r="5" spans="2:14">
      <c r="B5" s="164"/>
      <c r="C5" s="160" t="s">
        <v>751</v>
      </c>
      <c r="D5" s="161">
        <v>500000</v>
      </c>
      <c r="E5" s="161">
        <v>500000</v>
      </c>
      <c r="F5" s="161">
        <v>500000</v>
      </c>
      <c r="G5" s="161">
        <v>500000</v>
      </c>
      <c r="H5" s="161">
        <v>500000</v>
      </c>
      <c r="I5" s="161">
        <v>500000</v>
      </c>
      <c r="J5" s="161">
        <v>500000</v>
      </c>
      <c r="K5" s="161">
        <v>500000</v>
      </c>
      <c r="L5" s="161">
        <v>500000</v>
      </c>
      <c r="M5" s="161">
        <v>500000</v>
      </c>
      <c r="N5" s="167"/>
    </row>
    <row r="6" spans="2:14">
      <c r="B6" s="164"/>
      <c r="C6" s="160"/>
      <c r="D6" s="161">
        <f>D4-D5</f>
        <v>1000000</v>
      </c>
      <c r="E6" s="161">
        <f t="shared" ref="E6:M6" si="2">E4-E5</f>
        <v>1067500</v>
      </c>
      <c r="F6" s="161">
        <f t="shared" si="2"/>
        <v>1138037.5</v>
      </c>
      <c r="G6" s="161">
        <f t="shared" si="2"/>
        <v>1211749.1875</v>
      </c>
      <c r="H6" s="161">
        <f t="shared" si="2"/>
        <v>1263101.663125</v>
      </c>
      <c r="I6" s="161">
        <f t="shared" si="2"/>
        <v>1315994.7130187501</v>
      </c>
      <c r="J6" s="161">
        <f t="shared" si="2"/>
        <v>1370474.5544093125</v>
      </c>
      <c r="K6" s="161">
        <f t="shared" si="2"/>
        <v>1426588.7910415919</v>
      </c>
      <c r="L6" s="161">
        <f t="shared" si="2"/>
        <v>1484386.4547728398</v>
      </c>
      <c r="M6" s="161">
        <f t="shared" si="2"/>
        <v>1543918.048416025</v>
      </c>
      <c r="N6" s="167"/>
    </row>
    <row r="7" spans="2:14">
      <c r="B7" s="168" t="s">
        <v>752</v>
      </c>
      <c r="C7" s="169">
        <v>0.52</v>
      </c>
      <c r="D7" s="166">
        <f>D6*$C$7</f>
        <v>520000</v>
      </c>
      <c r="E7" s="166">
        <f t="shared" ref="E7:M7" si="3">E6*$C$7</f>
        <v>555100</v>
      </c>
      <c r="F7" s="166">
        <f t="shared" si="3"/>
        <v>591779.5</v>
      </c>
      <c r="G7" s="166">
        <f t="shared" si="3"/>
        <v>630109.57750000001</v>
      </c>
      <c r="H7" s="166">
        <f t="shared" si="3"/>
        <v>656812.86482500006</v>
      </c>
      <c r="I7" s="166">
        <f t="shared" si="3"/>
        <v>684317.2507697501</v>
      </c>
      <c r="J7" s="166">
        <f t="shared" si="3"/>
        <v>712646.76829284255</v>
      </c>
      <c r="K7" s="166">
        <f t="shared" si="3"/>
        <v>741826.17134162784</v>
      </c>
      <c r="L7" s="166">
        <f t="shared" si="3"/>
        <v>771880.95648187667</v>
      </c>
      <c r="M7" s="166">
        <f t="shared" si="3"/>
        <v>802837.38517633302</v>
      </c>
      <c r="N7" s="167">
        <f t="shared" ref="N7:N10" si="4">SUM(D7:M7)</f>
        <v>6667310.4743874306</v>
      </c>
    </row>
    <row r="8" spans="2:14">
      <c r="B8" s="168" t="s">
        <v>753</v>
      </c>
      <c r="C8" s="169">
        <v>0.37</v>
      </c>
      <c r="D8" s="166">
        <f>D6*$C$8</f>
        <v>370000</v>
      </c>
      <c r="E8" s="166">
        <f t="shared" ref="E8:M8" si="5">E6*$C$8</f>
        <v>394975</v>
      </c>
      <c r="F8" s="166">
        <f t="shared" si="5"/>
        <v>421073.875</v>
      </c>
      <c r="G8" s="166">
        <f t="shared" si="5"/>
        <v>448347.19937499997</v>
      </c>
      <c r="H8" s="166">
        <f t="shared" si="5"/>
        <v>467347.61535624997</v>
      </c>
      <c r="I8" s="166">
        <f t="shared" si="5"/>
        <v>486918.04381693754</v>
      </c>
      <c r="J8" s="166">
        <f t="shared" si="5"/>
        <v>507075.58513144561</v>
      </c>
      <c r="K8" s="166">
        <f t="shared" si="5"/>
        <v>527837.85268538899</v>
      </c>
      <c r="L8" s="166">
        <f t="shared" si="5"/>
        <v>549222.9882659507</v>
      </c>
      <c r="M8" s="166">
        <f t="shared" si="5"/>
        <v>571249.67791392922</v>
      </c>
      <c r="N8" s="167">
        <f t="shared" si="4"/>
        <v>4744047.8375449013</v>
      </c>
    </row>
    <row r="9" spans="2:14">
      <c r="B9" s="170" t="s">
        <v>754</v>
      </c>
      <c r="C9" s="171">
        <v>0.11</v>
      </c>
      <c r="D9" s="172">
        <f>D6*$C$9</f>
        <v>110000</v>
      </c>
      <c r="E9" s="172">
        <f t="shared" ref="E9:M9" si="6">E6*$C$9</f>
        <v>117425</v>
      </c>
      <c r="F9" s="172">
        <f t="shared" si="6"/>
        <v>125184.125</v>
      </c>
      <c r="G9" s="172">
        <f t="shared" si="6"/>
        <v>133292.41062499999</v>
      </c>
      <c r="H9" s="172">
        <f t="shared" si="6"/>
        <v>138941.18294375</v>
      </c>
      <c r="I9" s="172">
        <f t="shared" si="6"/>
        <v>144759.41843206252</v>
      </c>
      <c r="J9" s="172">
        <f t="shared" si="6"/>
        <v>150752.20098502439</v>
      </c>
      <c r="K9" s="172">
        <f t="shared" si="6"/>
        <v>156924.7670145751</v>
      </c>
      <c r="L9" s="172">
        <f t="shared" si="6"/>
        <v>163282.51002501237</v>
      </c>
      <c r="M9" s="172">
        <f t="shared" si="6"/>
        <v>169830.98532576274</v>
      </c>
      <c r="N9" s="173">
        <f t="shared" si="4"/>
        <v>1410392.6003511872</v>
      </c>
    </row>
    <row r="10" spans="2:14">
      <c r="B10" s="174" t="s">
        <v>258</v>
      </c>
      <c r="C10" s="175">
        <f>SUM(C7:C9)</f>
        <v>1</v>
      </c>
      <c r="D10" s="176">
        <f>SUM(D7:D9)</f>
        <v>1000000</v>
      </c>
      <c r="E10" s="176">
        <f t="shared" ref="E10:M10" si="7">SUM(E7:E9)</f>
        <v>1067500</v>
      </c>
      <c r="F10" s="176">
        <f t="shared" si="7"/>
        <v>1138037.5</v>
      </c>
      <c r="G10" s="176">
        <f t="shared" si="7"/>
        <v>1211749.1875</v>
      </c>
      <c r="H10" s="176">
        <f t="shared" si="7"/>
        <v>1263101.663125</v>
      </c>
      <c r="I10" s="176">
        <f t="shared" si="7"/>
        <v>1315994.7130187501</v>
      </c>
      <c r="J10" s="176">
        <f t="shared" si="7"/>
        <v>1370474.5544093125</v>
      </c>
      <c r="K10" s="176">
        <f t="shared" si="7"/>
        <v>1426588.7910415921</v>
      </c>
      <c r="L10" s="176">
        <f t="shared" si="7"/>
        <v>1484386.4547728398</v>
      </c>
      <c r="M10" s="176">
        <f t="shared" si="7"/>
        <v>1543918.048416025</v>
      </c>
      <c r="N10" s="177">
        <f t="shared" si="4"/>
        <v>12821750.912283517</v>
      </c>
    </row>
    <row r="11" spans="2:14">
      <c r="B11" s="311"/>
      <c r="C11" s="311"/>
      <c r="D11" s="311"/>
      <c r="E11" s="311"/>
      <c r="F11" s="311"/>
      <c r="G11" s="311"/>
      <c r="H11" s="311"/>
      <c r="I11" s="311"/>
      <c r="J11" s="311"/>
      <c r="K11" s="311"/>
      <c r="L11" s="311"/>
      <c r="M11" s="311"/>
      <c r="N11" s="311"/>
    </row>
    <row r="12" spans="2:14">
      <c r="B12" s="395" t="s">
        <v>662</v>
      </c>
      <c r="C12" s="396"/>
      <c r="D12" s="396"/>
      <c r="E12" s="396"/>
      <c r="F12" s="396"/>
      <c r="G12" s="396"/>
      <c r="H12" s="396"/>
      <c r="I12" s="396"/>
      <c r="J12" s="396"/>
      <c r="K12" s="396"/>
      <c r="L12" s="396"/>
      <c r="M12" s="397"/>
      <c r="N12" s="311"/>
    </row>
    <row r="13" spans="2:14">
      <c r="B13" s="142"/>
      <c r="C13" s="143" t="s">
        <v>755</v>
      </c>
      <c r="D13" s="144">
        <v>0.05</v>
      </c>
      <c r="E13" s="144">
        <v>0.05</v>
      </c>
      <c r="F13" s="145">
        <v>0.03</v>
      </c>
      <c r="G13" s="145">
        <v>0.03</v>
      </c>
      <c r="H13" s="145">
        <v>0.03</v>
      </c>
      <c r="I13" s="145">
        <v>0.03</v>
      </c>
      <c r="J13" s="145">
        <v>0.03</v>
      </c>
      <c r="K13" s="145">
        <v>0.03</v>
      </c>
      <c r="L13" s="145">
        <v>0.03</v>
      </c>
      <c r="M13" s="146">
        <v>0.03</v>
      </c>
      <c r="N13" s="311"/>
    </row>
    <row r="14" spans="2:14">
      <c r="B14" s="142"/>
      <c r="C14" s="143" t="s">
        <v>756</v>
      </c>
      <c r="D14" s="147">
        <v>1</v>
      </c>
      <c r="E14" s="147">
        <v>2</v>
      </c>
      <c r="F14" s="147">
        <v>3</v>
      </c>
      <c r="G14" s="147">
        <v>4</v>
      </c>
      <c r="H14" s="147">
        <v>5</v>
      </c>
      <c r="I14" s="147">
        <v>6</v>
      </c>
      <c r="J14" s="147">
        <v>7</v>
      </c>
      <c r="K14" s="147">
        <v>8</v>
      </c>
      <c r="L14" s="147">
        <v>9</v>
      </c>
      <c r="M14" s="148">
        <v>10</v>
      </c>
      <c r="N14" s="311"/>
    </row>
    <row r="15" spans="2:14">
      <c r="B15" s="110"/>
      <c r="C15" s="22"/>
      <c r="D15" s="121">
        <f>D3</f>
        <v>2023</v>
      </c>
      <c r="E15" s="121">
        <f t="shared" ref="E15:L15" si="8">E3</f>
        <v>2024</v>
      </c>
      <c r="F15" s="121">
        <f t="shared" si="8"/>
        <v>2025</v>
      </c>
      <c r="G15" s="121">
        <f t="shared" si="8"/>
        <v>2026</v>
      </c>
      <c r="H15" s="121">
        <f t="shared" si="8"/>
        <v>2027</v>
      </c>
      <c r="I15" s="121">
        <f t="shared" si="8"/>
        <v>2028</v>
      </c>
      <c r="J15" s="121">
        <f t="shared" si="8"/>
        <v>2029</v>
      </c>
      <c r="K15" s="121">
        <f t="shared" si="8"/>
        <v>2030</v>
      </c>
      <c r="L15" s="121">
        <f t="shared" si="8"/>
        <v>2031</v>
      </c>
      <c r="M15" s="122">
        <f>M3</f>
        <v>2032</v>
      </c>
      <c r="N15" s="311"/>
    </row>
    <row r="16" spans="2:14">
      <c r="B16" s="110"/>
      <c r="C16" s="125" t="s">
        <v>757</v>
      </c>
      <c r="D16" s="112">
        <v>200000</v>
      </c>
      <c r="E16" s="112">
        <v>200000</v>
      </c>
      <c r="F16" s="112">
        <v>200000</v>
      </c>
      <c r="G16" s="112">
        <v>200000</v>
      </c>
      <c r="H16" s="112">
        <v>200000</v>
      </c>
      <c r="I16" s="112">
        <v>200000</v>
      </c>
      <c r="J16" s="112">
        <v>200000</v>
      </c>
      <c r="K16" s="112">
        <v>200000</v>
      </c>
      <c r="L16" s="112">
        <v>200000</v>
      </c>
      <c r="M16" s="113">
        <v>200000</v>
      </c>
      <c r="N16" s="311"/>
    </row>
    <row r="17" spans="2:13">
      <c r="B17" s="151"/>
      <c r="C17" s="134" t="s">
        <v>758</v>
      </c>
      <c r="D17" s="136">
        <f>D7</f>
        <v>520000</v>
      </c>
      <c r="E17" s="136">
        <f>E7</f>
        <v>555100</v>
      </c>
      <c r="F17" s="136">
        <f t="shared" ref="F17:M17" si="9">F7</f>
        <v>591779.5</v>
      </c>
      <c r="G17" s="136">
        <f t="shared" si="9"/>
        <v>630109.57750000001</v>
      </c>
      <c r="H17" s="136">
        <f t="shared" si="9"/>
        <v>656812.86482500006</v>
      </c>
      <c r="I17" s="136">
        <f t="shared" si="9"/>
        <v>684317.2507697501</v>
      </c>
      <c r="J17" s="136">
        <f>J7</f>
        <v>712646.76829284255</v>
      </c>
      <c r="K17" s="136">
        <f t="shared" si="9"/>
        <v>741826.17134162784</v>
      </c>
      <c r="L17" s="136">
        <f t="shared" si="9"/>
        <v>771880.95648187667</v>
      </c>
      <c r="M17" s="137">
        <f t="shared" si="9"/>
        <v>802837.38517633302</v>
      </c>
    </row>
    <row r="18" spans="2:13" ht="28.9">
      <c r="B18" s="152"/>
      <c r="C18" s="131" t="s">
        <v>759</v>
      </c>
      <c r="D18" s="135">
        <f>SUM(D16:D17)</f>
        <v>720000</v>
      </c>
      <c r="E18" s="135">
        <f t="shared" ref="E18:M18" si="10">SUM(E16:E17)+D42</f>
        <v>1032840</v>
      </c>
      <c r="F18" s="135">
        <f t="shared" si="10"/>
        <v>1490270.94</v>
      </c>
      <c r="G18" s="135">
        <f t="shared" si="10"/>
        <v>2320380.5175000001</v>
      </c>
      <c r="H18" s="135">
        <f t="shared" si="10"/>
        <v>1848233.0977941602</v>
      </c>
      <c r="I18" s="135">
        <f t="shared" si="10"/>
        <v>2380984.2556953952</v>
      </c>
      <c r="J18" s="135">
        <f t="shared" si="10"/>
        <v>3293631.0239882376</v>
      </c>
      <c r="K18" s="135">
        <f t="shared" si="10"/>
        <v>2108109.9338362361</v>
      </c>
      <c r="L18" s="135">
        <f t="shared" si="10"/>
        <v>-1073525.2550175553</v>
      </c>
      <c r="M18" s="138">
        <f t="shared" si="10"/>
        <v>-3096989.2306002425</v>
      </c>
    </row>
    <row r="19" spans="2:13">
      <c r="B19" s="119"/>
      <c r="C19" s="125"/>
      <c r="D19" s="112"/>
      <c r="E19" s="112"/>
      <c r="F19" s="112"/>
      <c r="G19" s="112"/>
      <c r="H19" s="112"/>
      <c r="I19" s="112"/>
      <c r="J19" s="112"/>
      <c r="K19" s="112"/>
      <c r="L19" s="112"/>
      <c r="M19" s="113"/>
    </row>
    <row r="20" spans="2:13">
      <c r="B20" s="110"/>
      <c r="C20" s="159" t="s">
        <v>653</v>
      </c>
      <c r="D20" s="121">
        <v>2023</v>
      </c>
      <c r="E20" s="121">
        <v>2024</v>
      </c>
      <c r="F20" s="121">
        <v>2025</v>
      </c>
      <c r="G20" s="121">
        <v>2026</v>
      </c>
      <c r="H20" s="121">
        <v>2027</v>
      </c>
      <c r="I20" s="121">
        <v>2028</v>
      </c>
      <c r="J20" s="121">
        <v>2029</v>
      </c>
      <c r="K20" s="121">
        <v>2030</v>
      </c>
      <c r="L20" s="121">
        <v>2031</v>
      </c>
      <c r="M20" s="122">
        <v>2032</v>
      </c>
    </row>
    <row r="21" spans="2:13" ht="30" customHeight="1">
      <c r="B21" s="34"/>
      <c r="C21" s="22" t="s">
        <v>760</v>
      </c>
      <c r="D21" s="47">
        <f>'Sidewalk Projects - All'!W6*1.05^D14</f>
        <v>442260</v>
      </c>
      <c r="E21" s="47"/>
      <c r="F21" s="47"/>
      <c r="G21" s="47"/>
      <c r="H21" s="47"/>
      <c r="I21" s="47"/>
      <c r="J21" s="47"/>
      <c r="K21" s="47"/>
      <c r="L21" s="47"/>
      <c r="M21" s="117"/>
    </row>
    <row r="22" spans="2:13" ht="30" customHeight="1">
      <c r="B22" s="110"/>
      <c r="C22" s="22" t="s">
        <v>761</v>
      </c>
      <c r="D22" s="47"/>
      <c r="E22" s="47">
        <f>'Sidewalk Projects - All'!W7*1.05^E14</f>
        <v>334348.56</v>
      </c>
      <c r="F22" s="47"/>
      <c r="G22" s="47"/>
      <c r="H22" s="47"/>
      <c r="I22" s="47"/>
      <c r="J22" s="47"/>
      <c r="K22" s="47"/>
      <c r="L22" s="47"/>
      <c r="M22" s="117"/>
    </row>
    <row r="23" spans="2:13" ht="30" customHeight="1">
      <c r="B23" s="110"/>
      <c r="C23" s="22" t="s">
        <v>762</v>
      </c>
      <c r="D23" s="47"/>
      <c r="E23" s="47"/>
      <c r="F23" s="47"/>
      <c r="G23" s="47">
        <f>'Sidewalk Projects - All'!W8*1.03^G14</f>
        <v>431398.52280251996</v>
      </c>
      <c r="H23" s="47"/>
      <c r="I23" s="47"/>
      <c r="J23" s="47"/>
      <c r="K23" s="47"/>
      <c r="L23" s="47"/>
      <c r="M23" s="117"/>
    </row>
    <row r="24" spans="2:13" ht="30" customHeight="1">
      <c r="B24" s="110"/>
      <c r="C24" s="22" t="s">
        <v>763</v>
      </c>
      <c r="D24" s="47"/>
      <c r="E24" s="47"/>
      <c r="F24" s="47"/>
      <c r="G24" s="47">
        <f>'Sidewalk Projects - All'!W10*1.03^G14</f>
        <v>897561.76172831992</v>
      </c>
      <c r="H24" s="41"/>
      <c r="I24" s="47"/>
      <c r="J24" s="41"/>
      <c r="K24" s="47"/>
      <c r="L24" s="47"/>
      <c r="M24" s="117"/>
    </row>
    <row r="25" spans="2:13" ht="30" customHeight="1">
      <c r="B25" s="110"/>
      <c r="C25" s="22" t="s">
        <v>764</v>
      </c>
      <c r="D25" s="47"/>
      <c r="E25" s="47"/>
      <c r="F25" s="47"/>
      <c r="G25" s="47"/>
      <c r="H25" s="47">
        <f>'Sidewalk Projects - All'!W9*1.03^H14</f>
        <v>351566.09286851517</v>
      </c>
      <c r="I25" s="41"/>
      <c r="J25" s="47"/>
      <c r="K25" s="41"/>
      <c r="L25" s="41"/>
      <c r="M25" s="111"/>
    </row>
    <row r="26" spans="2:13" ht="30" customHeight="1">
      <c r="B26" s="110"/>
      <c r="C26" s="22" t="s">
        <v>765</v>
      </c>
      <c r="D26" s="47"/>
      <c r="E26" s="47"/>
      <c r="F26" s="47"/>
      <c r="G26" s="47"/>
      <c r="H26" s="47"/>
      <c r="I26" s="47"/>
      <c r="J26" s="47">
        <f>'Sidewalk Projects - All'!W12*1.03^J14</f>
        <v>2127347.2614936293</v>
      </c>
      <c r="K26" s="47"/>
      <c r="L26" s="41"/>
      <c r="M26" s="117"/>
    </row>
    <row r="27" spans="2:13" ht="30" customHeight="1">
      <c r="B27" s="110"/>
      <c r="C27" s="22" t="s">
        <v>766</v>
      </c>
      <c r="D27" s="47"/>
      <c r="E27" s="47"/>
      <c r="F27" s="47"/>
      <c r="G27" s="47"/>
      <c r="H27" s="47"/>
      <c r="I27" s="47"/>
      <c r="J27" s="47"/>
      <c r="K27" s="47">
        <f>'Sidewalk Projects - All'!W16*1.03^K14</f>
        <v>334366.49652242399</v>
      </c>
      <c r="L27" s="47"/>
      <c r="M27" s="111"/>
    </row>
    <row r="28" spans="2:13" ht="30" customHeight="1">
      <c r="B28" s="110"/>
      <c r="C28" s="22" t="s">
        <v>767</v>
      </c>
      <c r="D28" s="47"/>
      <c r="E28" s="47"/>
      <c r="F28" s="47"/>
      <c r="G28" s="47"/>
      <c r="H28" s="47"/>
      <c r="I28" s="47"/>
      <c r="J28" s="47"/>
      <c r="K28" s="47">
        <f>'Sidewalk Projects - All'!W15*1.03^K14</f>
        <v>1741808.8619079718</v>
      </c>
      <c r="L28" s="47"/>
      <c r="M28" s="111"/>
    </row>
    <row r="29" spans="2:13" ht="30" customHeight="1">
      <c r="B29" s="110"/>
      <c r="C29" s="22" t="s">
        <v>768</v>
      </c>
      <c r="D29" s="47"/>
      <c r="E29" s="47"/>
      <c r="F29" s="47"/>
      <c r="G29" s="47"/>
      <c r="H29" s="47"/>
      <c r="I29" s="47"/>
      <c r="J29" s="47"/>
      <c r="K29" s="47">
        <f>'Sidewalk Projects - All'!W13*1.03^K14</f>
        <v>995985.30879019911</v>
      </c>
      <c r="L29" s="47"/>
      <c r="M29" s="111"/>
    </row>
    <row r="30" spans="2:13" ht="30" customHeight="1">
      <c r="B30" s="110"/>
      <c r="C30" s="22" t="s">
        <v>769</v>
      </c>
      <c r="D30" s="47"/>
      <c r="E30" s="47"/>
      <c r="F30" s="47"/>
      <c r="G30" s="47"/>
      <c r="H30" s="47"/>
      <c r="I30" s="47"/>
      <c r="J30" s="47"/>
      <c r="K30" s="47">
        <f>'Sidewalk Projects - All'!W14*1.03^K14</f>
        <v>1081355.4781150734</v>
      </c>
      <c r="L30" s="47"/>
      <c r="M30" s="111"/>
    </row>
    <row r="31" spans="2:13" ht="30" customHeight="1">
      <c r="B31" s="110"/>
      <c r="C31" s="22" t="s">
        <v>770</v>
      </c>
      <c r="D31" s="47"/>
      <c r="E31" s="47"/>
      <c r="F31" s="47"/>
      <c r="G31" s="47"/>
      <c r="H31" s="47"/>
      <c r="I31" s="47"/>
      <c r="J31" s="47"/>
      <c r="K31" s="47"/>
      <c r="L31" s="47">
        <f>'Sidewalk Projects - All'!W18*1.03^L14</f>
        <v>131896.91160693066</v>
      </c>
      <c r="M31" s="117"/>
    </row>
    <row r="32" spans="2:13" ht="30" customHeight="1">
      <c r="B32" s="110"/>
      <c r="C32" s="22" t="s">
        <v>771</v>
      </c>
      <c r="D32" s="47"/>
      <c r="E32" s="47"/>
      <c r="F32" s="47"/>
      <c r="G32" s="47"/>
      <c r="H32" s="47"/>
      <c r="I32" s="47"/>
      <c r="J32" s="47"/>
      <c r="K32" s="47"/>
      <c r="L32" s="47">
        <f>'Sidewalk Projects - All'!W20*1.03^L14</f>
        <v>1875867.1872985694</v>
      </c>
      <c r="M32" s="117"/>
    </row>
    <row r="33" spans="2:14" ht="30" customHeight="1">
      <c r="B33" s="110"/>
      <c r="C33" s="22" t="s">
        <v>772</v>
      </c>
      <c r="D33" s="47"/>
      <c r="E33" s="47"/>
      <c r="F33" s="47"/>
      <c r="G33" s="47"/>
      <c r="H33" s="47"/>
      <c r="I33" s="47"/>
      <c r="J33" s="47"/>
      <c r="K33" s="47"/>
      <c r="L33" s="47">
        <f>'Sidewalk Projects - All'!W19*1.03^L14</f>
        <v>1018537.2618535202</v>
      </c>
      <c r="M33" s="117"/>
      <c r="N33" s="311"/>
    </row>
    <row r="34" spans="2:14" ht="30" customHeight="1">
      <c r="B34" s="110"/>
      <c r="C34" s="22" t="s">
        <v>773</v>
      </c>
      <c r="D34" s="47"/>
      <c r="E34" s="47"/>
      <c r="F34" s="47"/>
      <c r="G34" s="47"/>
      <c r="H34" s="47"/>
      <c r="I34" s="47"/>
      <c r="J34" s="47"/>
      <c r="K34" s="47"/>
      <c r="L34" s="47"/>
      <c r="M34" s="117">
        <f>'Sidewalk Projects - All'!W17*1.03^M14</f>
        <v>430203.76002460549</v>
      </c>
      <c r="N34" s="311"/>
    </row>
    <row r="35" spans="2:14" ht="30" customHeight="1">
      <c r="B35" s="110"/>
      <c r="C35" s="22" t="s">
        <v>774</v>
      </c>
      <c r="D35" s="47"/>
      <c r="E35" s="47"/>
      <c r="F35" s="47"/>
      <c r="G35" s="47"/>
      <c r="H35" s="47"/>
      <c r="I35" s="47"/>
      <c r="J35" s="47"/>
      <c r="K35" s="47"/>
      <c r="L35" s="47"/>
      <c r="M35" s="117">
        <f>'Sidewalk Projects - All'!W21*1.03^M14</f>
        <v>354729.41616063961</v>
      </c>
      <c r="N35" s="320"/>
    </row>
    <row r="36" spans="2:14" ht="30" customHeight="1">
      <c r="B36" s="110"/>
      <c r="C36" s="22" t="s">
        <v>775</v>
      </c>
      <c r="D36" s="47"/>
      <c r="E36" s="47"/>
      <c r="F36" s="47"/>
      <c r="G36" s="47"/>
      <c r="H36" s="47"/>
      <c r="I36" s="47"/>
      <c r="J36" s="47"/>
      <c r="K36" s="47"/>
      <c r="L36" s="47"/>
      <c r="M36" s="117">
        <f>'Sidewalk Projects - All'!W20*1.03^M14</f>
        <v>1932143.2029175265</v>
      </c>
      <c r="N36" s="156" t="s">
        <v>776</v>
      </c>
    </row>
    <row r="37" spans="2:14" ht="30" customHeight="1">
      <c r="B37" s="110"/>
      <c r="C37" s="22" t="s">
        <v>777</v>
      </c>
      <c r="D37" s="47"/>
      <c r="E37" s="47"/>
      <c r="F37" s="47"/>
      <c r="G37" s="47"/>
      <c r="H37" s="47"/>
      <c r="I37" s="47"/>
      <c r="J37" s="47"/>
      <c r="K37" s="47"/>
      <c r="L37" s="47"/>
      <c r="M37" s="117"/>
      <c r="N37" s="157">
        <f>'Sidewalk Projects - All'!W23</f>
        <v>741312</v>
      </c>
    </row>
    <row r="38" spans="2:14" ht="30" customHeight="1">
      <c r="B38" s="110"/>
      <c r="C38" s="22" t="s">
        <v>778</v>
      </c>
      <c r="D38" s="47"/>
      <c r="E38" s="47"/>
      <c r="F38" s="47"/>
      <c r="G38" s="47"/>
      <c r="H38" s="47"/>
      <c r="I38" s="47"/>
      <c r="J38" s="47"/>
      <c r="K38" s="47"/>
      <c r="L38" s="47"/>
      <c r="M38" s="117"/>
      <c r="N38" s="157">
        <f>'Sidewalk Projects - All'!W26</f>
        <v>1151280</v>
      </c>
    </row>
    <row r="39" spans="2:14" ht="30" customHeight="1">
      <c r="B39" s="110"/>
      <c r="C39" s="22" t="s">
        <v>779</v>
      </c>
      <c r="D39" s="47"/>
      <c r="E39" s="47"/>
      <c r="F39" s="47"/>
      <c r="G39" s="47"/>
      <c r="H39" s="47"/>
      <c r="I39" s="47"/>
      <c r="J39" s="47"/>
      <c r="K39" s="47"/>
      <c r="L39" s="47"/>
      <c r="M39" s="117"/>
      <c r="N39" s="158">
        <f>'Sidewalk Projects - All'!W25</f>
        <v>359424</v>
      </c>
    </row>
    <row r="40" spans="2:14">
      <c r="B40" s="110"/>
      <c r="C40" s="125" t="s">
        <v>780</v>
      </c>
      <c r="D40" s="47">
        <f t="shared" ref="D40:M40" si="11">SUM(D21:D39)</f>
        <v>442260</v>
      </c>
      <c r="E40" s="47">
        <f t="shared" si="11"/>
        <v>334348.56</v>
      </c>
      <c r="F40" s="47">
        <f t="shared" si="11"/>
        <v>0</v>
      </c>
      <c r="G40" s="47">
        <f t="shared" si="11"/>
        <v>1328960.2845308399</v>
      </c>
      <c r="H40" s="47">
        <f t="shared" si="11"/>
        <v>351566.09286851517</v>
      </c>
      <c r="I40" s="47">
        <f t="shared" si="11"/>
        <v>0</v>
      </c>
      <c r="J40" s="47">
        <f t="shared" si="11"/>
        <v>2127347.2614936293</v>
      </c>
      <c r="K40" s="47">
        <f t="shared" si="11"/>
        <v>4153516.1453356682</v>
      </c>
      <c r="L40" s="47">
        <f t="shared" si="11"/>
        <v>3026301.3607590203</v>
      </c>
      <c r="M40" s="117">
        <f t="shared" si="11"/>
        <v>2717076.3791027716</v>
      </c>
      <c r="N40" s="311"/>
    </row>
    <row r="41" spans="2:14">
      <c r="B41" s="110"/>
      <c r="C41" s="120"/>
      <c r="D41" s="41"/>
      <c r="E41" s="41"/>
      <c r="F41" s="41"/>
      <c r="G41" s="41"/>
      <c r="H41" s="41"/>
      <c r="I41" s="41"/>
      <c r="J41" s="41"/>
      <c r="K41" s="41"/>
      <c r="L41" s="41"/>
      <c r="M41" s="111"/>
      <c r="N41" s="311"/>
    </row>
    <row r="42" spans="2:14">
      <c r="B42" s="114"/>
      <c r="C42" s="132" t="s">
        <v>781</v>
      </c>
      <c r="D42" s="115">
        <f t="shared" ref="D42:M42" si="12">D18-D40</f>
        <v>277740</v>
      </c>
      <c r="E42" s="115">
        <f t="shared" si="12"/>
        <v>698491.44</v>
      </c>
      <c r="F42" s="115">
        <f t="shared" si="12"/>
        <v>1490270.94</v>
      </c>
      <c r="G42" s="115">
        <f t="shared" si="12"/>
        <v>991420.23296916019</v>
      </c>
      <c r="H42" s="115">
        <f t="shared" si="12"/>
        <v>1496667.004925645</v>
      </c>
      <c r="I42" s="115">
        <f t="shared" si="12"/>
        <v>2380984.2556953952</v>
      </c>
      <c r="J42" s="115">
        <f t="shared" si="12"/>
        <v>1166283.7624946083</v>
      </c>
      <c r="K42" s="115">
        <f t="shared" si="12"/>
        <v>-2045406.2114994321</v>
      </c>
      <c r="L42" s="115">
        <f t="shared" si="12"/>
        <v>-4099826.6157765756</v>
      </c>
      <c r="M42" s="116">
        <f t="shared" si="12"/>
        <v>-5814065.6097030137</v>
      </c>
      <c r="N42" s="8"/>
    </row>
    <row r="43" spans="2:14">
      <c r="B43" s="153"/>
      <c r="C43" s="154"/>
      <c r="D43" s="153"/>
      <c r="E43" s="153"/>
      <c r="F43" s="153"/>
      <c r="G43" s="153"/>
      <c r="H43" s="153"/>
      <c r="I43" s="153"/>
      <c r="J43" s="153"/>
      <c r="K43" s="153"/>
      <c r="L43" s="153"/>
      <c r="M43" s="153"/>
      <c r="N43" s="311"/>
    </row>
    <row r="44" spans="2:14">
      <c r="B44" s="16"/>
      <c r="C44" s="155"/>
      <c r="D44" s="16"/>
      <c r="E44" s="16"/>
      <c r="F44" s="16"/>
      <c r="G44" s="16"/>
      <c r="H44" s="16"/>
      <c r="I44" s="16"/>
      <c r="J44" s="16"/>
      <c r="K44" s="16"/>
      <c r="L44" s="16"/>
      <c r="M44" s="16"/>
      <c r="N44" s="311"/>
    </row>
    <row r="45" spans="2:14">
      <c r="B45" s="395" t="s">
        <v>652</v>
      </c>
      <c r="C45" s="396"/>
      <c r="D45" s="396"/>
      <c r="E45" s="396"/>
      <c r="F45" s="396"/>
      <c r="G45" s="396"/>
      <c r="H45" s="396"/>
      <c r="I45" s="396"/>
      <c r="J45" s="396"/>
      <c r="K45" s="396"/>
      <c r="L45" s="396"/>
      <c r="M45" s="397"/>
      <c r="N45" s="311"/>
    </row>
    <row r="46" spans="2:14">
      <c r="B46" s="142"/>
      <c r="C46" s="143" t="s">
        <v>755</v>
      </c>
      <c r="D46" s="144">
        <v>0.05</v>
      </c>
      <c r="E46" s="144">
        <v>0.05</v>
      </c>
      <c r="F46" s="145">
        <v>0.03</v>
      </c>
      <c r="G46" s="145">
        <v>0.03</v>
      </c>
      <c r="H46" s="145">
        <v>0.03</v>
      </c>
      <c r="I46" s="145">
        <v>0.03</v>
      </c>
      <c r="J46" s="145">
        <v>0.03</v>
      </c>
      <c r="K46" s="145">
        <v>0.03</v>
      </c>
      <c r="L46" s="145">
        <v>0.03</v>
      </c>
      <c r="M46" s="146">
        <v>0.03</v>
      </c>
      <c r="N46" s="311"/>
    </row>
    <row r="47" spans="2:14">
      <c r="B47" s="142"/>
      <c r="C47" s="143" t="s">
        <v>756</v>
      </c>
      <c r="D47" s="147">
        <v>1</v>
      </c>
      <c r="E47" s="147">
        <v>2</v>
      </c>
      <c r="F47" s="147">
        <v>3</v>
      </c>
      <c r="G47" s="147">
        <v>4</v>
      </c>
      <c r="H47" s="147">
        <v>5</v>
      </c>
      <c r="I47" s="147">
        <v>6</v>
      </c>
      <c r="J47" s="147">
        <v>7</v>
      </c>
      <c r="K47" s="147">
        <v>8</v>
      </c>
      <c r="L47" s="147">
        <v>9</v>
      </c>
      <c r="M47" s="148">
        <v>10</v>
      </c>
      <c r="N47" s="311"/>
    </row>
    <row r="48" spans="2:14">
      <c r="B48" s="110"/>
      <c r="C48" s="22"/>
      <c r="D48" s="121">
        <v>2023</v>
      </c>
      <c r="E48" s="121">
        <v>2024</v>
      </c>
      <c r="F48" s="121">
        <v>2025</v>
      </c>
      <c r="G48" s="121">
        <v>2026</v>
      </c>
      <c r="H48" s="121">
        <v>2027</v>
      </c>
      <c r="I48" s="121">
        <v>2028</v>
      </c>
      <c r="J48" s="121">
        <v>2029</v>
      </c>
      <c r="K48" s="121">
        <v>2030</v>
      </c>
      <c r="L48" s="121">
        <v>2031</v>
      </c>
      <c r="M48" s="122">
        <v>2032</v>
      </c>
      <c r="N48" s="311"/>
    </row>
    <row r="49" spans="2:13">
      <c r="B49" s="110"/>
      <c r="C49" s="125" t="s">
        <v>782</v>
      </c>
      <c r="D49" s="133">
        <v>400000</v>
      </c>
      <c r="E49" s="133">
        <v>400000</v>
      </c>
      <c r="F49" s="133">
        <v>400000</v>
      </c>
      <c r="G49" s="133">
        <v>400000</v>
      </c>
      <c r="H49" s="133">
        <v>400000</v>
      </c>
      <c r="I49" s="133">
        <v>400000</v>
      </c>
      <c r="J49" s="133">
        <v>400000</v>
      </c>
      <c r="K49" s="133">
        <v>400000</v>
      </c>
      <c r="L49" s="133">
        <v>400000</v>
      </c>
      <c r="M49" s="149">
        <v>400000</v>
      </c>
    </row>
    <row r="50" spans="2:13">
      <c r="B50" s="119"/>
      <c r="C50" s="125" t="s">
        <v>758</v>
      </c>
      <c r="D50" s="126">
        <f t="shared" ref="D50:M50" si="13">D8</f>
        <v>370000</v>
      </c>
      <c r="E50" s="126">
        <f t="shared" si="13"/>
        <v>394975</v>
      </c>
      <c r="F50" s="126">
        <f t="shared" si="13"/>
        <v>421073.875</v>
      </c>
      <c r="G50" s="126">
        <f t="shared" si="13"/>
        <v>448347.19937499997</v>
      </c>
      <c r="H50" s="126">
        <f t="shared" si="13"/>
        <v>467347.61535624997</v>
      </c>
      <c r="I50" s="126">
        <f t="shared" si="13"/>
        <v>486918.04381693754</v>
      </c>
      <c r="J50" s="126">
        <f t="shared" si="13"/>
        <v>507075.58513144561</v>
      </c>
      <c r="K50" s="126">
        <f t="shared" si="13"/>
        <v>527837.85268538899</v>
      </c>
      <c r="L50" s="126">
        <f t="shared" si="13"/>
        <v>549222.9882659507</v>
      </c>
      <c r="M50" s="150">
        <f t="shared" si="13"/>
        <v>571249.67791392922</v>
      </c>
    </row>
    <row r="51" spans="2:13" ht="28.9">
      <c r="B51" s="119"/>
      <c r="C51" s="125" t="s">
        <v>759</v>
      </c>
      <c r="D51" s="112">
        <f>SUM(D49:D50)</f>
        <v>770000</v>
      </c>
      <c r="E51" s="112">
        <f t="shared" ref="E51:M51" si="14">SUM(E49:E50)+D78</f>
        <v>914975</v>
      </c>
      <c r="F51" s="112">
        <f t="shared" si="14"/>
        <v>1086048.875</v>
      </c>
      <c r="G51" s="112">
        <f t="shared" si="14"/>
        <v>1284396.0743749999</v>
      </c>
      <c r="H51" s="112">
        <f t="shared" si="14"/>
        <v>727223.1072312498</v>
      </c>
      <c r="I51" s="112">
        <f t="shared" si="14"/>
        <v>964141.1510481874</v>
      </c>
      <c r="J51" s="112">
        <f t="shared" si="14"/>
        <v>1221216.7361796331</v>
      </c>
      <c r="K51" s="112">
        <f t="shared" si="14"/>
        <v>1499054.5888650222</v>
      </c>
      <c r="L51" s="112">
        <f t="shared" si="14"/>
        <v>1798277.5771309729</v>
      </c>
      <c r="M51" s="113">
        <f t="shared" si="14"/>
        <v>2119527.2550449022</v>
      </c>
    </row>
    <row r="52" spans="2:13">
      <c r="B52" s="119"/>
      <c r="C52" s="125"/>
      <c r="D52" s="112"/>
      <c r="E52" s="112"/>
      <c r="F52" s="112"/>
      <c r="G52" s="112"/>
      <c r="H52" s="112"/>
      <c r="I52" s="112"/>
      <c r="J52" s="112"/>
      <c r="K52" s="112"/>
      <c r="L52" s="112"/>
      <c r="M52" s="113"/>
    </row>
    <row r="53" spans="2:13">
      <c r="B53" s="110"/>
      <c r="C53" s="159" t="s">
        <v>653</v>
      </c>
      <c r="D53" s="121">
        <v>2023</v>
      </c>
      <c r="E53" s="121">
        <v>2024</v>
      </c>
      <c r="F53" s="121">
        <v>2025</v>
      </c>
      <c r="G53" s="121">
        <v>2026</v>
      </c>
      <c r="H53" s="121">
        <v>2027</v>
      </c>
      <c r="I53" s="121">
        <v>2028</v>
      </c>
      <c r="J53" s="121">
        <v>2029</v>
      </c>
      <c r="K53" s="121">
        <v>2030</v>
      </c>
      <c r="L53" s="121">
        <v>2031</v>
      </c>
      <c r="M53" s="122">
        <v>2032</v>
      </c>
    </row>
    <row r="54" spans="2:13">
      <c r="B54" s="110"/>
      <c r="C54" s="127" t="s">
        <v>783</v>
      </c>
      <c r="D54" s="47">
        <v>400000</v>
      </c>
      <c r="E54" s="47">
        <v>400000</v>
      </c>
      <c r="F54" s="47">
        <v>400000</v>
      </c>
      <c r="G54" s="47">
        <v>400000</v>
      </c>
      <c r="H54" s="47">
        <v>400000</v>
      </c>
      <c r="I54" s="47">
        <v>400000</v>
      </c>
      <c r="J54" s="47">
        <v>400000</v>
      </c>
      <c r="K54" s="47">
        <v>400000</v>
      </c>
      <c r="L54" s="47">
        <v>400000</v>
      </c>
      <c r="M54" s="117">
        <v>400000</v>
      </c>
    </row>
    <row r="55" spans="2:13" ht="28.9">
      <c r="B55" s="110"/>
      <c r="C55" s="127" t="s">
        <v>784</v>
      </c>
      <c r="D55" s="47">
        <v>250000</v>
      </c>
      <c r="E55" s="47">
        <v>250000</v>
      </c>
      <c r="F55" s="47">
        <v>250000</v>
      </c>
      <c r="G55" s="47">
        <v>250000</v>
      </c>
      <c r="H55" s="47">
        <v>250000</v>
      </c>
      <c r="I55" s="47">
        <v>250000</v>
      </c>
      <c r="J55" s="47">
        <v>250000</v>
      </c>
      <c r="K55" s="47">
        <v>250000</v>
      </c>
      <c r="L55" s="47">
        <v>250000</v>
      </c>
      <c r="M55" s="117">
        <v>250000</v>
      </c>
    </row>
    <row r="56" spans="2:13" ht="43.15">
      <c r="B56" s="110"/>
      <c r="C56" s="127" t="s">
        <v>785</v>
      </c>
      <c r="D56" s="129"/>
      <c r="E56" s="41"/>
      <c r="F56" s="41"/>
      <c r="G56" s="129">
        <f>('Roadway Projects - All'!R13*0.2)*1.05^G47</f>
        <v>774520.58250000002</v>
      </c>
      <c r="H56" s="129"/>
      <c r="I56" s="129"/>
      <c r="J56" s="129"/>
      <c r="K56" s="129"/>
      <c r="L56" s="129"/>
      <c r="M56" s="130"/>
    </row>
    <row r="57" spans="2:13" ht="43.15">
      <c r="B57" s="34"/>
      <c r="C57" s="22" t="s">
        <v>786</v>
      </c>
      <c r="D57" s="47"/>
      <c r="E57" s="47"/>
      <c r="F57" s="47"/>
      <c r="G57" s="47"/>
      <c r="H57" s="47"/>
      <c r="I57" s="47"/>
      <c r="J57" s="47"/>
      <c r="K57" s="47"/>
      <c r="L57" s="47"/>
      <c r="M57" s="117">
        <f>'Roadway Projects - All'!R13*1.03^M47</f>
        <v>4281717.5845903717</v>
      </c>
    </row>
    <row r="58" spans="2:13" ht="28.9">
      <c r="B58" s="110"/>
      <c r="C58" s="22" t="s">
        <v>787</v>
      </c>
      <c r="D58" s="47"/>
      <c r="E58" s="47"/>
      <c r="F58" s="47"/>
      <c r="G58" s="47"/>
      <c r="H58" s="47"/>
      <c r="I58" s="47"/>
      <c r="J58" s="47"/>
      <c r="K58" s="47"/>
      <c r="L58" s="47"/>
      <c r="M58" s="117"/>
    </row>
    <row r="59" spans="2:13" hidden="1">
      <c r="B59" s="110"/>
      <c r="C59" s="22"/>
      <c r="D59" s="47"/>
      <c r="E59" s="47"/>
      <c r="F59" s="47"/>
      <c r="G59" s="47"/>
      <c r="H59" s="47"/>
      <c r="I59" s="47"/>
      <c r="J59" s="47"/>
      <c r="K59" s="47"/>
      <c r="L59" s="47"/>
      <c r="M59" s="117"/>
    </row>
    <row r="60" spans="2:13" hidden="1">
      <c r="B60" s="110"/>
      <c r="C60" s="22"/>
      <c r="D60" s="47"/>
      <c r="E60" s="47"/>
      <c r="F60" s="47"/>
      <c r="G60" s="47"/>
      <c r="H60" s="47"/>
      <c r="I60" s="47"/>
      <c r="J60" s="129"/>
      <c r="K60" s="47"/>
      <c r="L60" s="47"/>
      <c r="M60" s="117"/>
    </row>
    <row r="61" spans="2:13" hidden="1">
      <c r="B61" s="110"/>
      <c r="C61" s="22"/>
      <c r="D61" s="47"/>
      <c r="E61" s="47"/>
      <c r="F61" s="47"/>
      <c r="G61" s="47"/>
      <c r="H61" s="47"/>
      <c r="I61" s="47"/>
      <c r="J61" s="47"/>
      <c r="K61" s="47"/>
      <c r="L61" s="129"/>
      <c r="M61" s="130"/>
    </row>
    <row r="62" spans="2:13" hidden="1">
      <c r="B62" s="110"/>
      <c r="C62" s="22"/>
      <c r="D62" s="47"/>
      <c r="E62" s="47"/>
      <c r="F62" s="47"/>
      <c r="G62" s="47"/>
      <c r="H62" s="47"/>
      <c r="I62" s="47"/>
      <c r="J62" s="47"/>
      <c r="K62" s="47"/>
      <c r="L62" s="47"/>
      <c r="M62" s="117"/>
    </row>
    <row r="63" spans="2:13" hidden="1">
      <c r="B63" s="110"/>
      <c r="C63" s="22"/>
      <c r="D63" s="47"/>
      <c r="E63" s="47"/>
      <c r="F63" s="47"/>
      <c r="G63" s="47"/>
      <c r="H63" s="47"/>
      <c r="I63" s="47"/>
      <c r="J63" s="47"/>
      <c r="K63" s="47"/>
      <c r="L63" s="47"/>
      <c r="M63" s="117"/>
    </row>
    <row r="64" spans="2:13" hidden="1">
      <c r="B64" s="110"/>
      <c r="C64" s="22"/>
      <c r="D64" s="47"/>
      <c r="E64" s="47"/>
      <c r="F64" s="47"/>
      <c r="G64" s="47"/>
      <c r="H64" s="47"/>
      <c r="I64" s="47"/>
      <c r="J64" s="47"/>
      <c r="K64" s="47"/>
      <c r="L64" s="47"/>
      <c r="M64" s="117"/>
    </row>
    <row r="65" spans="2:13" hidden="1">
      <c r="B65" s="110"/>
      <c r="C65" s="22"/>
      <c r="D65" s="47"/>
      <c r="E65" s="47"/>
      <c r="F65" s="47"/>
      <c r="G65" s="47"/>
      <c r="H65" s="47"/>
      <c r="I65" s="47"/>
      <c r="J65" s="47"/>
      <c r="K65" s="47"/>
      <c r="L65" s="47"/>
      <c r="M65" s="117"/>
    </row>
    <row r="66" spans="2:13" hidden="1">
      <c r="B66" s="110"/>
      <c r="C66" s="22"/>
      <c r="D66" s="47"/>
      <c r="E66" s="47"/>
      <c r="F66" s="47"/>
      <c r="G66" s="47"/>
      <c r="H66" s="47"/>
      <c r="I66" s="47"/>
      <c r="J66" s="47"/>
      <c r="K66" s="47"/>
      <c r="L66" s="47"/>
      <c r="M66" s="117"/>
    </row>
    <row r="67" spans="2:13" hidden="1">
      <c r="B67" s="110"/>
      <c r="C67" s="22"/>
      <c r="D67" s="47"/>
      <c r="E67" s="47"/>
      <c r="F67" s="47"/>
      <c r="G67" s="47"/>
      <c r="H67" s="47"/>
      <c r="I67" s="47"/>
      <c r="J67" s="47"/>
      <c r="K67" s="47"/>
      <c r="L67" s="47"/>
      <c r="M67" s="117"/>
    </row>
    <row r="68" spans="2:13" hidden="1">
      <c r="B68" s="110"/>
      <c r="C68" s="22"/>
      <c r="D68" s="47"/>
      <c r="E68" s="47"/>
      <c r="F68" s="47"/>
      <c r="G68" s="47"/>
      <c r="H68" s="47"/>
      <c r="I68" s="47"/>
      <c r="J68" s="47"/>
      <c r="K68" s="47"/>
      <c r="L68" s="47"/>
      <c r="M68" s="117"/>
    </row>
    <row r="69" spans="2:13" hidden="1">
      <c r="B69" s="110"/>
      <c r="C69" s="22"/>
      <c r="D69" s="47"/>
      <c r="E69" s="47"/>
      <c r="F69" s="47"/>
      <c r="G69" s="47"/>
      <c r="H69" s="47"/>
      <c r="I69" s="47"/>
      <c r="J69" s="47"/>
      <c r="K69" s="47"/>
      <c r="L69" s="47"/>
      <c r="M69" s="117"/>
    </row>
    <row r="70" spans="2:13" hidden="1">
      <c r="B70" s="110"/>
      <c r="C70" s="22"/>
      <c r="D70" s="47"/>
      <c r="E70" s="47"/>
      <c r="F70" s="47"/>
      <c r="G70" s="47"/>
      <c r="H70" s="47"/>
      <c r="I70" s="47"/>
      <c r="J70" s="47"/>
      <c r="K70" s="47"/>
      <c r="L70" s="47"/>
      <c r="M70" s="117"/>
    </row>
    <row r="71" spans="2:13" hidden="1">
      <c r="B71" s="110"/>
      <c r="C71" s="22"/>
      <c r="D71" s="47"/>
      <c r="E71" s="47"/>
      <c r="F71" s="47"/>
      <c r="G71" s="47"/>
      <c r="H71" s="47"/>
      <c r="I71" s="47"/>
      <c r="J71" s="47"/>
      <c r="K71" s="47"/>
      <c r="L71" s="47"/>
      <c r="M71" s="117"/>
    </row>
    <row r="72" spans="2:13" hidden="1">
      <c r="B72" s="110"/>
      <c r="C72" s="22"/>
      <c r="D72" s="47"/>
      <c r="E72" s="47"/>
      <c r="F72" s="47"/>
      <c r="G72" s="47"/>
      <c r="H72" s="47"/>
      <c r="I72" s="47"/>
      <c r="J72" s="47"/>
      <c r="K72" s="47"/>
      <c r="L72" s="47"/>
      <c r="M72" s="117"/>
    </row>
    <row r="73" spans="2:13" hidden="1">
      <c r="B73" s="110"/>
      <c r="C73" s="22"/>
      <c r="D73" s="47"/>
      <c r="E73" s="47"/>
      <c r="F73" s="47"/>
      <c r="G73" s="47"/>
      <c r="H73" s="47"/>
      <c r="I73" s="47"/>
      <c r="J73" s="47"/>
      <c r="K73" s="47"/>
      <c r="L73" s="47"/>
      <c r="M73" s="117"/>
    </row>
    <row r="74" spans="2:13" hidden="1">
      <c r="B74" s="110"/>
      <c r="C74" s="22"/>
      <c r="D74" s="47"/>
      <c r="E74" s="47"/>
      <c r="F74" s="47"/>
      <c r="G74" s="47"/>
      <c r="H74" s="47"/>
      <c r="I74" s="47"/>
      <c r="J74" s="47"/>
      <c r="K74" s="47"/>
      <c r="L74" s="47"/>
      <c r="M74" s="117"/>
    </row>
    <row r="75" spans="2:13" hidden="1">
      <c r="B75" s="110"/>
      <c r="C75" s="22"/>
      <c r="D75" s="47"/>
      <c r="E75" s="47"/>
      <c r="F75" s="47"/>
      <c r="G75" s="47"/>
      <c r="H75" s="47"/>
      <c r="I75" s="47"/>
      <c r="J75" s="47"/>
      <c r="K75" s="47"/>
      <c r="L75" s="47"/>
      <c r="M75" s="117"/>
    </row>
    <row r="76" spans="2:13" hidden="1">
      <c r="B76" s="110"/>
      <c r="C76" s="22"/>
      <c r="D76" s="47"/>
      <c r="E76" s="47"/>
      <c r="F76" s="47"/>
      <c r="G76" s="47"/>
      <c r="H76" s="47"/>
      <c r="I76" s="47"/>
      <c r="J76" s="47"/>
      <c r="K76" s="47"/>
      <c r="L76" s="47"/>
      <c r="M76" s="117"/>
    </row>
    <row r="77" spans="2:13">
      <c r="B77" s="110"/>
      <c r="C77" s="22"/>
      <c r="D77" s="129"/>
      <c r="E77" s="129"/>
      <c r="F77" s="129"/>
      <c r="G77" s="129"/>
      <c r="H77" s="129"/>
      <c r="I77" s="129"/>
      <c r="J77" s="129"/>
      <c r="K77" s="129"/>
      <c r="L77" s="129"/>
      <c r="M77" s="130"/>
    </row>
    <row r="78" spans="2:13">
      <c r="B78" s="114"/>
      <c r="C78" s="118" t="s">
        <v>781</v>
      </c>
      <c r="D78" s="115">
        <f>D51-SUM(D54:D76)</f>
        <v>120000</v>
      </c>
      <c r="E78" s="115">
        <f>E51-SUM(E54:E76)</f>
        <v>264975</v>
      </c>
      <c r="F78" s="115">
        <f t="shared" ref="F78:M78" si="15">F51-SUM(F54:F76)</f>
        <v>436048.875</v>
      </c>
      <c r="G78" s="115">
        <f>G51-SUM(G54:G76)</f>
        <v>-140124.50812500017</v>
      </c>
      <c r="H78" s="115">
        <f t="shared" si="15"/>
        <v>77223.1072312498</v>
      </c>
      <c r="I78" s="115">
        <f t="shared" si="15"/>
        <v>314141.1510481874</v>
      </c>
      <c r="J78" s="115">
        <f t="shared" si="15"/>
        <v>571216.73617963307</v>
      </c>
      <c r="K78" s="115">
        <f t="shared" si="15"/>
        <v>849054.58886502218</v>
      </c>
      <c r="L78" s="115">
        <f t="shared" si="15"/>
        <v>1148277.5771309729</v>
      </c>
      <c r="M78" s="116">
        <f t="shared" si="15"/>
        <v>-2812190.3295454695</v>
      </c>
    </row>
    <row r="82" spans="2:14">
      <c r="B82" s="395" t="s">
        <v>788</v>
      </c>
      <c r="C82" s="396"/>
      <c r="D82" s="396"/>
      <c r="E82" s="396"/>
      <c r="F82" s="396"/>
      <c r="G82" s="396"/>
      <c r="H82" s="396"/>
      <c r="I82" s="396"/>
      <c r="J82" s="396"/>
      <c r="K82" s="396"/>
      <c r="L82" s="396"/>
      <c r="M82" s="397"/>
      <c r="N82" s="311"/>
    </row>
    <row r="83" spans="2:14">
      <c r="B83" s="142"/>
      <c r="C83" s="143" t="s">
        <v>755</v>
      </c>
      <c r="D83" s="144">
        <v>0.05</v>
      </c>
      <c r="E83" s="144">
        <v>0.05</v>
      </c>
      <c r="F83" s="145">
        <v>0.03</v>
      </c>
      <c r="G83" s="145">
        <v>0.03</v>
      </c>
      <c r="H83" s="145">
        <v>0.03</v>
      </c>
      <c r="I83" s="145">
        <v>0.03</v>
      </c>
      <c r="J83" s="145">
        <v>0.03</v>
      </c>
      <c r="K83" s="145">
        <v>0.03</v>
      </c>
      <c r="L83" s="145">
        <v>0.03</v>
      </c>
      <c r="M83" s="146">
        <v>0.03</v>
      </c>
      <c r="N83" s="311"/>
    </row>
    <row r="84" spans="2:14">
      <c r="B84" s="142"/>
      <c r="C84" s="143" t="s">
        <v>756</v>
      </c>
      <c r="D84" s="147">
        <v>1</v>
      </c>
      <c r="E84" s="147">
        <v>2</v>
      </c>
      <c r="F84" s="147">
        <v>3</v>
      </c>
      <c r="G84" s="147">
        <v>4</v>
      </c>
      <c r="H84" s="147">
        <v>5</v>
      </c>
      <c r="I84" s="147">
        <v>6</v>
      </c>
      <c r="J84" s="147">
        <v>7</v>
      </c>
      <c r="K84" s="147">
        <v>8</v>
      </c>
      <c r="L84" s="147">
        <v>9</v>
      </c>
      <c r="M84" s="148">
        <v>10</v>
      </c>
      <c r="N84" s="311"/>
    </row>
    <row r="85" spans="2:14">
      <c r="B85" s="110"/>
      <c r="C85" s="22"/>
      <c r="D85" s="121">
        <v>2023</v>
      </c>
      <c r="E85" s="121">
        <v>2024</v>
      </c>
      <c r="F85" s="121">
        <v>2024</v>
      </c>
      <c r="G85" s="121">
        <v>2026</v>
      </c>
      <c r="H85" s="121">
        <v>2027</v>
      </c>
      <c r="I85" s="121">
        <v>2028</v>
      </c>
      <c r="J85" s="121">
        <v>2029</v>
      </c>
      <c r="K85" s="121">
        <v>2030</v>
      </c>
      <c r="L85" s="121">
        <v>2031</v>
      </c>
      <c r="M85" s="122">
        <v>2032</v>
      </c>
      <c r="N85" s="311"/>
    </row>
    <row r="86" spans="2:14" ht="28.9">
      <c r="B86" s="119"/>
      <c r="C86" s="125" t="s">
        <v>759</v>
      </c>
      <c r="D86" s="112">
        <f>D9</f>
        <v>110000</v>
      </c>
      <c r="E86" s="112">
        <f t="shared" ref="E86:M86" si="16">D116+E9</f>
        <v>227425</v>
      </c>
      <c r="F86" s="112">
        <f t="shared" si="16"/>
        <v>55903.224999999977</v>
      </c>
      <c r="G86" s="112">
        <f t="shared" si="16"/>
        <v>189195.63562499997</v>
      </c>
      <c r="H86" s="112">
        <f t="shared" si="16"/>
        <v>328136.81856874994</v>
      </c>
      <c r="I86" s="112">
        <f t="shared" si="16"/>
        <v>472896.23700081243</v>
      </c>
      <c r="J86" s="112">
        <f t="shared" si="16"/>
        <v>623648.43798583676</v>
      </c>
      <c r="K86" s="112">
        <f t="shared" si="16"/>
        <v>-129533.45541399191</v>
      </c>
      <c r="L86" s="112">
        <f t="shared" si="16"/>
        <v>-48851.955315940431</v>
      </c>
      <c r="M86" s="113">
        <f t="shared" si="16"/>
        <v>120979.03000982231</v>
      </c>
      <c r="N86" s="378" t="s">
        <v>789</v>
      </c>
    </row>
    <row r="87" spans="2:14">
      <c r="B87" s="119"/>
      <c r="C87" s="125"/>
      <c r="D87" s="112"/>
      <c r="E87" s="112"/>
      <c r="F87" s="112"/>
      <c r="G87" s="112"/>
      <c r="H87" s="112"/>
      <c r="I87" s="112"/>
      <c r="J87" s="112"/>
      <c r="K87" s="112"/>
      <c r="L87" s="112"/>
      <c r="M87" s="113"/>
      <c r="N87" s="394"/>
    </row>
    <row r="88" spans="2:14">
      <c r="B88" s="110"/>
      <c r="C88" s="159" t="s">
        <v>653</v>
      </c>
      <c r="D88" s="41"/>
      <c r="E88" s="41"/>
      <c r="F88" s="41"/>
      <c r="G88" s="41"/>
      <c r="H88" s="41"/>
      <c r="I88" s="41"/>
      <c r="J88" s="41"/>
      <c r="K88" s="41"/>
      <c r="L88" s="41"/>
      <c r="M88" s="111"/>
      <c r="N88" s="139"/>
    </row>
    <row r="89" spans="2:14" ht="43.15">
      <c r="B89" s="34" t="s">
        <v>790</v>
      </c>
      <c r="C89" s="127" t="s">
        <v>791</v>
      </c>
      <c r="D89" s="47"/>
      <c r="E89" s="47">
        <f>(N89*1.05^2)-475000</f>
        <v>296705.90000000002</v>
      </c>
      <c r="F89" s="47"/>
      <c r="G89" s="47"/>
      <c r="H89" s="47"/>
      <c r="I89" s="47"/>
      <c r="J89" s="47"/>
      <c r="K89" s="47"/>
      <c r="L89" s="47"/>
      <c r="M89" s="117"/>
      <c r="N89" s="140">
        <v>699960</v>
      </c>
    </row>
    <row r="90" spans="2:14" ht="43.15">
      <c r="B90" s="34"/>
      <c r="C90" s="127" t="s">
        <v>792</v>
      </c>
      <c r="D90" s="47"/>
      <c r="E90" s="47"/>
      <c r="F90" s="47"/>
      <c r="G90" s="47"/>
      <c r="H90" s="47"/>
      <c r="I90" s="47"/>
      <c r="J90" s="47">
        <f>740000*1.03^J84</f>
        <v>910106.66041440377</v>
      </c>
      <c r="K90" s="47"/>
      <c r="L90" s="47"/>
      <c r="M90" s="117"/>
      <c r="N90" s="140">
        <f>3700*200</f>
        <v>740000</v>
      </c>
    </row>
    <row r="91" spans="2:14" ht="28.9">
      <c r="B91" s="110"/>
      <c r="C91" s="127" t="s">
        <v>793</v>
      </c>
      <c r="D91" s="47"/>
      <c r="E91" s="47"/>
      <c r="F91" s="47"/>
      <c r="G91" s="47"/>
      <c r="H91" s="47"/>
      <c r="I91" s="47"/>
      <c r="J91" s="47"/>
      <c r="K91" s="47">
        <f>N91*1.03^K84</f>
        <v>63338.504069380797</v>
      </c>
      <c r="L91" s="47"/>
      <c r="M91" s="117"/>
      <c r="N91" s="140">
        <v>50000</v>
      </c>
    </row>
    <row r="92" spans="2:14" ht="28.9">
      <c r="B92" s="110"/>
      <c r="C92" s="22" t="s">
        <v>794</v>
      </c>
      <c r="D92" s="47"/>
      <c r="E92" s="47"/>
      <c r="F92" s="47"/>
      <c r="G92" s="47"/>
      <c r="H92" s="47"/>
      <c r="I92" s="47"/>
      <c r="J92" s="47"/>
      <c r="K92" s="47">
        <f>N92*1.03^K84</f>
        <v>19262.505857580087</v>
      </c>
      <c r="L92" s="47"/>
      <c r="M92" s="117"/>
      <c r="N92" s="141">
        <v>15206</v>
      </c>
    </row>
    <row r="93" spans="2:14">
      <c r="B93" s="110"/>
      <c r="C93" s="22"/>
      <c r="D93" s="47"/>
      <c r="E93" s="47"/>
      <c r="F93" s="47"/>
      <c r="G93" s="47"/>
      <c r="H93" s="47"/>
      <c r="I93" s="47"/>
      <c r="J93" s="47"/>
      <c r="K93" s="47"/>
      <c r="L93" s="47"/>
      <c r="M93" s="117"/>
      <c r="N93" s="311"/>
    </row>
    <row r="94" spans="2:14">
      <c r="B94" s="110"/>
      <c r="C94" s="22"/>
      <c r="D94" s="47"/>
      <c r="E94" s="47"/>
      <c r="F94" s="47"/>
      <c r="G94" s="47"/>
      <c r="H94" s="47"/>
      <c r="I94" s="47"/>
      <c r="J94" s="47"/>
      <c r="K94" s="47"/>
      <c r="L94" s="47"/>
      <c r="M94" s="117"/>
      <c r="N94" s="311"/>
    </row>
    <row r="95" spans="2:14">
      <c r="B95" s="34"/>
      <c r="C95" s="22"/>
      <c r="D95" s="47"/>
      <c r="E95" s="47"/>
      <c r="F95" s="47"/>
      <c r="G95" s="47"/>
      <c r="H95" s="47"/>
      <c r="I95" s="47"/>
      <c r="J95" s="47"/>
      <c r="K95" s="47"/>
      <c r="L95" s="47"/>
      <c r="M95" s="117"/>
      <c r="N95" s="311"/>
    </row>
    <row r="96" spans="2:14" hidden="1">
      <c r="B96" s="110"/>
      <c r="C96" s="22"/>
      <c r="D96" s="47"/>
      <c r="E96" s="47"/>
      <c r="F96" s="47"/>
      <c r="G96" s="47"/>
      <c r="H96" s="47"/>
      <c r="I96" s="47"/>
      <c r="J96" s="47"/>
      <c r="K96" s="47"/>
      <c r="L96" s="47"/>
      <c r="M96" s="117"/>
      <c r="N96" s="311"/>
    </row>
    <row r="97" spans="2:13" hidden="1">
      <c r="B97" s="110"/>
      <c r="C97" s="22"/>
      <c r="D97" s="47"/>
      <c r="E97" s="47"/>
      <c r="F97" s="47"/>
      <c r="G97" s="47"/>
      <c r="H97" s="47"/>
      <c r="I97" s="47"/>
      <c r="J97" s="47"/>
      <c r="K97" s="47"/>
      <c r="L97" s="47"/>
      <c r="M97" s="117"/>
    </row>
    <row r="98" spans="2:13" hidden="1">
      <c r="B98" s="110"/>
      <c r="C98" s="22"/>
      <c r="D98" s="47"/>
      <c r="E98" s="47"/>
      <c r="F98" s="47"/>
      <c r="G98" s="47"/>
      <c r="H98" s="47"/>
      <c r="I98" s="47"/>
      <c r="J98" s="129"/>
      <c r="K98" s="47"/>
      <c r="L98" s="47"/>
      <c r="M98" s="117"/>
    </row>
    <row r="99" spans="2:13" hidden="1">
      <c r="B99" s="110"/>
      <c r="C99" s="22"/>
      <c r="D99" s="47"/>
      <c r="E99" s="47"/>
      <c r="F99" s="47"/>
      <c r="G99" s="47"/>
      <c r="H99" s="47"/>
      <c r="I99" s="47"/>
      <c r="J99" s="47"/>
      <c r="K99" s="47"/>
      <c r="L99" s="129"/>
      <c r="M99" s="130"/>
    </row>
    <row r="100" spans="2:13" hidden="1">
      <c r="B100" s="110"/>
      <c r="C100" s="22"/>
      <c r="D100" s="47"/>
      <c r="E100" s="47"/>
      <c r="F100" s="47"/>
      <c r="G100" s="47"/>
      <c r="H100" s="47"/>
      <c r="I100" s="47"/>
      <c r="J100" s="47"/>
      <c r="K100" s="47"/>
      <c r="L100" s="47"/>
      <c r="M100" s="117"/>
    </row>
    <row r="101" spans="2:13" hidden="1">
      <c r="B101" s="110"/>
      <c r="C101" s="22"/>
      <c r="D101" s="47"/>
      <c r="E101" s="47"/>
      <c r="F101" s="47"/>
      <c r="G101" s="47"/>
      <c r="H101" s="47"/>
      <c r="I101" s="47"/>
      <c r="J101" s="47"/>
      <c r="K101" s="47"/>
      <c r="L101" s="47"/>
      <c r="M101" s="117"/>
    </row>
    <row r="102" spans="2:13" hidden="1">
      <c r="B102" s="110"/>
      <c r="C102" s="22"/>
      <c r="D102" s="47"/>
      <c r="E102" s="47"/>
      <c r="F102" s="47"/>
      <c r="G102" s="47"/>
      <c r="H102" s="47"/>
      <c r="I102" s="47"/>
      <c r="J102" s="47"/>
      <c r="K102" s="47"/>
      <c r="L102" s="47"/>
      <c r="M102" s="117"/>
    </row>
    <row r="103" spans="2:13" hidden="1">
      <c r="B103" s="110"/>
      <c r="C103" s="22"/>
      <c r="D103" s="47"/>
      <c r="E103" s="47"/>
      <c r="F103" s="47"/>
      <c r="G103" s="47"/>
      <c r="H103" s="47"/>
      <c r="I103" s="47"/>
      <c r="J103" s="47"/>
      <c r="K103" s="47"/>
      <c r="L103" s="47"/>
      <c r="M103" s="117"/>
    </row>
    <row r="104" spans="2:13" hidden="1">
      <c r="B104" s="110"/>
      <c r="C104" s="22"/>
      <c r="D104" s="47"/>
      <c r="E104" s="47"/>
      <c r="F104" s="47"/>
      <c r="G104" s="47"/>
      <c r="H104" s="47"/>
      <c r="I104" s="47"/>
      <c r="J104" s="47"/>
      <c r="K104" s="47"/>
      <c r="L104" s="47"/>
      <c r="M104" s="117"/>
    </row>
    <row r="105" spans="2:13" hidden="1">
      <c r="B105" s="110"/>
      <c r="C105" s="22"/>
      <c r="D105" s="47"/>
      <c r="E105" s="47"/>
      <c r="F105" s="47"/>
      <c r="G105" s="47"/>
      <c r="H105" s="47"/>
      <c r="I105" s="47"/>
      <c r="J105" s="47"/>
      <c r="K105" s="47"/>
      <c r="L105" s="47"/>
      <c r="M105" s="117"/>
    </row>
    <row r="106" spans="2:13" hidden="1">
      <c r="B106" s="110"/>
      <c r="C106" s="22"/>
      <c r="D106" s="47"/>
      <c r="E106" s="47"/>
      <c r="F106" s="47"/>
      <c r="G106" s="47"/>
      <c r="H106" s="47"/>
      <c r="I106" s="47"/>
      <c r="J106" s="47"/>
      <c r="K106" s="47"/>
      <c r="L106" s="47"/>
      <c r="M106" s="117"/>
    </row>
    <row r="107" spans="2:13" hidden="1">
      <c r="B107" s="110"/>
      <c r="C107" s="22"/>
      <c r="D107" s="47"/>
      <c r="E107" s="47"/>
      <c r="F107" s="47"/>
      <c r="G107" s="47"/>
      <c r="H107" s="47"/>
      <c r="I107" s="47"/>
      <c r="J107" s="47"/>
      <c r="K107" s="47"/>
      <c r="L107" s="47"/>
      <c r="M107" s="117"/>
    </row>
    <row r="108" spans="2:13" hidden="1">
      <c r="B108" s="110"/>
      <c r="C108" s="22"/>
      <c r="D108" s="47"/>
      <c r="E108" s="47"/>
      <c r="F108" s="47"/>
      <c r="G108" s="47"/>
      <c r="H108" s="47"/>
      <c r="I108" s="47"/>
      <c r="J108" s="47"/>
      <c r="K108" s="47"/>
      <c r="L108" s="47"/>
      <c r="M108" s="117"/>
    </row>
    <row r="109" spans="2:13" hidden="1">
      <c r="B109" s="110"/>
      <c r="C109" s="22"/>
      <c r="D109" s="47"/>
      <c r="E109" s="47"/>
      <c r="F109" s="47"/>
      <c r="G109" s="47"/>
      <c r="H109" s="47"/>
      <c r="I109" s="47"/>
      <c r="J109" s="47"/>
      <c r="K109" s="47"/>
      <c r="L109" s="47"/>
      <c r="M109" s="117"/>
    </row>
    <row r="110" spans="2:13" hidden="1">
      <c r="B110" s="110"/>
      <c r="C110" s="22"/>
      <c r="D110" s="47"/>
      <c r="E110" s="47"/>
      <c r="F110" s="47"/>
      <c r="G110" s="47"/>
      <c r="H110" s="47"/>
      <c r="I110" s="47"/>
      <c r="J110" s="47"/>
      <c r="K110" s="47"/>
      <c r="L110" s="47"/>
      <c r="M110" s="117"/>
    </row>
    <row r="111" spans="2:13" hidden="1">
      <c r="B111" s="110"/>
      <c r="C111" s="22"/>
      <c r="D111" s="47"/>
      <c r="E111" s="47"/>
      <c r="F111" s="47"/>
      <c r="G111" s="47"/>
      <c r="H111" s="47"/>
      <c r="I111" s="47"/>
      <c r="J111" s="47"/>
      <c r="K111" s="47"/>
      <c r="L111" s="47"/>
      <c r="M111" s="117"/>
    </row>
    <row r="112" spans="2:13" hidden="1">
      <c r="B112" s="110"/>
      <c r="C112" s="22"/>
      <c r="D112" s="47"/>
      <c r="E112" s="47"/>
      <c r="F112" s="47"/>
      <c r="G112" s="47"/>
      <c r="H112" s="47"/>
      <c r="I112" s="47"/>
      <c r="J112" s="47"/>
      <c r="K112" s="47"/>
      <c r="L112" s="47"/>
      <c r="M112" s="117"/>
    </row>
    <row r="113" spans="2:13" hidden="1">
      <c r="B113" s="110"/>
      <c r="C113" s="22"/>
      <c r="D113" s="47"/>
      <c r="E113" s="47"/>
      <c r="F113" s="47"/>
      <c r="G113" s="47"/>
      <c r="H113" s="47"/>
      <c r="I113" s="47"/>
      <c r="J113" s="47"/>
      <c r="K113" s="47"/>
      <c r="L113" s="47"/>
      <c r="M113" s="117"/>
    </row>
    <row r="114" spans="2:13" hidden="1">
      <c r="B114" s="110"/>
      <c r="C114" s="22"/>
      <c r="D114" s="47"/>
      <c r="E114" s="47"/>
      <c r="F114" s="47"/>
      <c r="G114" s="47"/>
      <c r="H114" s="47"/>
      <c r="I114" s="47"/>
      <c r="J114" s="47"/>
      <c r="K114" s="47"/>
      <c r="L114" s="47"/>
      <c r="M114" s="117"/>
    </row>
    <row r="115" spans="2:13" hidden="1">
      <c r="B115" s="110"/>
      <c r="C115" s="22"/>
      <c r="D115" s="129"/>
      <c r="E115" s="129"/>
      <c r="F115" s="129"/>
      <c r="G115" s="129"/>
      <c r="H115" s="129"/>
      <c r="I115" s="129"/>
      <c r="J115" s="129"/>
      <c r="K115" s="129"/>
      <c r="L115" s="129"/>
      <c r="M115" s="130"/>
    </row>
    <row r="116" spans="2:13">
      <c r="B116" s="114"/>
      <c r="C116" s="118" t="s">
        <v>781</v>
      </c>
      <c r="D116" s="115">
        <f>D86-SUM(D91:D114)</f>
        <v>110000</v>
      </c>
      <c r="E116" s="115">
        <f>E86-SUM(E89:E114)</f>
        <v>-69280.900000000023</v>
      </c>
      <c r="F116" s="115">
        <f t="shared" ref="F116:M116" si="17">F86-SUM(F89:F114)</f>
        <v>55903.224999999977</v>
      </c>
      <c r="G116" s="115">
        <f t="shared" si="17"/>
        <v>189195.63562499997</v>
      </c>
      <c r="H116" s="115">
        <f t="shared" si="17"/>
        <v>328136.81856874994</v>
      </c>
      <c r="I116" s="115">
        <f t="shared" si="17"/>
        <v>472896.23700081243</v>
      </c>
      <c r="J116" s="115">
        <f t="shared" si="17"/>
        <v>-286458.22242856701</v>
      </c>
      <c r="K116" s="115">
        <f t="shared" si="17"/>
        <v>-212134.4653409528</v>
      </c>
      <c r="L116" s="115">
        <f t="shared" si="17"/>
        <v>-48851.955315940431</v>
      </c>
      <c r="M116" s="116">
        <f t="shared" si="17"/>
        <v>120979.03000982231</v>
      </c>
    </row>
  </sheetData>
  <mergeCells count="8">
    <mergeCell ref="B1:M1"/>
    <mergeCell ref="D2:M2"/>
    <mergeCell ref="N86:N87"/>
    <mergeCell ref="B45:M45"/>
    <mergeCell ref="N2:N3"/>
    <mergeCell ref="B82:M82"/>
    <mergeCell ref="C2:C4"/>
    <mergeCell ref="B12:M12"/>
  </mergeCells>
  <pageMargins left="0.7" right="0.7" top="0.75" bottom="0.75" header="0.3" footer="0.3"/>
  <pageSetup paperSize="17" scale="66" orientation="portrait"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076fe23b-1fd5-490c-8cb0-07279ee04191" ContentTypeId="0x01010006ECCEB8876C3241BF9EAC4A765FAF4200B010D51BFC38B74EAC311886D95ED0A3" PreviousValue="false" LastSyncTimeStamp="2024-11-07T22:31:03.417Z"/>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upersededDate xmlns="2025f06d-6995-4e44-8ee8-f8a6ae3bb98f" xsi:nil="true"/>
  </documentManagement>
</p:properties>
</file>

<file path=customXml/item4.xml><?xml version="1.0" encoding="utf-8"?>
<ct:contentTypeSchema xmlns:ct="http://schemas.microsoft.com/office/2006/metadata/contentType" xmlns:ma="http://schemas.microsoft.com/office/2006/metadata/properties/metaAttributes" ct:_="" ma:_="" ma:contentTypeName="Transitory - Organizing and Monitoring Work in Progress" ma:contentTypeID="0x01010006ECCEB8876C3241BF9EAC4A765FAF4200B010D51BFC38B74EAC311886D95ED0A300EDC58EA103263747929A0695BF92E373" ma:contentTypeVersion="4" ma:contentTypeDescription="Create a new document." ma:contentTypeScope="" ma:versionID="16a87a5a69da41d0ca6b817235497675">
  <xsd:schema xmlns:xsd="http://www.w3.org/2001/XMLSchema" xmlns:xs="http://www.w3.org/2001/XMLSchema" xmlns:p="http://schemas.microsoft.com/office/2006/metadata/properties" xmlns:ns2="2025f06d-6995-4e44-8ee8-f8a6ae3bb98f" targetNamespace="http://schemas.microsoft.com/office/2006/metadata/properties" ma:root="true" ma:fieldsID="4eaeb6596560183758bd0c8a4ed784a9" ns2:_="">
    <xsd:import namespace="2025f06d-6995-4e44-8ee8-f8a6ae3bb98f"/>
    <xsd:element name="properties">
      <xsd:complexType>
        <xsd:sequence>
          <xsd:element name="documentManagement">
            <xsd:complexType>
              <xsd:all>
                <xsd:element ref="ns2:Superseded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25f06d-6995-4e44-8ee8-f8a6ae3bb98f" elementFormDefault="qualified">
    <xsd:import namespace="http://schemas.microsoft.com/office/2006/documentManagement/types"/>
    <xsd:import namespace="http://schemas.microsoft.com/office/infopath/2007/PartnerControls"/>
    <xsd:element name="SupersededDate" ma:index="8" nillable="true" ma:displayName="Superseded Date" ma:internalName="Superseded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96CAF4-1E24-47D1-A1A5-0E232515CD3B}"/>
</file>

<file path=customXml/itemProps2.xml><?xml version="1.0" encoding="utf-8"?>
<ds:datastoreItem xmlns:ds="http://schemas.openxmlformats.org/officeDocument/2006/customXml" ds:itemID="{CEACE61F-17F2-409F-8A7A-3AA6C96C9684}"/>
</file>

<file path=customXml/itemProps3.xml><?xml version="1.0" encoding="utf-8"?>
<ds:datastoreItem xmlns:ds="http://schemas.openxmlformats.org/officeDocument/2006/customXml" ds:itemID="{2F180511-C680-4C80-9584-A82261517944}"/>
</file>

<file path=customXml/itemProps4.xml><?xml version="1.0" encoding="utf-8"?>
<ds:datastoreItem xmlns:ds="http://schemas.openxmlformats.org/officeDocument/2006/customXml" ds:itemID="{47EC103B-FD6A-4FA1-9131-1FC7D7CAA6D0}"/>
</file>

<file path=docMetadata/LabelInfo.xml><?xml version="1.0" encoding="utf-8"?>
<clbl:labelList xmlns:clbl="http://schemas.microsoft.com/office/2020/mipLabelMetadata">
  <clbl:label id="{c7243e29-e897-47ce-8043-54eeb9907be5}" enabled="0" method="" siteId="{c7243e29-e897-47ce-8043-54eeb9907be5}"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Aaron Halverson</dc:creator>
  <cp:keywords/>
  <dc:description/>
  <cp:lastModifiedBy>Lori Erickson</cp:lastModifiedBy>
  <cp:revision/>
  <dcterms:created xsi:type="dcterms:W3CDTF">2022-04-15T23:06:09Z</dcterms:created>
  <dcterms:modified xsi:type="dcterms:W3CDTF">2025-09-30T00:09:12Z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0x01010006ECCEB8876C3241BF9EAC4A765FAF4200B010D51BFC38B74EAC311886D95ED0A300EDC58EA103263747929A0695BF92E373</vt:lpwstr>
  </property>
  <property fmtid="{D5CDD505-2E9C-101B-9397-08002B2CF9AE}" pid="3" name="TaxKeyword">
    <vt:lpwstr/>
  </property>
  <property fmtid="{D5CDD505-2E9C-101B-9397-08002B2CF9AE}" pid="4" name="MediaServiceImageTags">
    <vt:lpwstr/>
  </property>
  <property fmtid="{D5CDD505-2E9C-101B-9397-08002B2CF9AE}" pid="5" name="MSIP_Label_cfab7ce3-3b42-49e2-a0d8-281df53d392b_Enabled">
    <vt:lpwstr>true</vt:lpwstr>
  </property>
  <property fmtid="{D5CDD505-2E9C-101B-9397-08002B2CF9AE}" pid="6" name="MSIP_Label_cfab7ce3-3b42-49e2-a0d8-281df53d392b_SetDate">
    <vt:lpwstr>2022-09-14T22:03:56Z</vt:lpwstr>
  </property>
  <property fmtid="{D5CDD505-2E9C-101B-9397-08002B2CF9AE}" pid="7" name="MSIP_Label_cfab7ce3-3b42-49e2-a0d8-281df53d392b_Method">
    <vt:lpwstr>Standard</vt:lpwstr>
  </property>
  <property fmtid="{D5CDD505-2E9C-101B-9397-08002B2CF9AE}" pid="8" name="MSIP_Label_cfab7ce3-3b42-49e2-a0d8-281df53d392b_Name">
    <vt:lpwstr>defa4170-0d19-0005-0004-bc88714345d2</vt:lpwstr>
  </property>
  <property fmtid="{D5CDD505-2E9C-101B-9397-08002B2CF9AE}" pid="9" name="MSIP_Label_cfab7ce3-3b42-49e2-a0d8-281df53d392b_SiteId">
    <vt:lpwstr>c7243e29-e897-47ce-8043-54eeb9907be5</vt:lpwstr>
  </property>
  <property fmtid="{D5CDD505-2E9C-101B-9397-08002B2CF9AE}" pid="10" name="MSIP_Label_cfab7ce3-3b42-49e2-a0d8-281df53d392b_ActionId">
    <vt:lpwstr>81c7b162-a5d6-4ed0-9c1b-ea8cdec370cb</vt:lpwstr>
  </property>
  <property fmtid="{D5CDD505-2E9C-101B-9397-08002B2CF9AE}" pid="11" name="MSIP_Label_cfab7ce3-3b42-49e2-a0d8-281df53d392b_ContentBits">
    <vt:lpwstr>0</vt:lpwstr>
  </property>
  <property fmtid="{D5CDD505-2E9C-101B-9397-08002B2CF9AE}" pid="12" name="Order">
    <vt:r8>100</vt:r8>
  </property>
  <property fmtid="{D5CDD505-2E9C-101B-9397-08002B2CF9AE}" pid="13" name="_ExtendedDescription">
    <vt:lpwstr/>
  </property>
  <property fmtid="{D5CDD505-2E9C-101B-9397-08002B2CF9AE}" pid="14" name="Topic">
    <vt:lpwstr>Erik's</vt:lpwstr>
  </property>
  <property fmtid="{D5CDD505-2E9C-101B-9397-08002B2CF9AE}" pid="15" name="lcf76f155ced4ddcb4097134ff3c332f">
    <vt:lpwstr/>
  </property>
  <property fmtid="{D5CDD505-2E9C-101B-9397-08002B2CF9AE}" pid="16" name="TaxCatchAll">
    <vt:lpwstr/>
  </property>
</Properties>
</file>