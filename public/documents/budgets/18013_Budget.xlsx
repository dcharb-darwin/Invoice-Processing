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kestevens.sharepoint.com/sites/RMS-CapitalProjects/Capital/Main Street Improvements/2._Planning/2.4_Billing/"/>
    </mc:Choice>
  </mc:AlternateContent>
  <xr:revisionPtr revIDLastSave="854" documentId="8_{DB607893-FF37-42C9-B524-0B6ADBF4231D}" xr6:coauthVersionLast="47" xr6:coauthVersionMax="47" xr10:uidLastSave="{2BCB8A33-B4C1-4EFB-A2A3-C69248B87053}"/>
  <bookViews>
    <workbookView xWindow="20130" yWindow="-18980" windowWidth="21600" windowHeight="13560" xr2:uid="{2866931E-DC09-4A81-8804-77F632E7783C}"/>
  </bookViews>
  <sheets>
    <sheet name="Overview" sheetId="1" r:id="rId1"/>
    <sheet name="Design" sheetId="2" r:id="rId2"/>
    <sheet name="ROW" sheetId="3" r:id="rId3"/>
    <sheet name="CM Services" sheetId="5" r:id="rId4"/>
    <sheet name="Construction" sheetId="4" r:id="rId5"/>
  </sheets>
  <externalReferences>
    <externalReference r:id="rId6"/>
  </externalReferences>
  <definedNames>
    <definedName name="_xlnm.Print_Area" localSheetId="0">Overview!$A$1:$G$45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D35" i="5"/>
  <c r="G4" i="5" s="1"/>
  <c r="F17" i="1"/>
  <c r="F18" i="1"/>
  <c r="F19" i="1"/>
  <c r="F16" i="1"/>
  <c r="F31" i="1"/>
  <c r="F10" i="1"/>
  <c r="D16" i="1"/>
  <c r="G5" i="5" l="1"/>
  <c r="H5" i="5" s="1"/>
  <c r="H6" i="5"/>
  <c r="H4" i="5"/>
  <c r="M19" i="2" l="1"/>
  <c r="D40" i="2" l="1"/>
  <c r="D25" i="3"/>
  <c r="F19" i="3" s="1"/>
  <c r="G4" i="3"/>
  <c r="H4" i="3" s="1"/>
  <c r="E21" i="2"/>
  <c r="F23" i="1"/>
  <c r="G19" i="3" l="1"/>
  <c r="F20" i="3"/>
  <c r="G20" i="3" s="1"/>
  <c r="G5" i="3"/>
  <c r="H5" i="3" s="1"/>
  <c r="G4" i="2" l="1"/>
  <c r="F11" i="1" s="1"/>
  <c r="G5" i="2" l="1"/>
  <c r="H4" i="2"/>
  <c r="F12" i="1"/>
  <c r="F22" i="1" l="1"/>
  <c r="H5" i="2"/>
</calcChain>
</file>

<file path=xl/sharedStrings.xml><?xml version="1.0" encoding="utf-8"?>
<sst xmlns="http://schemas.openxmlformats.org/spreadsheetml/2006/main" count="132" uniqueCount="96">
  <si>
    <t>RD-101</t>
  </si>
  <si>
    <t>Main Street Improvements Project</t>
  </si>
  <si>
    <t>Total Budget:</t>
  </si>
  <si>
    <t>301-000-333-20-20-50</t>
  </si>
  <si>
    <t>301-016-595-30-60-05</t>
  </si>
  <si>
    <t>304-016-595-30-60-05</t>
  </si>
  <si>
    <t>Budget utilized</t>
  </si>
  <si>
    <t>Budget Remaining</t>
  </si>
  <si>
    <t>Total Design Contract</t>
  </si>
  <si>
    <t>Contract Remaining</t>
  </si>
  <si>
    <t>Kristen Cassias</t>
  </si>
  <si>
    <t>Contract:</t>
  </si>
  <si>
    <t>Amount</t>
  </si>
  <si>
    <t>Supplement 1</t>
  </si>
  <si>
    <t>Design Contract</t>
  </si>
  <si>
    <t>Transpo Group</t>
  </si>
  <si>
    <t>Contract total</t>
  </si>
  <si>
    <t>Contract utilized</t>
  </si>
  <si>
    <t>INVOICES</t>
  </si>
  <si>
    <t>invoice #</t>
  </si>
  <si>
    <t>Invoice Date</t>
  </si>
  <si>
    <t>total</t>
  </si>
  <si>
    <t>2023 Total</t>
  </si>
  <si>
    <t>Total</t>
  </si>
  <si>
    <t>ROW Acquisition</t>
  </si>
  <si>
    <t>DCI Engineers (subconsultant of Transpo Group)</t>
  </si>
  <si>
    <t>Roxanne Grimm</t>
  </si>
  <si>
    <t>Parcel #</t>
  </si>
  <si>
    <t>City of Lake Stevens</t>
  </si>
  <si>
    <t>First Baptist Church - Lake Stevens</t>
  </si>
  <si>
    <t>1702 Main Street</t>
  </si>
  <si>
    <t>Lake Mall LLC</t>
  </si>
  <si>
    <t>1803 Main Street</t>
  </si>
  <si>
    <t>Leon Norman</t>
  </si>
  <si>
    <t>1705 125th St. NE</t>
  </si>
  <si>
    <t xml:space="preserve">City Owned Property Recording </t>
  </si>
  <si>
    <t>Harmsen On-Call</t>
  </si>
  <si>
    <t>HARMSEN-Task Order 2023-01_signed.pdf</t>
  </si>
  <si>
    <t>Utilization</t>
  </si>
  <si>
    <t>Remaining</t>
  </si>
  <si>
    <t>23_1742</t>
  </si>
  <si>
    <t>24_0032</t>
  </si>
  <si>
    <t>Advertisement Date</t>
  </si>
  <si>
    <t>Notice to Proceed Date</t>
  </si>
  <si>
    <t>PROJECT NAME</t>
  </si>
  <si>
    <t>BUDGET</t>
  </si>
  <si>
    <t>DESIGN CONTRACT</t>
  </si>
  <si>
    <t>ROW ACQUISITION</t>
  </si>
  <si>
    <t>CONSTRUCTION CONTRACT</t>
  </si>
  <si>
    <t>Captial Facilities Plan #</t>
  </si>
  <si>
    <t>FHWA Grant</t>
  </si>
  <si>
    <t>TIZ 1</t>
  </si>
  <si>
    <t>R2 Main</t>
  </si>
  <si>
    <t>Budget Source</t>
  </si>
  <si>
    <t>Budget Amount</t>
  </si>
  <si>
    <t>Utilized</t>
  </si>
  <si>
    <t>TBP (removed)</t>
  </si>
  <si>
    <t>Budget Code/Alias</t>
  </si>
  <si>
    <t>Contract/Award Date:</t>
  </si>
  <si>
    <t>Council Authorization Date:</t>
  </si>
  <si>
    <t>Project Manager:</t>
  </si>
  <si>
    <t>Prime Consultant:</t>
  </si>
  <si>
    <t>BUDGET REPORT</t>
  </si>
  <si>
    <t>Supplement 2</t>
  </si>
  <si>
    <t>contract expires:</t>
  </si>
  <si>
    <t>18013_Transpo_PSA_221215 - signed</t>
  </si>
  <si>
    <t>18013_PSA Supplement 1_230315_Rev1 - signed.pdf</t>
  </si>
  <si>
    <t>18013_PSA Supplement 2_241126 - signed.pdf</t>
  </si>
  <si>
    <t>Total Cost</t>
  </si>
  <si>
    <t>Working Days</t>
  </si>
  <si>
    <t>PreContruction Meeting Date</t>
  </si>
  <si>
    <t>Bid Opening</t>
  </si>
  <si>
    <t>Contract/Award Date</t>
  </si>
  <si>
    <t>18013_Public Works Contract_241122-signed.pdf</t>
  </si>
  <si>
    <t>Contract Total</t>
  </si>
  <si>
    <t>TCE &amp; ROW</t>
  </si>
  <si>
    <t>Norman, Leon &amp; Jennifer</t>
  </si>
  <si>
    <t>TCE</t>
  </si>
  <si>
    <t>First Baptist Church of LS</t>
  </si>
  <si>
    <t>DeYoung Family Trust</t>
  </si>
  <si>
    <t xml:space="preserve">Lakeview Flats LLC </t>
  </si>
  <si>
    <t>Contract Paid-to-date:</t>
  </si>
  <si>
    <t>Address:</t>
  </si>
  <si>
    <t>Owner:</t>
  </si>
  <si>
    <t>Refer to Project Tracking Spreadsheet</t>
  </si>
  <si>
    <t>Construction Management Services</t>
  </si>
  <si>
    <t>KBA, Inc.</t>
  </si>
  <si>
    <t>Micael Serrano</t>
  </si>
  <si>
    <t>Scope and Fee:</t>
  </si>
  <si>
    <t>1a. Main Street Improvements - KBA Estimated Budget Rev. 3.pdf</t>
  </si>
  <si>
    <t>4. LP_AEPS-NegotiatedHourlyRate_Draft_250109.pdf</t>
  </si>
  <si>
    <t>DBE Billed</t>
  </si>
  <si>
    <t xml:space="preserve">DBE Goal </t>
  </si>
  <si>
    <t>acquired</t>
  </si>
  <si>
    <t>status</t>
  </si>
  <si>
    <t>Begin - 3/4/2025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</si>
</sst>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Arial"/>
      <family val="2"/>
    </font>
    <font>
      <u/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ptos"/>
      <family val="2"/>
    </font>
    <font>
      <sz val="14"/>
      <color theme="4" tint="-0.499984740745262"/>
      <name val="Aptos"/>
      <family val="2"/>
    </font>
    <font>
      <b/>
      <sz val="11"/>
      <color theme="1"/>
      <name val="Aptos"/>
      <family val="2"/>
    </font>
    <font>
      <sz val="8"/>
      <color theme="1"/>
      <name val="Aptos"/>
      <family val="2"/>
    </font>
    <font>
      <sz val="9"/>
      <color rgb="FF000000"/>
      <name val="Aptos"/>
      <family val="2"/>
    </font>
    <font>
      <u/>
      <sz val="11"/>
      <color theme="10"/>
      <name val="Aptos"/>
      <family val="2"/>
    </font>
    <font>
      <sz val="11"/>
      <color theme="4" tint="-0.249977111117893"/>
      <name val="Aptos"/>
      <family val="2"/>
    </font>
    <font>
      <sz val="12"/>
      <color theme="4" tint="-0.249977111117893"/>
      <name val="Aptos Light"/>
      <family val="2"/>
    </font>
    <font>
      <sz val="12"/>
      <color theme="4" tint="-0.249977111117893"/>
      <name val="Aptos"/>
      <family val="2"/>
    </font>
    <font>
      <sz val="11"/>
      <name val="Aptos"/>
      <family val="2"/>
    </font>
    <font>
      <sz val="20"/>
      <color theme="4" tint="-0.249977111117893"/>
      <name val="Aptos"/>
      <family val="2"/>
    </font>
    <font>
      <sz val="8"/>
      <color rgb="FF000000"/>
      <name val="Aptos"/>
      <family val="2"/>
    </font>
    <font>
      <b/>
      <sz val="8"/>
      <color theme="4" tint="-0.249977111117893"/>
      <name val="Aptos"/>
      <family val="2"/>
    </font>
    <font>
      <b/>
      <sz val="12"/>
      <color theme="4" tint="-0.499984740745262"/>
      <name val="Aptos"/>
      <family val="2"/>
    </font>
    <font>
      <b/>
      <sz val="20"/>
      <color rgb="FFC00000"/>
      <name val="Aptos"/>
      <family val="2"/>
    </font>
    <font>
      <sz val="12"/>
      <color rgb="FFC00000"/>
      <name val="Aptos Light"/>
      <family val="2"/>
    </font>
    <font>
      <sz val="10"/>
      <color rgb="FFC00000"/>
      <name val="Aptos Light"/>
      <family val="2"/>
    </font>
    <font>
      <sz val="12"/>
      <name val="Aptos"/>
      <family val="2"/>
    </font>
    <font>
      <sz val="10"/>
      <name val="Aptos"/>
      <family val="2"/>
    </font>
    <font>
      <b/>
      <sz val="11"/>
      <color rgb="FFC00000"/>
      <name val="Aptos"/>
      <family val="2"/>
    </font>
    <font>
      <b/>
      <sz val="10"/>
      <color rgb="FFC00000"/>
      <name val="Aptos"/>
      <family val="2"/>
    </font>
    <font>
      <sz val="11"/>
      <color theme="2" tint="-0.74999237037263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ck">
        <color theme="4" tint="-0.499984740745262"/>
      </bottom>
      <diagonal/>
    </border>
    <border>
      <left/>
      <right/>
      <top style="thick">
        <color theme="4" tint="-0.499984740745262"/>
      </top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/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2"/>
    <xf numFmtId="8" fontId="8" fillId="0" borderId="0" xfId="0" applyNumberFormat="1" applyFont="1"/>
    <xf numFmtId="44" fontId="7" fillId="0" borderId="0" xfId="0" applyNumberFormat="1" applyFont="1"/>
    <xf numFmtId="8" fontId="6" fillId="2" borderId="0" xfId="3" applyNumberFormat="1"/>
    <xf numFmtId="14" fontId="0" fillId="0" borderId="1" xfId="0" applyNumberFormat="1" applyBorder="1" applyAlignment="1">
      <alignment horizontal="center"/>
    </xf>
    <xf numFmtId="44" fontId="3" fillId="0" borderId="0" xfId="1" applyFont="1"/>
    <xf numFmtId="0" fontId="8" fillId="0" borderId="0" xfId="0" applyFont="1"/>
    <xf numFmtId="44" fontId="0" fillId="0" borderId="3" xfId="0" applyNumberFormat="1" applyBorder="1"/>
    <xf numFmtId="0" fontId="8" fillId="0" borderId="0" xfId="0" applyFont="1" applyAlignment="1">
      <alignment horizontal="right"/>
    </xf>
    <xf numFmtId="9" fontId="0" fillId="0" borderId="0" xfId="4" applyFont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9" fillId="3" borderId="7" xfId="0" applyFont="1" applyFill="1" applyBorder="1" applyAlignment="1">
      <alignment horizontal="center"/>
    </xf>
    <xf numFmtId="44" fontId="0" fillId="0" borderId="8" xfId="0" applyNumberFormat="1" applyBorder="1"/>
    <xf numFmtId="0" fontId="0" fillId="0" borderId="9" xfId="0" applyBorder="1" applyAlignment="1">
      <alignment horizontal="left"/>
    </xf>
    <xf numFmtId="14" fontId="0" fillId="0" borderId="10" xfId="0" applyNumberFormat="1" applyBorder="1" applyAlignment="1">
      <alignment horizontal="center"/>
    </xf>
    <xf numFmtId="44" fontId="0" fillId="0" borderId="11" xfId="1" applyFont="1" applyBorder="1"/>
    <xf numFmtId="0" fontId="0" fillId="0" borderId="12" xfId="0" applyBorder="1" applyAlignment="1">
      <alignment horizontal="left"/>
    </xf>
    <xf numFmtId="44" fontId="0" fillId="0" borderId="13" xfId="1" applyFont="1" applyBorder="1"/>
    <xf numFmtId="0" fontId="0" fillId="0" borderId="14" xfId="0" applyBorder="1" applyAlignment="1">
      <alignment horizontal="left"/>
    </xf>
    <xf numFmtId="14" fontId="0" fillId="0" borderId="15" xfId="0" applyNumberFormat="1" applyBorder="1" applyAlignment="1">
      <alignment horizontal="center"/>
    </xf>
    <xf numFmtId="44" fontId="0" fillId="0" borderId="16" xfId="1" applyFont="1" applyBorder="1"/>
    <xf numFmtId="44" fontId="8" fillId="0" borderId="3" xfId="0" applyNumberFormat="1" applyFont="1" applyBorder="1"/>
    <xf numFmtId="0" fontId="3" fillId="0" borderId="2" xfId="0" applyFont="1" applyBorder="1"/>
    <xf numFmtId="0" fontId="10" fillId="0" borderId="0" xfId="2" applyFont="1"/>
    <xf numFmtId="0" fontId="2" fillId="0" borderId="17" xfId="0" applyFont="1" applyBorder="1"/>
    <xf numFmtId="0" fontId="11" fillId="0" borderId="0" xfId="2" applyFont="1"/>
    <xf numFmtId="0" fontId="2" fillId="0" borderId="12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44" fontId="2" fillId="0" borderId="13" xfId="1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14" xfId="0" applyFont="1" applyBorder="1" applyAlignment="1">
      <alignment horizontal="left"/>
    </xf>
    <xf numFmtId="14" fontId="2" fillId="0" borderId="15" xfId="0" applyNumberFormat="1" applyFont="1" applyBorder="1" applyAlignment="1">
      <alignment horizontal="center"/>
    </xf>
    <xf numFmtId="44" fontId="2" fillId="0" borderId="16" xfId="1" applyFont="1" applyBorder="1"/>
    <xf numFmtId="44" fontId="6" fillId="2" borderId="0" xfId="3" applyNumberFormat="1"/>
    <xf numFmtId="0" fontId="0" fillId="0" borderId="20" xfId="0" applyBorder="1" applyAlignment="1">
      <alignment horizontal="left"/>
    </xf>
    <xf numFmtId="44" fontId="0" fillId="0" borderId="22" xfId="1" applyFont="1" applyBorder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44" fontId="13" fillId="0" borderId="0" xfId="0" applyNumberFormat="1" applyFont="1"/>
    <xf numFmtId="0" fontId="13" fillId="0" borderId="0" xfId="0" applyFont="1" applyAlignment="1">
      <alignment horizontal="center"/>
    </xf>
    <xf numFmtId="44" fontId="13" fillId="0" borderId="0" xfId="1" applyFont="1"/>
    <xf numFmtId="0" fontId="18" fillId="0" borderId="0" xfId="2" applyFont="1"/>
    <xf numFmtId="14" fontId="13" fillId="0" borderId="0" xfId="0" applyNumberFormat="1" applyFont="1"/>
    <xf numFmtId="0" fontId="13" fillId="0" borderId="23" xfId="0" applyFont="1" applyBorder="1"/>
    <xf numFmtId="44" fontId="13" fillId="0" borderId="0" xfId="1" applyFont="1" applyBorder="1"/>
    <xf numFmtId="0" fontId="21" fillId="0" borderId="0" xfId="0" applyFont="1" applyAlignment="1">
      <alignment vertical="center"/>
    </xf>
    <xf numFmtId="0" fontId="15" fillId="0" borderId="0" xfId="0" applyFont="1"/>
    <xf numFmtId="0" fontId="22" fillId="0" borderId="0" xfId="0" applyFont="1" applyAlignment="1">
      <alignment horizontal="right"/>
    </xf>
    <xf numFmtId="44" fontId="22" fillId="0" borderId="0" xfId="0" applyNumberFormat="1" applyFont="1"/>
    <xf numFmtId="0" fontId="0" fillId="0" borderId="25" xfId="0" applyBorder="1"/>
    <xf numFmtId="0" fontId="20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0" fontId="13" fillId="0" borderId="33" xfId="0" applyFont="1" applyBorder="1"/>
    <xf numFmtId="0" fontId="13" fillId="0" borderId="35" xfId="0" applyFont="1" applyBorder="1"/>
    <xf numFmtId="0" fontId="14" fillId="0" borderId="34" xfId="0" applyFont="1" applyBorder="1"/>
    <xf numFmtId="0" fontId="0" fillId="0" borderId="34" xfId="0" applyBorder="1"/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9" fillId="0" borderId="0" xfId="0" applyFont="1"/>
    <xf numFmtId="44" fontId="26" fillId="0" borderId="0" xfId="1" applyFont="1"/>
    <xf numFmtId="0" fontId="23" fillId="4" borderId="27" xfId="0" applyFont="1" applyFill="1" applyBorder="1" applyAlignment="1">
      <alignment horizontal="right" vertical="center"/>
    </xf>
    <xf numFmtId="0" fontId="23" fillId="4" borderId="28" xfId="0" applyFont="1" applyFill="1" applyBorder="1" applyAlignment="1">
      <alignment horizontal="right" vertical="center"/>
    </xf>
    <xf numFmtId="0" fontId="23" fillId="4" borderId="29" xfId="0" applyFont="1" applyFill="1" applyBorder="1" applyAlignment="1">
      <alignment horizontal="right" vertical="center"/>
    </xf>
    <xf numFmtId="0" fontId="23" fillId="4" borderId="30" xfId="0" applyFont="1" applyFill="1" applyBorder="1" applyAlignment="1">
      <alignment horizontal="right" vertical="center"/>
    </xf>
    <xf numFmtId="0" fontId="23" fillId="4" borderId="0" xfId="0" applyFont="1" applyFill="1" applyAlignment="1">
      <alignment horizontal="right" vertical="center"/>
    </xf>
    <xf numFmtId="0" fontId="23" fillId="4" borderId="31" xfId="0" applyFont="1" applyFill="1" applyBorder="1" applyAlignment="1">
      <alignment horizontal="right" vertical="center"/>
    </xf>
    <xf numFmtId="0" fontId="23" fillId="4" borderId="23" xfId="0" applyFont="1" applyFill="1" applyBorder="1" applyAlignment="1">
      <alignment horizontal="right" vertical="center"/>
    </xf>
    <xf numFmtId="0" fontId="23" fillId="4" borderId="32" xfId="0" applyFont="1" applyFill="1" applyBorder="1" applyAlignment="1">
      <alignment horizontal="right" vertical="center"/>
    </xf>
    <xf numFmtId="0" fontId="13" fillId="4" borderId="35" xfId="0" applyFont="1" applyFill="1" applyBorder="1"/>
    <xf numFmtId="0" fontId="25" fillId="4" borderId="35" xfId="0" applyFont="1" applyFill="1" applyBorder="1"/>
    <xf numFmtId="14" fontId="13" fillId="4" borderId="35" xfId="0" applyNumberFormat="1" applyFont="1" applyFill="1" applyBorder="1"/>
    <xf numFmtId="0" fontId="15" fillId="4" borderId="35" xfId="0" applyFont="1" applyFill="1" applyBorder="1"/>
    <xf numFmtId="0" fontId="28" fillId="4" borderId="35" xfId="0" applyFont="1" applyFill="1" applyBorder="1"/>
    <xf numFmtId="0" fontId="28" fillId="4" borderId="34" xfId="0" applyFont="1" applyFill="1" applyBorder="1" applyAlignment="1">
      <alignment horizontal="left" vertical="center"/>
    </xf>
    <xf numFmtId="0" fontId="29" fillId="4" borderId="35" xfId="0" applyFont="1" applyFill="1" applyBorder="1" applyAlignment="1">
      <alignment horizontal="left" vertical="center"/>
    </xf>
    <xf numFmtId="0" fontId="30" fillId="0" borderId="34" xfId="0" applyFont="1" applyBorder="1" applyAlignment="1">
      <alignment vertical="center"/>
    </xf>
    <xf numFmtId="0" fontId="31" fillId="0" borderId="35" xfId="0" applyFont="1" applyBorder="1" applyAlignment="1">
      <alignment horizontal="left" vertical="center"/>
    </xf>
    <xf numFmtId="0" fontId="22" fillId="5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left"/>
    </xf>
    <xf numFmtId="1" fontId="2" fillId="0" borderId="17" xfId="0" applyNumberFormat="1" applyFont="1" applyBorder="1" applyAlignment="1">
      <alignment horizontal="left"/>
    </xf>
    <xf numFmtId="0" fontId="33" fillId="4" borderId="35" xfId="0" applyFont="1" applyFill="1" applyBorder="1" applyAlignment="1">
      <alignment horizontal="right"/>
    </xf>
    <xf numFmtId="0" fontId="33" fillId="4" borderId="35" xfId="0" applyFont="1" applyFill="1" applyBorder="1" applyAlignment="1">
      <alignment horizontal="right" vertical="center"/>
    </xf>
    <xf numFmtId="8" fontId="32" fillId="4" borderId="35" xfId="0" applyNumberFormat="1" applyFont="1" applyFill="1" applyBorder="1"/>
    <xf numFmtId="44" fontId="32" fillId="4" borderId="35" xfId="0" applyNumberFormat="1" applyFont="1" applyFill="1" applyBorder="1"/>
    <xf numFmtId="44" fontId="15" fillId="0" borderId="0" xfId="0" applyNumberFormat="1" applyFont="1"/>
    <xf numFmtId="0" fontId="34" fillId="5" borderId="0" xfId="0" applyFont="1" applyFill="1"/>
    <xf numFmtId="0" fontId="34" fillId="5" borderId="24" xfId="0" applyFont="1" applyFill="1" applyBorder="1"/>
    <xf numFmtId="0" fontId="34" fillId="5" borderId="28" xfId="0" applyFont="1" applyFill="1" applyBorder="1"/>
    <xf numFmtId="14" fontId="34" fillId="5" borderId="0" xfId="0" applyNumberFormat="1" applyFont="1" applyFill="1"/>
    <xf numFmtId="0" fontId="2" fillId="0" borderId="36" xfId="0" applyFont="1" applyBorder="1"/>
    <xf numFmtId="0" fontId="2" fillId="0" borderId="39" xfId="0" applyFont="1" applyBorder="1"/>
    <xf numFmtId="44" fontId="2" fillId="0" borderId="41" xfId="1" applyFont="1" applyBorder="1"/>
    <xf numFmtId="0" fontId="2" fillId="0" borderId="42" xfId="0" applyFont="1" applyBorder="1"/>
    <xf numFmtId="44" fontId="2" fillId="0" borderId="43" xfId="1" applyFont="1" applyBorder="1"/>
    <xf numFmtId="0" fontId="2" fillId="0" borderId="42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14" fontId="2" fillId="0" borderId="45" xfId="0" applyNumberFormat="1" applyFont="1" applyBorder="1" applyAlignment="1">
      <alignment horizontal="center"/>
    </xf>
    <xf numFmtId="44" fontId="2" fillId="0" borderId="46" xfId="1" applyFont="1" applyBorder="1"/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44" fontId="6" fillId="0" borderId="0" xfId="3" applyNumberFormat="1" applyFill="1"/>
    <xf numFmtId="0" fontId="34" fillId="4" borderId="35" xfId="2" applyFont="1" applyFill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14" fontId="2" fillId="0" borderId="37" xfId="0" applyNumberFormat="1" applyFont="1" applyBorder="1"/>
    <xf numFmtId="44" fontId="2" fillId="0" borderId="38" xfId="1" applyFont="1" applyBorder="1"/>
    <xf numFmtId="14" fontId="2" fillId="0" borderId="26" xfId="0" applyNumberFormat="1" applyFont="1" applyBorder="1"/>
    <xf numFmtId="44" fontId="2" fillId="0" borderId="40" xfId="1" applyFont="1" applyBorder="1"/>
    <xf numFmtId="14" fontId="0" fillId="0" borderId="1" xfId="0" applyNumberFormat="1" applyBorder="1"/>
    <xf numFmtId="14" fontId="13" fillId="0" borderId="0" xfId="0" applyNumberFormat="1" applyFont="1" applyAlignment="1">
      <alignment horizontal="right"/>
    </xf>
    <xf numFmtId="14" fontId="0" fillId="0" borderId="15" xfId="0" applyNumberFormat="1" applyBorder="1"/>
    <xf numFmtId="14" fontId="0" fillId="0" borderId="21" xfId="0" applyNumberFormat="1" applyBorder="1"/>
    <xf numFmtId="0" fontId="2" fillId="0" borderId="47" xfId="0" applyFont="1" applyBorder="1"/>
    <xf numFmtId="14" fontId="0" fillId="0" borderId="0" xfId="0" applyNumberFormat="1"/>
    <xf numFmtId="0" fontId="27" fillId="4" borderId="0" xfId="0" applyFont="1" applyFill="1" applyAlignment="1">
      <alignment horizontal="right"/>
    </xf>
    <xf numFmtId="0" fontId="27" fillId="4" borderId="25" xfId="0" applyFont="1" applyFill="1" applyBorder="1" applyAlignment="1">
      <alignment horizontal="right"/>
    </xf>
  </cellXfs>
  <cellStyles count="5">
    <cellStyle name="Currency" xfId="1" builtinId="4"/>
    <cellStyle name="Good" xfId="3" builtinId="26"/>
    <cellStyle name="Hyperlink" xfId="2" builtinId="8"/>
    <cellStyle name="Normal" xfId="0" builtinId="0"/>
    <cellStyle name="Percent" xfId="4" builtinId="5"/>
  </cellStyles>
  <dxfs count="1">
    <dxf>
      <font>
        <b val="0"/>
        <i val="0"/>
        <color theme="9" tint="-0.499984740745262"/>
      </font>
      <fill>
        <patternFill patternType="solid"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235487</xdr:colOff>
      <xdr:row>1</xdr:row>
      <xdr:rowOff>67310</xdr:rowOff>
    </xdr:from>
    <xdr:to>
      <xdr:col>1</xdr:col>
      <xdr:colOff>1331376</xdr:colOff>
      <xdr:row>4</xdr:row>
      <xdr:rowOff>75565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6E48EA-2C48-B22A-8067-DD8F6EBB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6337" y="251460"/>
          <a:ext cx="1095889" cy="7067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kestevens.sharepoint.com/sites/RMS-CapitalProjects/Capital/Main%20Street%20Improvements/4._Mon-ChgeCtrl/18013_Project%20Tracking.xlsx" TargetMode="External"/><Relationship Id="rId1" Type="http://schemas.openxmlformats.org/officeDocument/2006/relationships/externalLinkPath" Target="/sites/RMS-CapitalProjects/Capital/Main%20Street%20Improvements/4._Mon-ChgeCtrl/18013_Project%20Tra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Project Tracking"/>
      <sheetName val="Tickets(PE#2)"/>
      <sheetName val="Change Order Log"/>
      <sheetName val="Minor Change Log"/>
      <sheetName val="Budget Cost Curve"/>
      <sheetName val="Bid Item 10-Log"/>
      <sheetName val="Bid Item 38-Log "/>
      <sheetName val="Bid Item 53-Log"/>
    </sheetNames>
    <sheetDataSet>
      <sheetData sheetId="0"/>
      <sheetData sheetId="1">
        <row r="14">
          <cell r="E14">
            <v>2500507.678676791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../../../../../../../../../../../../../../../../../../../../../../../../../../../../../../../../../../:b:/r/teams/COLS-PublicWorks-PWAdmin/Shared%20Documents/Projects/_Active%20Projects/18013-Main%20Street%20Improvements/100%20Project%20Management/110%20Contracts/Transpo%20Group/18013_PSA%20Supplement%202_241126%20-%20signed.pdf?csf=1&amp;web=1&amp;e=Wvf7vX" TargetMode="External"/><Relationship Id="rId2" Type="http://schemas.openxmlformats.org/officeDocument/2006/relationships/hyperlink" Target="../../../../../../../../../../../../../../../../../../../../../../../../../../../../../../../../../../../../../../../../../../:b:/r/teams/COLS-PublicWorks-PWAdmin/Shared%20Documents/Projects/_Active%20Projects/18013-Main%20Street%20Improvements/100%20Project%20Management/110%20Contracts/Transpo%20Group/18013_PSA%20Supplement%201_230315_Rev1%20-%20signed.pdf?csf=1&amp;web=1&amp;e=8qAvuU" TargetMode="External"/><Relationship Id="rId1" Type="http://schemas.openxmlformats.org/officeDocument/2006/relationships/hyperlink" Target="../../../../../../../../../../../../../../../../../../../../../../../../../../../../../../../../../../../../../../../../../../:b:/r/teams/COLS-PublicWorks-PWAdmin/Shared%20Documents/Projects/_Active%20Projects/18013-Main%20Street%20Improvements/100%20Project%20Management/110%20Contracts/Transpo%20Group/18013_Transpo_PSA_221215%20-%20signed.pdf?csf=1&amp;web=1&amp;e=aV0Etk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../../../../../../../../../../../../../../../../../../../../../../../../../../../../../../../../../../../../../../../:b:/r/teams/COLS-PublicWorks-PWAdmin/Shared%20Documents/Projects/_Active%20Projects/18013-Main%20Street%20Improvements/100%20Project%20Management/110%20Contracts/SCL_Construction/18013_Public%20Works%20Contract_241122-signed.pdf?csf=1&amp;web=1&amp;e=vU5O3j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../../../../../../../../../../../../../../../../../../../../../../../../../../../../../../../../../../../../../:b:/r/teams/COLS-PublicWorks-PWAdmin/Shared%20Documents/General/Contracts/On-Call%20Engineering%20Services/2021/Contracts/Harmsen/HARMSEN-Task%20Order%202023-01_signed.pdf?csf=1&amp;web=1&amp;e=0aBx8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../../../../../../../../../../../../../../../../../../../../../../../../../../../../../../../../../../../../../../../../../../:b:/r/teams/COLS-PublicWorks-PWAdmin/Shared%20Documents/Projects/_Active%20Projects/18013-Main%20Street%20Improvements/100%20Project%20Management/110%20Contracts/KBA/4.%20LP_AEPS-NegotiatedHourlyRate_Draft_250109.pdf?csf=1&amp;web=1&amp;e=rNafRA" TargetMode="External"/><Relationship Id="rId1" Type="http://schemas.openxmlformats.org/officeDocument/2006/relationships/hyperlink" Target="../../../../../../../../../../../../../../../../../../../../../../../../../../../../../../../../../../../../../../../../../../:b:/r/teams/COLS-PublicWorks-PWAdmin/Shared%20Documents/Projects/_Active%20Projects/18013-Main%20Street%20Improvements/100%20Project%20Management/110%20Contracts/KBA/1a.%20Main%20Street%20Improvements%20-%20KBA%20Estimated%20Budget%20Rev.%203.pdf?csf=1&amp;web=1&amp;e=gQHQ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B12A-069A-4558-A49A-5DF95BA16112}">
  <dimension ref="A1:O48"/>
  <sheetViews>
    <sheetView tabSelected="1" zoomScaleNormal="100" workbookViewId="0">
      <selection activeCell="C19" sqref="C19"/>
    </sheetView>
  </sheetViews>
  <sheetFormatPr defaultRowHeight="14.4" x14ac:dyDescent="0.3"/>
  <cols>
    <col min="1" max="1" width="6.5546875" customWidth="1"/>
    <col min="2" max="2" width="31.88671875" customWidth="1"/>
    <col min="3" max="3" width="23.44140625" customWidth="1"/>
    <col min="4" max="4" width="20.5546875" customWidth="1"/>
    <col min="5" max="5" width="22.44140625" bestFit="1" customWidth="1"/>
    <col min="6" max="6" width="17.88671875" customWidth="1"/>
    <col min="7" max="7" width="5.44140625" customWidth="1"/>
    <col min="9" max="9" width="23.5546875" customWidth="1"/>
    <col min="10" max="10" width="15" bestFit="1" customWidth="1"/>
    <col min="11" max="11" width="16.44140625" bestFit="1" customWidth="1"/>
    <col min="12" max="12" width="13.33203125" bestFit="1" customWidth="1"/>
    <col min="13" max="13" width="15.6640625" bestFit="1" customWidth="1"/>
  </cols>
  <sheetData>
    <row r="1" spans="1:15" x14ac:dyDescent="0.3">
      <c r="B1" s="5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5" ht="14.4" customHeight="1" x14ac:dyDescent="0.3">
      <c r="A2" s="59"/>
      <c r="B2" s="76"/>
      <c r="C2" s="77"/>
      <c r="D2" s="77"/>
      <c r="E2" s="77"/>
      <c r="F2" s="78"/>
      <c r="G2" s="44"/>
      <c r="H2" s="44"/>
      <c r="I2" s="44"/>
      <c r="J2" s="44"/>
      <c r="K2" s="44"/>
      <c r="L2" s="44"/>
      <c r="M2" s="44"/>
    </row>
    <row r="3" spans="1:15" ht="14.4" customHeight="1" x14ac:dyDescent="0.3">
      <c r="A3" s="59"/>
      <c r="B3" s="79"/>
      <c r="C3" s="80"/>
      <c r="D3" s="130" t="s">
        <v>62</v>
      </c>
      <c r="E3" s="130"/>
      <c r="F3" s="131"/>
      <c r="G3" s="44"/>
      <c r="H3" s="44"/>
      <c r="I3" s="44"/>
      <c r="J3" s="44"/>
      <c r="K3" s="44"/>
      <c r="L3" s="44"/>
      <c r="M3" s="44"/>
    </row>
    <row r="4" spans="1:15" ht="25.95" customHeight="1" x14ac:dyDescent="0.3">
      <c r="A4" s="59"/>
      <c r="B4" s="79"/>
      <c r="C4" s="80"/>
      <c r="D4" s="130"/>
      <c r="E4" s="130"/>
      <c r="F4" s="131"/>
      <c r="G4" s="44"/>
      <c r="H4" s="44"/>
      <c r="I4" s="44"/>
      <c r="J4" s="44"/>
      <c r="K4" s="44"/>
      <c r="L4" s="44"/>
      <c r="M4" s="44"/>
    </row>
    <row r="5" spans="1:15" ht="14.4" customHeight="1" x14ac:dyDescent="0.3">
      <c r="A5" s="59"/>
      <c r="B5" s="81"/>
      <c r="C5" s="82"/>
      <c r="D5" s="82"/>
      <c r="E5" s="82"/>
      <c r="F5" s="83"/>
      <c r="G5" s="44"/>
      <c r="H5" s="44"/>
      <c r="I5" s="44"/>
      <c r="J5" s="44"/>
      <c r="K5" s="44"/>
      <c r="L5" s="44"/>
      <c r="M5" s="44"/>
    </row>
    <row r="6" spans="1:15" ht="21" customHeight="1" thickBot="1" x14ac:dyDescent="0.35">
      <c r="B6" s="62"/>
      <c r="C6" s="62"/>
      <c r="D6" s="62"/>
      <c r="E6" s="62"/>
      <c r="F6" s="62"/>
      <c r="G6" s="44"/>
      <c r="H6" s="44"/>
      <c r="I6" s="44"/>
      <c r="J6" s="44"/>
      <c r="K6" s="44"/>
      <c r="L6" s="44"/>
      <c r="M6" s="44"/>
      <c r="N6" s="1"/>
      <c r="O6" s="1"/>
    </row>
    <row r="7" spans="1:15" ht="35.4" customHeight="1" thickTop="1" thickBot="1" x14ac:dyDescent="0.4">
      <c r="B7" s="89" t="s">
        <v>44</v>
      </c>
      <c r="C7" s="91" t="s">
        <v>1</v>
      </c>
      <c r="D7" s="64"/>
      <c r="E7" s="65"/>
      <c r="F7" s="64"/>
      <c r="G7" s="45"/>
      <c r="H7" s="44"/>
      <c r="I7" s="44"/>
      <c r="J7" s="44"/>
      <c r="K7" s="44"/>
      <c r="L7" s="44"/>
      <c r="M7" s="44"/>
      <c r="N7" s="1"/>
      <c r="O7" s="1"/>
    </row>
    <row r="8" spans="1:15" ht="24" customHeight="1" thickTop="1" thickBot="1" x14ac:dyDescent="0.35">
      <c r="B8" s="90" t="s">
        <v>49</v>
      </c>
      <c r="C8" s="92" t="s">
        <v>0</v>
      </c>
      <c r="D8" s="90" t="s">
        <v>49</v>
      </c>
      <c r="E8" s="92">
        <v>18013</v>
      </c>
      <c r="F8" s="63"/>
      <c r="G8" s="44"/>
      <c r="H8" s="44"/>
      <c r="I8" s="44"/>
      <c r="J8" s="44"/>
      <c r="K8" s="44"/>
      <c r="L8" s="44"/>
      <c r="M8" s="44"/>
      <c r="N8" s="1"/>
      <c r="O8" s="1"/>
    </row>
    <row r="9" spans="1:15" ht="16.2" customHeight="1" thickTop="1" x14ac:dyDescent="0.3">
      <c r="B9" s="60"/>
      <c r="C9" s="55"/>
      <c r="D9" s="44"/>
      <c r="E9" s="56"/>
      <c r="F9" s="44"/>
      <c r="G9" s="44"/>
      <c r="H9" s="44"/>
      <c r="I9" s="44"/>
      <c r="J9" s="44"/>
      <c r="K9" s="44"/>
      <c r="L9" s="44"/>
      <c r="M9" s="44"/>
      <c r="N9" s="1"/>
      <c r="O9" s="1"/>
    </row>
    <row r="10" spans="1:15" ht="15.6" x14ac:dyDescent="0.3">
      <c r="B10" s="44"/>
      <c r="C10" s="44"/>
      <c r="E10" s="46" t="s">
        <v>2</v>
      </c>
      <c r="F10" s="75">
        <f>SUM(D17,D19)</f>
        <v>3820000</v>
      </c>
      <c r="G10" s="44"/>
      <c r="H10" s="44"/>
      <c r="I10" s="44"/>
      <c r="J10" s="47"/>
      <c r="K10" s="66"/>
      <c r="L10" s="67"/>
      <c r="M10" s="47"/>
      <c r="N10" s="1"/>
      <c r="O10" s="1"/>
    </row>
    <row r="11" spans="1:15" x14ac:dyDescent="0.3">
      <c r="B11" s="44"/>
      <c r="C11" s="44"/>
      <c r="E11" s="46" t="s">
        <v>6</v>
      </c>
      <c r="F11" s="48">
        <f>SUM(Design!G4,ROW!F19,'CM Services'!G4)+F40</f>
        <v>3065164.5086767911</v>
      </c>
      <c r="G11" s="44"/>
      <c r="H11" s="44"/>
      <c r="I11" s="44"/>
      <c r="J11" s="67"/>
      <c r="K11" s="67"/>
      <c r="L11" s="67"/>
      <c r="M11" s="49"/>
      <c r="N11" s="1"/>
      <c r="O11" s="1"/>
    </row>
    <row r="12" spans="1:15" x14ac:dyDescent="0.3">
      <c r="B12" s="44"/>
      <c r="C12" s="44"/>
      <c r="E12" s="46" t="s">
        <v>7</v>
      </c>
      <c r="F12" s="100">
        <f>F10-F11</f>
        <v>754835.4913232089</v>
      </c>
      <c r="G12" s="44"/>
      <c r="H12" s="44"/>
      <c r="I12" s="44"/>
      <c r="J12" s="54"/>
      <c r="K12" s="54"/>
      <c r="L12" s="54"/>
      <c r="M12" s="44"/>
      <c r="N12" s="1"/>
      <c r="O12" s="1"/>
    </row>
    <row r="13" spans="1:15" x14ac:dyDescent="0.3">
      <c r="B13" s="44"/>
      <c r="C13" s="44"/>
      <c r="D13" s="44"/>
      <c r="G13" s="44"/>
      <c r="H13" s="44"/>
      <c r="I13" s="44"/>
      <c r="J13" s="54"/>
      <c r="K13" s="54"/>
      <c r="L13" s="54"/>
      <c r="M13" s="44"/>
      <c r="N13" s="1"/>
      <c r="O13" s="1"/>
    </row>
    <row r="14" spans="1:15" ht="16.2" thickBot="1" x14ac:dyDescent="0.35">
      <c r="B14" s="88" t="s">
        <v>45</v>
      </c>
      <c r="C14" s="84"/>
      <c r="D14" s="84"/>
      <c r="E14" s="84"/>
      <c r="F14" s="84"/>
      <c r="G14" s="44"/>
      <c r="H14" s="44"/>
      <c r="I14" s="44"/>
      <c r="J14" s="54"/>
      <c r="K14" s="54"/>
      <c r="L14" s="54"/>
      <c r="M14" s="44"/>
      <c r="N14" s="1"/>
      <c r="O14" s="1"/>
    </row>
    <row r="15" spans="1:15" ht="15" thickTop="1" x14ac:dyDescent="0.3">
      <c r="B15" s="93" t="s">
        <v>53</v>
      </c>
      <c r="C15" s="93" t="s">
        <v>57</v>
      </c>
      <c r="D15" s="93" t="s">
        <v>54</v>
      </c>
      <c r="E15" s="93" t="s">
        <v>55</v>
      </c>
      <c r="F15" s="93" t="s">
        <v>39</v>
      </c>
      <c r="G15" s="44"/>
      <c r="H15" s="44"/>
      <c r="I15" s="44"/>
      <c r="J15" s="44"/>
      <c r="K15" s="44"/>
      <c r="L15" s="44"/>
      <c r="M15" s="44"/>
      <c r="N15" s="1"/>
      <c r="O15" s="1"/>
    </row>
    <row r="16" spans="1:15" x14ac:dyDescent="0.3">
      <c r="B16" s="44" t="s">
        <v>50</v>
      </c>
      <c r="C16" s="68" t="s">
        <v>3</v>
      </c>
      <c r="D16" s="54">
        <f>SUM(D17,D19)*0.865</f>
        <v>3304300</v>
      </c>
      <c r="E16" s="44"/>
      <c r="F16" s="48">
        <f>SUM(D16-E16)</f>
        <v>3304300</v>
      </c>
      <c r="G16" s="44"/>
      <c r="H16" s="44"/>
      <c r="I16" s="44"/>
      <c r="J16" s="44"/>
      <c r="K16" s="44"/>
      <c r="L16" s="44"/>
      <c r="M16" s="44"/>
      <c r="N16" s="1"/>
      <c r="O16" s="1"/>
    </row>
    <row r="17" spans="2:15" x14ac:dyDescent="0.3">
      <c r="B17" s="44" t="s">
        <v>51</v>
      </c>
      <c r="C17" s="69" t="s">
        <v>4</v>
      </c>
      <c r="D17" s="54">
        <v>335000</v>
      </c>
      <c r="E17" s="44"/>
      <c r="F17" s="48">
        <f t="shared" ref="F17:F19" si="0">SUM(D17-E17)</f>
        <v>335000</v>
      </c>
      <c r="G17" s="44"/>
      <c r="H17" s="44"/>
      <c r="I17" s="44"/>
      <c r="J17" s="44"/>
      <c r="K17" s="44"/>
      <c r="L17" s="44"/>
      <c r="M17" s="44"/>
      <c r="N17" s="1"/>
      <c r="O17" s="1"/>
    </row>
    <row r="18" spans="2:15" x14ac:dyDescent="0.3">
      <c r="B18" s="44" t="s">
        <v>56</v>
      </c>
      <c r="C18" s="70"/>
      <c r="D18" s="54"/>
      <c r="E18" s="44"/>
      <c r="F18" s="48">
        <f t="shared" si="0"/>
        <v>0</v>
      </c>
      <c r="G18" s="44"/>
      <c r="H18" s="44"/>
      <c r="I18" s="44"/>
      <c r="J18" s="44"/>
      <c r="K18" s="44"/>
      <c r="L18" s="44"/>
      <c r="M18" s="44"/>
      <c r="N18" s="1"/>
      <c r="O18" s="1"/>
    </row>
    <row r="19" spans="2:15" x14ac:dyDescent="0.3">
      <c r="B19" s="44" t="s">
        <v>52</v>
      </c>
      <c r="C19" s="68" t="s">
        <v>5</v>
      </c>
      <c r="D19" s="54">
        <v>3485000</v>
      </c>
      <c r="E19" s="44"/>
      <c r="F19" s="48">
        <f t="shared" si="0"/>
        <v>3485000</v>
      </c>
      <c r="G19" s="44"/>
      <c r="H19" s="44"/>
      <c r="I19" s="44"/>
      <c r="J19" s="44"/>
      <c r="K19" s="44"/>
      <c r="L19" s="44"/>
      <c r="M19" s="44"/>
      <c r="N19" s="1"/>
      <c r="O19" s="1"/>
    </row>
    <row r="20" spans="2:15" x14ac:dyDescent="0.3"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1"/>
      <c r="O20" s="1"/>
    </row>
    <row r="21" spans="2:15" x14ac:dyDescent="0.3">
      <c r="B21" s="44"/>
      <c r="C21" s="44"/>
      <c r="D21" s="44"/>
      <c r="G21" s="44"/>
      <c r="H21" s="44"/>
      <c r="I21" s="44"/>
      <c r="J21" s="44"/>
      <c r="K21" s="44"/>
      <c r="L21" s="44"/>
      <c r="M21" s="44"/>
      <c r="N21" s="1"/>
      <c r="O21" s="1"/>
    </row>
    <row r="22" spans="2:15" ht="16.2" thickBot="1" x14ac:dyDescent="0.35">
      <c r="B22" s="88" t="s">
        <v>46</v>
      </c>
      <c r="C22" s="85" t="s">
        <v>64</v>
      </c>
      <c r="D22" s="86">
        <v>46022</v>
      </c>
      <c r="E22" s="96" t="s">
        <v>9</v>
      </c>
      <c r="F22" s="98">
        <f>Design!G5</f>
        <v>156224.44</v>
      </c>
      <c r="G22" s="44"/>
      <c r="H22" s="44"/>
      <c r="I22" s="44"/>
      <c r="J22" s="44"/>
      <c r="K22" s="44"/>
      <c r="L22" s="44"/>
      <c r="M22" s="44"/>
      <c r="N22" s="1"/>
      <c r="O22" s="1"/>
    </row>
    <row r="23" spans="2:15" ht="15" thickTop="1" x14ac:dyDescent="0.3">
      <c r="B23" s="101" t="s">
        <v>61</v>
      </c>
      <c r="C23" s="73" t="s">
        <v>15</v>
      </c>
      <c r="D23" s="44"/>
      <c r="E23" s="57" t="s">
        <v>8</v>
      </c>
      <c r="F23" s="58">
        <f>SUM(F26:F28)</f>
        <v>418177</v>
      </c>
      <c r="G23" s="44"/>
      <c r="H23" s="44"/>
      <c r="I23" s="44"/>
      <c r="J23" s="44"/>
      <c r="K23" s="44"/>
      <c r="L23" s="44"/>
      <c r="M23" s="44"/>
      <c r="N23" s="1"/>
      <c r="O23" s="1"/>
    </row>
    <row r="24" spans="2:15" x14ac:dyDescent="0.3">
      <c r="B24" s="102" t="s">
        <v>60</v>
      </c>
      <c r="C24" s="73" t="s">
        <v>10</v>
      </c>
      <c r="G24" s="44"/>
      <c r="H24" s="44"/>
      <c r="I24" s="44"/>
      <c r="J24" s="44"/>
      <c r="K24" s="44"/>
      <c r="L24" s="44"/>
      <c r="M24" s="44"/>
      <c r="N24" s="1"/>
      <c r="O24" s="1"/>
    </row>
    <row r="25" spans="2:15" x14ac:dyDescent="0.3">
      <c r="B25" s="101" t="s">
        <v>59</v>
      </c>
      <c r="C25" s="61">
        <v>44908</v>
      </c>
      <c r="G25" s="44"/>
      <c r="H25" s="44"/>
      <c r="I25" s="44"/>
      <c r="J25" s="44"/>
      <c r="K25" s="44"/>
      <c r="L25" s="44"/>
      <c r="M25" s="44"/>
      <c r="N25" s="1"/>
      <c r="O25" s="1"/>
    </row>
    <row r="26" spans="2:15" x14ac:dyDescent="0.3">
      <c r="B26" s="102" t="s">
        <v>58</v>
      </c>
      <c r="C26" s="72">
        <v>44910</v>
      </c>
      <c r="D26" s="3" t="s">
        <v>65</v>
      </c>
      <c r="E26" s="46" t="s">
        <v>12</v>
      </c>
      <c r="F26" s="50">
        <v>350000</v>
      </c>
      <c r="G26" s="44"/>
      <c r="H26" s="44"/>
      <c r="I26" s="44"/>
      <c r="J26" s="44"/>
      <c r="K26" s="44"/>
      <c r="L26" s="44"/>
      <c r="M26" s="44"/>
      <c r="N26" s="1"/>
      <c r="O26" s="1"/>
    </row>
    <row r="27" spans="2:15" x14ac:dyDescent="0.3">
      <c r="B27" s="101" t="s">
        <v>13</v>
      </c>
      <c r="C27" s="71">
        <v>45001</v>
      </c>
      <c r="D27" s="3" t="s">
        <v>66</v>
      </c>
      <c r="E27" s="46" t="s">
        <v>12</v>
      </c>
      <c r="F27" s="50">
        <v>68177</v>
      </c>
      <c r="G27" s="44"/>
      <c r="H27" s="44"/>
      <c r="I27" s="44"/>
      <c r="J27" s="44"/>
      <c r="K27" s="44"/>
      <c r="L27" s="44"/>
      <c r="M27" s="44"/>
      <c r="N27" s="1"/>
      <c r="O27" s="1"/>
    </row>
    <row r="28" spans="2:15" x14ac:dyDescent="0.3">
      <c r="B28" s="103" t="s">
        <v>63</v>
      </c>
      <c r="C28" s="71">
        <v>45622</v>
      </c>
      <c r="D28" s="3" t="s">
        <v>67</v>
      </c>
      <c r="E28" s="44"/>
      <c r="F28" s="44"/>
      <c r="G28" s="44"/>
      <c r="H28" s="44"/>
      <c r="I28" s="44"/>
      <c r="J28" s="44"/>
      <c r="K28" s="44"/>
      <c r="L28" s="44"/>
      <c r="M28" s="44"/>
      <c r="N28" s="1"/>
      <c r="O28" s="1"/>
    </row>
    <row r="30" spans="2:15" x14ac:dyDescent="0.3">
      <c r="B30" s="74"/>
      <c r="C30" s="71"/>
      <c r="D30" s="51"/>
      <c r="E30" s="44"/>
      <c r="F30" s="44"/>
      <c r="G30" s="44"/>
      <c r="H30" s="44"/>
      <c r="I30" s="44"/>
      <c r="J30" s="44"/>
      <c r="K30" s="44"/>
      <c r="L30" s="44"/>
      <c r="M30" s="44"/>
      <c r="N30" s="1"/>
      <c r="O30" s="1"/>
    </row>
    <row r="31" spans="2:15" ht="16.2" thickBot="1" x14ac:dyDescent="0.35">
      <c r="B31" s="88" t="s">
        <v>47</v>
      </c>
      <c r="C31" s="87"/>
      <c r="D31" s="118" t="s">
        <v>94</v>
      </c>
      <c r="E31" s="97" t="s">
        <v>68</v>
      </c>
      <c r="F31" s="99">
        <f>SUM(F32:F36)</f>
        <v>76485</v>
      </c>
      <c r="G31" s="44"/>
      <c r="H31" s="44"/>
      <c r="I31" s="44"/>
      <c r="J31" s="44"/>
      <c r="K31" s="44"/>
      <c r="L31" s="44"/>
      <c r="M31" s="44"/>
      <c r="N31" s="1"/>
      <c r="O31" s="1"/>
    </row>
    <row r="32" spans="2:15" ht="15" thickTop="1" x14ac:dyDescent="0.3">
      <c r="B32" s="101" t="s">
        <v>79</v>
      </c>
      <c r="C32" s="44" t="s">
        <v>77</v>
      </c>
      <c r="D32" s="49" t="s">
        <v>93</v>
      </c>
      <c r="E32" s="44"/>
      <c r="F32" s="50">
        <v>3045</v>
      </c>
      <c r="G32" s="44"/>
      <c r="H32" s="44"/>
      <c r="I32" s="44"/>
      <c r="J32" s="44"/>
      <c r="K32" s="44"/>
      <c r="L32" s="44"/>
      <c r="M32" s="44"/>
      <c r="N32" s="1"/>
      <c r="O32" s="1"/>
    </row>
    <row r="33" spans="2:15" x14ac:dyDescent="0.3">
      <c r="B33" s="101" t="s">
        <v>80</v>
      </c>
      <c r="C33" s="44" t="s">
        <v>77</v>
      </c>
      <c r="D33" s="49" t="s">
        <v>93</v>
      </c>
      <c r="E33" s="44"/>
      <c r="F33" s="50">
        <v>3440</v>
      </c>
      <c r="G33" s="44"/>
      <c r="H33" s="44"/>
      <c r="I33" s="44"/>
      <c r="J33" s="44"/>
      <c r="K33" s="44"/>
      <c r="L33" s="44"/>
      <c r="M33" s="44"/>
      <c r="N33" s="1"/>
      <c r="O33" s="1"/>
    </row>
    <row r="34" spans="2:15" x14ac:dyDescent="0.3">
      <c r="B34" s="101" t="s">
        <v>31</v>
      </c>
      <c r="C34" s="44" t="s">
        <v>75</v>
      </c>
      <c r="D34" s="49" t="s">
        <v>93</v>
      </c>
      <c r="E34" s="44"/>
      <c r="F34" s="50">
        <v>17700</v>
      </c>
      <c r="G34" s="44"/>
      <c r="H34" s="44"/>
      <c r="I34" s="44"/>
      <c r="J34" s="44"/>
      <c r="K34" s="44"/>
      <c r="L34" s="44"/>
      <c r="M34" s="44"/>
      <c r="N34" s="1"/>
      <c r="O34" s="1"/>
    </row>
    <row r="35" spans="2:15" x14ac:dyDescent="0.3">
      <c r="B35" s="104" t="s">
        <v>76</v>
      </c>
      <c r="C35" s="52" t="s">
        <v>75</v>
      </c>
      <c r="D35" s="49" t="s">
        <v>93</v>
      </c>
      <c r="E35" s="44"/>
      <c r="F35" s="50">
        <v>15100</v>
      </c>
      <c r="G35" s="44"/>
      <c r="H35" s="44"/>
      <c r="I35" s="44"/>
      <c r="J35" s="44"/>
      <c r="K35" s="44"/>
      <c r="L35" s="44"/>
      <c r="M35" s="44"/>
      <c r="N35" s="1"/>
      <c r="O35" s="1"/>
    </row>
    <row r="36" spans="2:15" x14ac:dyDescent="0.3">
      <c r="B36" s="101" t="s">
        <v>78</v>
      </c>
      <c r="C36" s="44" t="s">
        <v>75</v>
      </c>
      <c r="D36" s="49" t="s">
        <v>93</v>
      </c>
      <c r="E36" s="44"/>
      <c r="F36" s="50">
        <v>37200</v>
      </c>
      <c r="G36" s="44"/>
      <c r="H36" s="44"/>
      <c r="I36" s="44"/>
      <c r="J36" s="44"/>
      <c r="K36" s="44"/>
      <c r="L36" s="44"/>
      <c r="M36" s="44"/>
      <c r="N36" s="1"/>
      <c r="O36" s="1"/>
    </row>
    <row r="37" spans="2:15" x14ac:dyDescent="0.3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1"/>
      <c r="O37" s="1"/>
    </row>
    <row r="38" spans="2:15" ht="16.2" thickBot="1" x14ac:dyDescent="0.35">
      <c r="B38" s="88" t="s">
        <v>48</v>
      </c>
      <c r="C38" s="87"/>
      <c r="D38" s="84"/>
      <c r="E38" s="96" t="s">
        <v>9</v>
      </c>
      <c r="F38" s="84"/>
      <c r="G38" s="44"/>
      <c r="H38" s="44"/>
      <c r="I38" s="44"/>
      <c r="J38" s="44"/>
      <c r="K38" s="44"/>
      <c r="L38" s="44"/>
      <c r="M38" s="44"/>
      <c r="N38" s="1"/>
      <c r="O38" s="1"/>
    </row>
    <row r="39" spans="2:15" ht="15" thickTop="1" x14ac:dyDescent="0.3">
      <c r="B39" s="101" t="s">
        <v>42</v>
      </c>
      <c r="C39" s="119">
        <v>45548</v>
      </c>
      <c r="D39" s="44"/>
      <c r="E39" s="44" t="s">
        <v>74</v>
      </c>
      <c r="F39" s="50">
        <v>3076521.71</v>
      </c>
      <c r="G39" s="44"/>
      <c r="H39" s="44"/>
      <c r="I39" s="44"/>
      <c r="J39" s="44"/>
      <c r="K39" s="44"/>
      <c r="L39" s="44"/>
      <c r="M39" s="44"/>
      <c r="N39" s="1"/>
      <c r="O39" s="1"/>
    </row>
    <row r="40" spans="2:15" x14ac:dyDescent="0.3">
      <c r="B40" s="101" t="s">
        <v>71</v>
      </c>
      <c r="C40" s="119">
        <v>45580</v>
      </c>
      <c r="D40" s="44"/>
      <c r="E40" s="44" t="s">
        <v>81</v>
      </c>
      <c r="F40" s="50">
        <f>'[1]Project Tracking'!$E$14</f>
        <v>2500507.678676791</v>
      </c>
      <c r="G40" s="44"/>
      <c r="H40" s="44"/>
      <c r="I40" s="44"/>
      <c r="J40" s="44"/>
      <c r="K40" s="44"/>
      <c r="L40" s="44"/>
      <c r="M40" s="44"/>
      <c r="N40" s="1"/>
      <c r="O40" s="1"/>
    </row>
    <row r="41" spans="2:15" x14ac:dyDescent="0.3">
      <c r="B41" s="101" t="s">
        <v>59</v>
      </c>
      <c r="C41" s="119">
        <v>45622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1"/>
      <c r="O41" s="1"/>
    </row>
    <row r="42" spans="2:15" x14ac:dyDescent="0.3">
      <c r="B42" s="101" t="s">
        <v>72</v>
      </c>
      <c r="C42" s="119">
        <v>45636</v>
      </c>
      <c r="D42" s="3" t="s">
        <v>73</v>
      </c>
      <c r="E42" s="44"/>
      <c r="F42" s="44"/>
      <c r="G42" s="44"/>
      <c r="H42" s="44"/>
      <c r="I42" s="44"/>
      <c r="J42" s="44"/>
      <c r="K42" s="44"/>
      <c r="L42" s="44"/>
      <c r="M42" s="44"/>
      <c r="N42" s="1"/>
      <c r="O42" s="1"/>
    </row>
    <row r="43" spans="2:15" x14ac:dyDescent="0.3">
      <c r="B43" s="101" t="s">
        <v>70</v>
      </c>
      <c r="C43" s="119">
        <v>45664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1"/>
      <c r="O43" s="1"/>
    </row>
    <row r="44" spans="2:15" x14ac:dyDescent="0.3">
      <c r="B44" s="101" t="s">
        <v>43</v>
      </c>
      <c r="C44" s="119">
        <v>45682</v>
      </c>
      <c r="D44" s="52">
        <v>45716</v>
      </c>
      <c r="E44" s="44"/>
      <c r="F44" s="44"/>
      <c r="G44" s="44"/>
      <c r="H44" s="44"/>
      <c r="I44" s="44"/>
      <c r="J44" s="44"/>
      <c r="K44" s="44"/>
      <c r="L44" s="44"/>
      <c r="M44" s="44"/>
      <c r="N44" s="1"/>
      <c r="O44" s="1"/>
    </row>
    <row r="45" spans="2:15" x14ac:dyDescent="0.3">
      <c r="B45" s="101" t="s">
        <v>69</v>
      </c>
      <c r="C45" s="49">
        <v>95</v>
      </c>
      <c r="D45" s="125" t="s">
        <v>95</v>
      </c>
      <c r="E45" s="44"/>
      <c r="F45" s="44"/>
      <c r="G45" s="44"/>
      <c r="H45" s="44"/>
      <c r="I45" s="44"/>
      <c r="J45" s="44"/>
      <c r="K45" s="44"/>
      <c r="L45" s="44"/>
      <c r="M45" s="44"/>
      <c r="N45" s="1"/>
      <c r="O45" s="1"/>
    </row>
    <row r="46" spans="2:15" x14ac:dyDescent="0.3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spans="2:15" x14ac:dyDescent="0.3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2:15" x14ac:dyDescent="0.3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</sheetData>
  <mergeCells count="1">
    <mergeCell ref="D3:F4"/>
  </mergeCells>
  <conditionalFormatting sqref="F12">
    <cfRule type="cellIs" dxfId="0" priority="1" operator="greaterThan">
      <formula>0</formula>
    </cfRule>
  </conditionalFormatting>
  <hyperlinks>
    <hyperlink ref="D26" r:id="rId1" xr:uid="{E35F717A-340F-424A-A585-9D0FDFFA9B5D}"/>
    <hyperlink ref="D27" r:id="rId2" xr:uid="{39D514E9-B180-41A3-BD5C-8B540D858D09}"/>
    <hyperlink ref="D28" r:id="rId3" display="../../../../../../../../:b:/r/teams/COLS-PublicWorks-PWAdmin/Shared Documents/Projects/_Active Projects/18013-Main Street Improvements/100 Project Management/110 Contracts/Transpo Group/18013_PSA Supplement 2_241126 - signed.pdf?csf=1&amp;web=1&amp;e=Wvf7vX" xr:uid="{299CE90D-79EE-4AB1-A10F-0040C8AD0A8D}"/>
    <hyperlink ref="D42" r:id="rId4" display="../../../../../../../../:b:/r/teams/COLS-PublicWorks-PWAdmin/Shared Documents/Projects/_Active Projects/18013-Main Street Improvements/100 Project Management/110 Contracts/SCL_Construction/18013_Public Works Contract_241122-signed.pdf?csf=1&amp;web=1&amp;e=vU5O3j" xr:uid="{42137115-AE2B-497F-8CF1-94A6160D4322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629F-F227-4680-8D4E-E53AEB9F60BA}">
  <dimension ref="A2:M40"/>
  <sheetViews>
    <sheetView topLeftCell="A21" workbookViewId="0">
      <selection activeCell="D36" sqref="D36"/>
    </sheetView>
  </sheetViews>
  <sheetFormatPr defaultRowHeight="14.4" x14ac:dyDescent="0.3"/>
  <cols>
    <col min="2" max="2" width="16.33203125" customWidth="1"/>
    <col min="3" max="3" width="13.33203125" customWidth="1"/>
    <col min="4" max="4" width="13.6640625" customWidth="1"/>
    <col min="5" max="5" width="12.44140625" bestFit="1" customWidth="1"/>
    <col min="6" max="6" width="17.33203125" bestFit="1" customWidth="1"/>
    <col min="7" max="7" width="12.5546875" customWidth="1"/>
  </cols>
  <sheetData>
    <row r="2" spans="1:8" ht="15.6" x14ac:dyDescent="0.3">
      <c r="B2" s="2" t="s">
        <v>14</v>
      </c>
      <c r="C2" s="1"/>
      <c r="D2" s="1"/>
    </row>
    <row r="3" spans="1:8" x14ac:dyDescent="0.3">
      <c r="B3" s="1" t="s">
        <v>15</v>
      </c>
      <c r="C3" s="1"/>
      <c r="D3" s="1"/>
      <c r="F3" s="1" t="s">
        <v>16</v>
      </c>
      <c r="G3" s="4">
        <v>418677</v>
      </c>
    </row>
    <row r="4" spans="1:8" x14ac:dyDescent="0.3">
      <c r="B4" s="1" t="s">
        <v>10</v>
      </c>
      <c r="C4" s="1"/>
      <c r="F4" t="s">
        <v>17</v>
      </c>
      <c r="G4" s="5">
        <f>D40</f>
        <v>262452.56</v>
      </c>
      <c r="H4" s="12">
        <f>G4/G3</f>
        <v>0.62686166185388736</v>
      </c>
    </row>
    <row r="5" spans="1:8" x14ac:dyDescent="0.3">
      <c r="B5" s="1"/>
      <c r="C5" s="3"/>
      <c r="D5" s="1"/>
      <c r="F5" t="s">
        <v>9</v>
      </c>
      <c r="G5" s="6">
        <f>G3-G4</f>
        <v>156224.44</v>
      </c>
      <c r="H5" s="12">
        <f>G5/G3</f>
        <v>0.37313833814611264</v>
      </c>
    </row>
    <row r="6" spans="1:8" x14ac:dyDescent="0.3">
      <c r="B6" s="1"/>
      <c r="C6" s="3"/>
    </row>
    <row r="7" spans="1:8" x14ac:dyDescent="0.3">
      <c r="B7" s="1"/>
    </row>
    <row r="8" spans="1:8" x14ac:dyDescent="0.3">
      <c r="B8" s="1"/>
    </row>
    <row r="9" spans="1:8" x14ac:dyDescent="0.3">
      <c r="B9" s="1"/>
    </row>
    <row r="10" spans="1:8" ht="15" thickBot="1" x14ac:dyDescent="0.35"/>
    <row r="11" spans="1:8" ht="15" thickBot="1" x14ac:dyDescent="0.35">
      <c r="B11" s="27" t="s">
        <v>18</v>
      </c>
    </row>
    <row r="12" spans="1:8" ht="15" thickBot="1" x14ac:dyDescent="0.35">
      <c r="B12" s="13" t="s">
        <v>19</v>
      </c>
      <c r="C12" s="14" t="s">
        <v>20</v>
      </c>
      <c r="D12" s="15" t="s">
        <v>21</v>
      </c>
    </row>
    <row r="13" spans="1:8" x14ac:dyDescent="0.3">
      <c r="A13" s="9">
        <v>2023</v>
      </c>
      <c r="B13" s="18">
        <v>30110</v>
      </c>
      <c r="C13" s="19">
        <v>45022</v>
      </c>
      <c r="D13" s="20">
        <v>33084.6</v>
      </c>
    </row>
    <row r="14" spans="1:8" x14ac:dyDescent="0.3">
      <c r="B14" s="21">
        <v>30267</v>
      </c>
      <c r="C14" s="7">
        <v>45049</v>
      </c>
      <c r="D14" s="22">
        <v>9245.14</v>
      </c>
    </row>
    <row r="15" spans="1:8" x14ac:dyDescent="0.3">
      <c r="B15" s="21">
        <v>30442</v>
      </c>
      <c r="C15" s="7">
        <v>45084</v>
      </c>
      <c r="D15" s="22">
        <v>1404.52</v>
      </c>
    </row>
    <row r="16" spans="1:8" x14ac:dyDescent="0.3">
      <c r="B16" s="21">
        <v>30648</v>
      </c>
      <c r="C16" s="7">
        <v>45112</v>
      </c>
      <c r="D16" s="22">
        <v>8045.44</v>
      </c>
    </row>
    <row r="17" spans="1:13" x14ac:dyDescent="0.3">
      <c r="B17" s="21">
        <v>30820</v>
      </c>
      <c r="C17" s="7">
        <v>45140</v>
      </c>
      <c r="D17" s="22">
        <v>2183.92</v>
      </c>
    </row>
    <row r="18" spans="1:13" x14ac:dyDescent="0.3">
      <c r="B18" s="21">
        <v>30992</v>
      </c>
      <c r="C18" s="7">
        <v>45175</v>
      </c>
      <c r="D18" s="22">
        <v>7333.76</v>
      </c>
    </row>
    <row r="19" spans="1:13" ht="15" thickBot="1" x14ac:dyDescent="0.35">
      <c r="B19" s="21">
        <v>31210</v>
      </c>
      <c r="C19" s="7">
        <v>45203</v>
      </c>
      <c r="D19" s="22">
        <v>18949.79</v>
      </c>
      <c r="M19">
        <f>250*24</f>
        <v>6000</v>
      </c>
    </row>
    <row r="20" spans="1:13" x14ac:dyDescent="0.3">
      <c r="B20" s="21">
        <v>31368</v>
      </c>
      <c r="C20" s="7">
        <v>45231</v>
      </c>
      <c r="D20" s="22">
        <v>16079.97</v>
      </c>
      <c r="E20" s="16" t="s">
        <v>22</v>
      </c>
    </row>
    <row r="21" spans="1:13" ht="15" thickBot="1" x14ac:dyDescent="0.35">
      <c r="B21" s="23">
        <v>31624</v>
      </c>
      <c r="C21" s="24">
        <v>45268</v>
      </c>
      <c r="D21" s="25">
        <v>26298.79</v>
      </c>
      <c r="E21" s="17">
        <f>SUM(D13:D21)</f>
        <v>122625.93</v>
      </c>
    </row>
    <row r="22" spans="1:13" ht="15" thickBot="1" x14ac:dyDescent="0.35"/>
    <row r="23" spans="1:13" x14ac:dyDescent="0.3">
      <c r="A23" s="9">
        <v>2024</v>
      </c>
      <c r="B23" s="18">
        <v>31785</v>
      </c>
      <c r="C23" s="19">
        <v>45294</v>
      </c>
      <c r="D23" s="20">
        <v>58249.98</v>
      </c>
    </row>
    <row r="24" spans="1:13" x14ac:dyDescent="0.3">
      <c r="B24" s="21">
        <v>31978</v>
      </c>
      <c r="C24" s="7">
        <v>45329</v>
      </c>
      <c r="D24" s="22">
        <v>8691.9500000000007</v>
      </c>
    </row>
    <row r="25" spans="1:13" x14ac:dyDescent="0.3">
      <c r="B25" s="21">
        <v>32175</v>
      </c>
      <c r="C25" s="7">
        <v>45358</v>
      </c>
      <c r="D25" s="22">
        <v>34139.519999999997</v>
      </c>
    </row>
    <row r="26" spans="1:13" x14ac:dyDescent="0.3">
      <c r="B26" s="21">
        <v>32457</v>
      </c>
      <c r="C26" s="7">
        <v>45401</v>
      </c>
      <c r="D26" s="22">
        <v>12051.36</v>
      </c>
    </row>
    <row r="27" spans="1:13" x14ac:dyDescent="0.3">
      <c r="B27" s="21">
        <v>32741</v>
      </c>
      <c r="C27" s="7">
        <v>45449</v>
      </c>
      <c r="D27" s="22">
        <v>13193.33</v>
      </c>
    </row>
    <row r="28" spans="1:13" x14ac:dyDescent="0.3">
      <c r="B28" s="21">
        <v>32960</v>
      </c>
      <c r="C28" s="7">
        <v>45476</v>
      </c>
      <c r="D28" s="22">
        <v>6068.46</v>
      </c>
    </row>
    <row r="29" spans="1:13" x14ac:dyDescent="0.3">
      <c r="B29" s="21">
        <v>33171</v>
      </c>
      <c r="C29" s="7">
        <v>45512</v>
      </c>
      <c r="D29" s="22">
        <v>2228.77</v>
      </c>
    </row>
    <row r="30" spans="1:13" x14ac:dyDescent="0.3">
      <c r="B30" s="21"/>
      <c r="C30" s="7"/>
      <c r="D30" s="22"/>
    </row>
    <row r="31" spans="1:13" x14ac:dyDescent="0.3">
      <c r="B31" s="21"/>
      <c r="C31" s="7"/>
      <c r="D31" s="22"/>
    </row>
    <row r="32" spans="1:13" x14ac:dyDescent="0.3">
      <c r="A32">
        <v>2025</v>
      </c>
      <c r="B32" s="21">
        <v>34415</v>
      </c>
      <c r="C32" s="7">
        <v>45721</v>
      </c>
      <c r="D32" s="22">
        <v>1805.88</v>
      </c>
    </row>
    <row r="33" spans="2:4" x14ac:dyDescent="0.3">
      <c r="B33" s="21">
        <v>34695</v>
      </c>
      <c r="C33" s="124">
        <v>45749</v>
      </c>
      <c r="D33" s="22">
        <v>1650.38</v>
      </c>
    </row>
    <row r="34" spans="2:4" x14ac:dyDescent="0.3">
      <c r="B34" s="42"/>
      <c r="C34" s="127"/>
      <c r="D34" s="43"/>
    </row>
    <row r="35" spans="2:4" ht="15" thickBot="1" x14ac:dyDescent="0.35">
      <c r="B35" s="23">
        <v>35141</v>
      </c>
      <c r="C35" s="126">
        <v>45812</v>
      </c>
      <c r="D35" s="25">
        <v>1245.69</v>
      </c>
    </row>
    <row r="36" spans="2:4" x14ac:dyDescent="0.3">
      <c r="B36" s="42"/>
      <c r="C36" s="127"/>
      <c r="D36" s="43"/>
    </row>
    <row r="37" spans="2:4" x14ac:dyDescent="0.3">
      <c r="B37" s="42">
        <v>35578</v>
      </c>
      <c r="C37" s="127">
        <v>45875</v>
      </c>
      <c r="D37" s="43">
        <v>501.31</v>
      </c>
    </row>
    <row r="38" spans="2:4" x14ac:dyDescent="0.3">
      <c r="B38" s="42"/>
      <c r="C38" s="127"/>
      <c r="D38" s="43"/>
    </row>
    <row r="39" spans="2:4" ht="15" thickBot="1" x14ac:dyDescent="0.35">
      <c r="B39" s="23"/>
      <c r="C39" s="126"/>
      <c r="D39" s="25"/>
    </row>
    <row r="40" spans="2:4" ht="15" thickBot="1" x14ac:dyDescent="0.35">
      <c r="C40" s="11" t="s">
        <v>23</v>
      </c>
      <c r="D40" s="26">
        <f>SUM(D13:D39)</f>
        <v>262452.56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24C5-E5A0-4571-9850-D88FC4F486E5}">
  <dimension ref="B2:H25"/>
  <sheetViews>
    <sheetView workbookViewId="0">
      <selection activeCell="E33" sqref="E33"/>
    </sheetView>
  </sheetViews>
  <sheetFormatPr defaultRowHeight="14.4" x14ac:dyDescent="0.3"/>
  <cols>
    <col min="2" max="2" width="22.44140625" customWidth="1"/>
    <col min="3" max="3" width="29.44140625" bestFit="1" customWidth="1"/>
    <col min="4" max="4" width="17.6640625" bestFit="1" customWidth="1"/>
    <col min="5" max="5" width="22.33203125" customWidth="1"/>
    <col min="6" max="6" width="17.33203125" bestFit="1" customWidth="1"/>
    <col min="7" max="7" width="11.88671875" bestFit="1" customWidth="1"/>
  </cols>
  <sheetData>
    <row r="2" spans="2:8" ht="15.6" x14ac:dyDescent="0.3">
      <c r="B2" s="2" t="s">
        <v>24</v>
      </c>
      <c r="C2" s="1"/>
      <c r="D2" s="1"/>
    </row>
    <row r="3" spans="2:8" x14ac:dyDescent="0.3">
      <c r="B3" s="1" t="s">
        <v>25</v>
      </c>
      <c r="C3" s="1"/>
      <c r="D3" s="1"/>
      <c r="F3" s="1" t="s">
        <v>16</v>
      </c>
      <c r="G3" s="4">
        <v>418677</v>
      </c>
    </row>
    <row r="4" spans="2:8" x14ac:dyDescent="0.3">
      <c r="B4" s="1" t="s">
        <v>26</v>
      </c>
      <c r="C4" s="1"/>
      <c r="F4" t="s">
        <v>17</v>
      </c>
      <c r="G4" s="5">
        <f>D29</f>
        <v>0</v>
      </c>
      <c r="H4" s="12">
        <f>G4/G3</f>
        <v>0</v>
      </c>
    </row>
    <row r="5" spans="2:8" x14ac:dyDescent="0.3">
      <c r="B5" s="1"/>
      <c r="C5" s="3"/>
      <c r="D5" s="1"/>
      <c r="F5" t="s">
        <v>9</v>
      </c>
      <c r="G5" s="6">
        <f>G3-G4</f>
        <v>418677</v>
      </c>
      <c r="H5" s="12">
        <f>G5/G3</f>
        <v>1</v>
      </c>
    </row>
    <row r="6" spans="2:8" x14ac:dyDescent="0.3">
      <c r="B6" s="1" t="s">
        <v>27</v>
      </c>
      <c r="C6" s="28" t="s">
        <v>83</v>
      </c>
      <c r="D6" t="s">
        <v>82</v>
      </c>
    </row>
    <row r="7" spans="2:8" x14ac:dyDescent="0.3">
      <c r="B7" s="94">
        <v>553800000600</v>
      </c>
      <c r="C7" s="1" t="s">
        <v>28</v>
      </c>
      <c r="D7" s="1"/>
      <c r="E7" s="1"/>
      <c r="F7" s="1"/>
    </row>
    <row r="8" spans="2:8" x14ac:dyDescent="0.3">
      <c r="B8" s="94">
        <v>553800000700</v>
      </c>
      <c r="C8" s="1" t="s">
        <v>28</v>
      </c>
      <c r="D8" s="1"/>
      <c r="E8" s="1"/>
      <c r="F8" s="1"/>
    </row>
    <row r="9" spans="2:8" x14ac:dyDescent="0.3">
      <c r="B9" s="94">
        <v>553800000701</v>
      </c>
      <c r="C9" s="1" t="s">
        <v>28</v>
      </c>
      <c r="D9" s="1"/>
      <c r="E9" s="1"/>
      <c r="F9" s="1"/>
    </row>
    <row r="10" spans="2:8" x14ac:dyDescent="0.3">
      <c r="B10" s="94">
        <v>29060800411300</v>
      </c>
      <c r="C10" s="1" t="s">
        <v>28</v>
      </c>
      <c r="D10" s="1"/>
      <c r="E10" s="1"/>
      <c r="F10" s="1"/>
    </row>
    <row r="11" spans="2:8" x14ac:dyDescent="0.3">
      <c r="B11" s="95">
        <v>553800003300</v>
      </c>
      <c r="C11" s="29" t="s">
        <v>29</v>
      </c>
      <c r="D11" s="29" t="s">
        <v>30</v>
      </c>
      <c r="E11" s="1"/>
      <c r="F11" s="1"/>
    </row>
    <row r="12" spans="2:8" x14ac:dyDescent="0.3">
      <c r="B12" s="95">
        <v>29060800412900</v>
      </c>
      <c r="C12" s="29" t="s">
        <v>31</v>
      </c>
      <c r="D12" s="29" t="s">
        <v>32</v>
      </c>
      <c r="E12" s="1"/>
      <c r="F12" s="1"/>
    </row>
    <row r="13" spans="2:8" x14ac:dyDescent="0.3">
      <c r="B13" s="95">
        <v>29060800403700</v>
      </c>
      <c r="C13" s="29" t="s">
        <v>33</v>
      </c>
      <c r="D13" s="29" t="s">
        <v>34</v>
      </c>
      <c r="E13" s="1"/>
      <c r="F13" s="1"/>
    </row>
    <row r="14" spans="2:8" x14ac:dyDescent="0.3">
      <c r="B14" s="1"/>
      <c r="C14" s="1"/>
      <c r="D14" s="1"/>
      <c r="E14" s="1"/>
      <c r="F14" s="1"/>
    </row>
    <row r="15" spans="2:8" x14ac:dyDescent="0.3">
      <c r="B15" s="1"/>
      <c r="C15" s="1"/>
      <c r="D15" s="1"/>
      <c r="E15" s="1"/>
      <c r="F15" s="1"/>
    </row>
    <row r="16" spans="2:8" x14ac:dyDescent="0.3">
      <c r="B16" s="1"/>
      <c r="C16" s="1"/>
      <c r="D16" s="1"/>
      <c r="E16" s="1"/>
      <c r="F16" s="1"/>
    </row>
    <row r="17" spans="2:7" x14ac:dyDescent="0.3">
      <c r="B17" s="1" t="s">
        <v>35</v>
      </c>
      <c r="C17" s="1"/>
      <c r="D17" s="1"/>
      <c r="E17" s="1"/>
      <c r="F17" s="1"/>
    </row>
    <row r="18" spans="2:7" x14ac:dyDescent="0.3">
      <c r="B18" s="1" t="s">
        <v>36</v>
      </c>
      <c r="C18" s="30" t="s">
        <v>37</v>
      </c>
      <c r="D18" s="1"/>
      <c r="E18" s="1" t="s">
        <v>16</v>
      </c>
      <c r="F18" s="8">
        <v>7000</v>
      </c>
    </row>
    <row r="19" spans="2:7" ht="15" thickBot="1" x14ac:dyDescent="0.35">
      <c r="E19" t="s">
        <v>38</v>
      </c>
      <c r="F19" s="5">
        <f>D25</f>
        <v>6587.2</v>
      </c>
      <c r="G19" s="12">
        <f>F19/F18</f>
        <v>0.94102857142857144</v>
      </c>
    </row>
    <row r="20" spans="2:7" ht="15" thickBot="1" x14ac:dyDescent="0.35">
      <c r="B20" s="27" t="s">
        <v>18</v>
      </c>
      <c r="E20" t="s">
        <v>39</v>
      </c>
      <c r="F20" s="41">
        <f>F18-F19</f>
        <v>412.80000000000018</v>
      </c>
      <c r="G20" s="12">
        <f>F20/F18</f>
        <v>5.8971428571428598E-2</v>
      </c>
    </row>
    <row r="21" spans="2:7" x14ac:dyDescent="0.3">
      <c r="B21" s="34" t="s">
        <v>19</v>
      </c>
      <c r="C21" s="35" t="s">
        <v>20</v>
      </c>
      <c r="D21" s="36" t="s">
        <v>21</v>
      </c>
    </row>
    <row r="22" spans="2:7" x14ac:dyDescent="0.3">
      <c r="B22" s="37" t="s">
        <v>40</v>
      </c>
      <c r="C22" s="32">
        <v>45280</v>
      </c>
      <c r="D22" s="33">
        <v>6307.2</v>
      </c>
    </row>
    <row r="23" spans="2:7" x14ac:dyDescent="0.3">
      <c r="B23" s="31" t="s">
        <v>41</v>
      </c>
      <c r="C23" s="32">
        <v>45313</v>
      </c>
      <c r="D23" s="33">
        <v>280</v>
      </c>
    </row>
    <row r="24" spans="2:7" ht="15" thickBot="1" x14ac:dyDescent="0.35">
      <c r="B24" s="38"/>
      <c r="C24" s="39"/>
      <c r="D24" s="40"/>
    </row>
    <row r="25" spans="2:7" ht="15" thickBot="1" x14ac:dyDescent="0.35">
      <c r="C25" s="11" t="s">
        <v>23</v>
      </c>
      <c r="D25" s="10">
        <f>SUM(D22:D24)</f>
        <v>6587.2</v>
      </c>
    </row>
  </sheetData>
  <hyperlinks>
    <hyperlink ref="C18" r:id="rId1" display="../../../../../../../../:b:/r/teams/COLS-PublicWorks-PWAdmin/Shared Documents/General/Contracts/On-Call Engineering Services/2021/Contracts/Harmsen/HARMSEN-Task Order 2023-01_signed.pdf?csf=1&amp;web=1&amp;e=0aBx8f" xr:uid="{073DFC40-FAE4-4377-B264-049E2306A5A3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4A3C-40B3-4F75-A00F-1B579AAAC97E}">
  <dimension ref="B2:I35"/>
  <sheetViews>
    <sheetView topLeftCell="A12" workbookViewId="0">
      <selection activeCell="D27" sqref="D27"/>
    </sheetView>
  </sheetViews>
  <sheetFormatPr defaultRowHeight="14.4" x14ac:dyDescent="0.3"/>
  <cols>
    <col min="2" max="2" width="22.44140625" customWidth="1"/>
    <col min="3" max="3" width="29.44140625" bestFit="1" customWidth="1"/>
    <col min="4" max="4" width="17.6640625" bestFit="1" customWidth="1"/>
    <col min="5" max="5" width="22.33203125" customWidth="1"/>
    <col min="6" max="6" width="17.33203125" bestFit="1" customWidth="1"/>
    <col min="7" max="7" width="12.33203125" bestFit="1" customWidth="1"/>
  </cols>
  <sheetData>
    <row r="2" spans="2:9" ht="15.6" x14ac:dyDescent="0.3">
      <c r="B2" s="2" t="s">
        <v>85</v>
      </c>
      <c r="C2" s="1"/>
      <c r="D2" s="1"/>
    </row>
    <row r="3" spans="2:9" x14ac:dyDescent="0.3">
      <c r="B3" s="1" t="s">
        <v>86</v>
      </c>
      <c r="C3" s="1"/>
      <c r="D3" s="1"/>
      <c r="F3" s="1" t="s">
        <v>16</v>
      </c>
      <c r="G3" s="4">
        <v>411861</v>
      </c>
    </row>
    <row r="4" spans="2:9" x14ac:dyDescent="0.3">
      <c r="B4" s="1" t="s">
        <v>87</v>
      </c>
      <c r="C4" s="1"/>
      <c r="F4" t="s">
        <v>17</v>
      </c>
      <c r="G4" s="5">
        <f>D35</f>
        <v>295617.07</v>
      </c>
      <c r="H4" s="12">
        <f>G4/G3</f>
        <v>0.71775931685690075</v>
      </c>
    </row>
    <row r="5" spans="2:9" x14ac:dyDescent="0.3">
      <c r="B5" s="1"/>
      <c r="C5" s="3"/>
      <c r="D5" s="1"/>
      <c r="F5" t="s">
        <v>9</v>
      </c>
      <c r="G5" s="6">
        <f>G3-G4</f>
        <v>116243.93</v>
      </c>
      <c r="H5" s="12">
        <f>G5/G3</f>
        <v>0.28224068314309925</v>
      </c>
    </row>
    <row r="6" spans="2:9" x14ac:dyDescent="0.3">
      <c r="B6" s="1" t="s">
        <v>88</v>
      </c>
      <c r="C6" s="3" t="s">
        <v>89</v>
      </c>
      <c r="F6" t="s">
        <v>91</v>
      </c>
      <c r="H6" s="12">
        <f>SUM(G6/G5)</f>
        <v>0</v>
      </c>
      <c r="I6" t="s">
        <v>92</v>
      </c>
    </row>
    <row r="7" spans="2:9" x14ac:dyDescent="0.3">
      <c r="B7" s="94" t="s">
        <v>11</v>
      </c>
      <c r="C7" s="3" t="s">
        <v>90</v>
      </c>
      <c r="D7" s="1"/>
      <c r="E7" s="1"/>
      <c r="F7" s="1"/>
    </row>
    <row r="8" spans="2:9" x14ac:dyDescent="0.3">
      <c r="B8" s="94"/>
      <c r="C8" s="1"/>
      <c r="D8" s="1"/>
      <c r="E8" s="1"/>
      <c r="F8" s="1"/>
    </row>
    <row r="9" spans="2:9" x14ac:dyDescent="0.3">
      <c r="B9" s="94"/>
      <c r="C9" s="1"/>
      <c r="D9" s="1"/>
      <c r="E9" s="1"/>
      <c r="F9" s="1"/>
    </row>
    <row r="10" spans="2:9" x14ac:dyDescent="0.3">
      <c r="B10" s="94"/>
      <c r="C10" s="1"/>
      <c r="D10" s="1"/>
      <c r="E10" s="1"/>
      <c r="F10" s="1"/>
    </row>
    <row r="11" spans="2:9" x14ac:dyDescent="0.3">
      <c r="B11" s="94"/>
      <c r="C11" s="1"/>
      <c r="D11" s="1"/>
      <c r="E11" s="1"/>
      <c r="F11" s="1"/>
    </row>
    <row r="12" spans="2:9" x14ac:dyDescent="0.3">
      <c r="B12" s="94"/>
      <c r="C12" s="1"/>
      <c r="D12" s="1"/>
      <c r="E12" s="1"/>
      <c r="F12" s="1"/>
    </row>
    <row r="13" spans="2:9" x14ac:dyDescent="0.3">
      <c r="B13" s="94"/>
      <c r="C13" s="1"/>
      <c r="D13" s="1"/>
      <c r="E13" s="1"/>
      <c r="F13" s="1"/>
    </row>
    <row r="14" spans="2:9" x14ac:dyDescent="0.3">
      <c r="B14" s="1"/>
      <c r="C14" s="1"/>
      <c r="D14" s="1"/>
      <c r="E14" s="1"/>
      <c r="F14" s="1"/>
    </row>
    <row r="15" spans="2:9" x14ac:dyDescent="0.3">
      <c r="B15" s="1"/>
      <c r="C15" s="1"/>
      <c r="D15" s="1"/>
      <c r="E15" s="1"/>
      <c r="F15" s="1"/>
    </row>
    <row r="16" spans="2:9" x14ac:dyDescent="0.3">
      <c r="B16" s="1"/>
      <c r="C16" s="1"/>
      <c r="D16" s="1"/>
      <c r="E16" s="1"/>
      <c r="F16" s="1"/>
    </row>
    <row r="17" spans="2:7" x14ac:dyDescent="0.3">
      <c r="B17" s="1"/>
      <c r="C17" s="1"/>
      <c r="D17" s="1"/>
      <c r="E17" s="1"/>
      <c r="F17" s="1"/>
    </row>
    <row r="18" spans="2:7" x14ac:dyDescent="0.3">
      <c r="B18" s="1"/>
      <c r="C18" s="30"/>
      <c r="D18" s="1"/>
      <c r="E18" s="1"/>
      <c r="F18" s="8"/>
    </row>
    <row r="19" spans="2:7" ht="15" thickBot="1" x14ac:dyDescent="0.35">
      <c r="F19" s="5"/>
      <c r="G19" s="12"/>
    </row>
    <row r="20" spans="2:7" ht="15" thickBot="1" x14ac:dyDescent="0.35">
      <c r="B20" s="27" t="s">
        <v>18</v>
      </c>
      <c r="F20" s="117"/>
      <c r="G20" s="12"/>
    </row>
    <row r="21" spans="2:7" ht="15" thickBot="1" x14ac:dyDescent="0.35">
      <c r="B21" s="114" t="s">
        <v>19</v>
      </c>
      <c r="C21" s="115" t="s">
        <v>20</v>
      </c>
      <c r="D21" s="116" t="s">
        <v>21</v>
      </c>
    </row>
    <row r="22" spans="2:7" x14ac:dyDescent="0.3">
      <c r="B22" s="105">
        <v>3009325</v>
      </c>
      <c r="C22" s="120">
        <v>45709</v>
      </c>
      <c r="D22" s="121">
        <v>9133.26</v>
      </c>
    </row>
    <row r="23" spans="2:7" x14ac:dyDescent="0.3">
      <c r="B23" s="106">
        <v>3009354</v>
      </c>
      <c r="C23" s="122">
        <v>45723</v>
      </c>
      <c r="D23" s="123">
        <v>25927.3</v>
      </c>
    </row>
    <row r="24" spans="2:7" x14ac:dyDescent="0.3">
      <c r="B24" s="106">
        <v>3009480</v>
      </c>
      <c r="C24" s="122">
        <v>45771</v>
      </c>
      <c r="D24" s="123">
        <v>39642.85</v>
      </c>
    </row>
    <row r="25" spans="2:7" x14ac:dyDescent="0.3">
      <c r="B25" s="106">
        <v>3009540</v>
      </c>
      <c r="C25" s="122">
        <v>45791</v>
      </c>
      <c r="D25" s="123">
        <v>42837.29</v>
      </c>
    </row>
    <row r="26" spans="2:7" x14ac:dyDescent="0.3">
      <c r="B26" s="106">
        <v>3009599</v>
      </c>
      <c r="C26" s="122">
        <v>45818</v>
      </c>
      <c r="D26" s="123">
        <v>48152.22</v>
      </c>
    </row>
    <row r="27" spans="2:7" x14ac:dyDescent="0.3">
      <c r="B27" s="128">
        <v>3009663</v>
      </c>
      <c r="C27" s="129">
        <v>45848</v>
      </c>
      <c r="D27" s="123">
        <v>63329.74</v>
      </c>
    </row>
    <row r="28" spans="2:7" x14ac:dyDescent="0.3">
      <c r="B28" s="106">
        <v>3009759</v>
      </c>
      <c r="C28" s="122">
        <v>45881</v>
      </c>
      <c r="D28" s="107">
        <v>66594.41</v>
      </c>
    </row>
    <row r="29" spans="2:7" x14ac:dyDescent="0.3">
      <c r="B29" s="108"/>
      <c r="C29" s="32"/>
      <c r="D29" s="109"/>
    </row>
    <row r="30" spans="2:7" x14ac:dyDescent="0.3">
      <c r="B30" s="108"/>
      <c r="C30" s="32"/>
      <c r="D30" s="109"/>
    </row>
    <row r="31" spans="2:7" x14ac:dyDescent="0.3">
      <c r="B31" s="108"/>
      <c r="C31" s="32"/>
      <c r="D31" s="109"/>
    </row>
    <row r="32" spans="2:7" x14ac:dyDescent="0.3">
      <c r="B32" s="108"/>
      <c r="C32" s="32"/>
      <c r="D32" s="109"/>
    </row>
    <row r="33" spans="2:4" x14ac:dyDescent="0.3">
      <c r="B33" s="110"/>
      <c r="C33" s="32"/>
      <c r="D33" s="109"/>
    </row>
    <row r="34" spans="2:4" ht="15" thickBot="1" x14ac:dyDescent="0.35">
      <c r="B34" s="111"/>
      <c r="C34" s="112"/>
      <c r="D34" s="113"/>
    </row>
    <row r="35" spans="2:4" ht="15" thickBot="1" x14ac:dyDescent="0.35">
      <c r="C35" s="11" t="s">
        <v>23</v>
      </c>
      <c r="D35" s="10">
        <f>SUM(D22:D34)</f>
        <v>295617.07</v>
      </c>
    </row>
  </sheetData>
  <hyperlinks>
    <hyperlink ref="C6" r:id="rId1" display="../../../../../../../../:b:/r/teams/COLS-PublicWorks-PWAdmin/Shared Documents/Projects/_Active Projects/18013-Main Street Improvements/100 Project Management/110 Contracts/KBA/1a. Main Street Improvements - KBA Estimated Budget Rev. 3.pdf?csf=1&amp;web=1&amp;e=gQHQeR" xr:uid="{9A81584D-23E7-4E2F-BCC7-3ABA0842C373}"/>
    <hyperlink ref="C7" r:id="rId2" display="../../../../../../../../:b:/r/teams/COLS-PublicWorks-PWAdmin/Shared Documents/Projects/_Active Projects/18013-Main Street Improvements/100 Project Management/110 Contracts/KBA/4. LP_AEPS-NegotiatedHourlyRate_Draft_250109.pdf?csf=1&amp;web=1&amp;e=rNafRA" xr:uid="{0A21E2C5-AE61-4742-B01E-BF7C185F671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5480-794E-4A54-9C94-DA223B0DECEB}">
  <dimension ref="B2"/>
  <sheetViews>
    <sheetView workbookViewId="0">
      <selection activeCell="J27" sqref="J27"/>
    </sheetView>
  </sheetViews>
  <sheetFormatPr defaultRowHeight="14.4" x14ac:dyDescent="0.3"/>
  <sheetData>
    <row r="2" spans="2:2" x14ac:dyDescent="0.3">
      <c r="B2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ransitory - Organizing and Monitoring Work in Progress" ma:contentTypeID="0x01010006ECCEB8876C3241BF9EAC4A765FAF4200B010D51BFC38B74EAC311886D95ED0A300EDC58EA103263747929A0695BF92E373" ma:contentTypeVersion="4" ma:contentTypeDescription="Create a new document." ma:contentTypeScope="" ma:versionID="16a87a5a69da41d0ca6b817235497675">
  <xsd:schema xmlns:xsd="http://www.w3.org/2001/XMLSchema" xmlns:xs="http://www.w3.org/2001/XMLSchema" xmlns:p="http://schemas.microsoft.com/office/2006/metadata/properties" xmlns:ns2="2025f06d-6995-4e44-8ee8-f8a6ae3bb98f" targetNamespace="http://schemas.microsoft.com/office/2006/metadata/properties" ma:root="true" ma:fieldsID="4eaeb6596560183758bd0c8a4ed784a9" ns2:_="">
    <xsd:import namespace="2025f06d-6995-4e44-8ee8-f8a6ae3bb98f"/>
    <xsd:element name="properties">
      <xsd:complexType>
        <xsd:sequence>
          <xsd:element name="documentManagement">
            <xsd:complexType>
              <xsd:all>
                <xsd:element ref="ns2:Supersed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5f06d-6995-4e44-8ee8-f8a6ae3bb98f" elementFormDefault="qualified">
    <xsd:import namespace="http://schemas.microsoft.com/office/2006/documentManagement/types"/>
    <xsd:import namespace="http://schemas.microsoft.com/office/infopath/2007/PartnerControls"/>
    <xsd:element name="SupersededDate" ma:index="8" nillable="true" ma:displayName="Superseded Date" ma:internalName="Supersede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persededDate xmlns="2025f06d-6995-4e44-8ee8-f8a6ae3bb98f" xsi:nil="true"/>
  </documentManagement>
</p:properties>
</file>

<file path=customXml/item4.xml><?xml version="1.0" encoding="utf-8"?>
<?mso-contentType ?>
<SharedContentType xmlns="Microsoft.SharePoint.Taxonomy.ContentTypeSync" SourceId="076fe23b-1fd5-490c-8cb0-07279ee04191" ContentTypeId="0x01010006ECCEB8876C3241BF9EAC4A765FAF4200B010D51BFC38B74EAC311886D95ED0A3" PreviousValue="false" LastSyncTimeStamp="2024-11-07T22:31:03.417Z"/>
</file>

<file path=customXml/itemProps1.xml><?xml version="1.0" encoding="utf-8"?>
<ds:datastoreItem xmlns:ds="http://schemas.openxmlformats.org/officeDocument/2006/customXml" ds:itemID="{2949C559-038B-443F-A8BD-E5F04A5FD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7FEF4E-C924-4700-B61B-79F5D65F73C8}"/>
</file>

<file path=customXml/itemProps3.xml><?xml version="1.0" encoding="utf-8"?>
<ds:datastoreItem xmlns:ds="http://schemas.openxmlformats.org/officeDocument/2006/customXml" ds:itemID="{F9D8BCD2-7746-4DAC-A75E-3643505CD626}">
  <ds:schemaRefs>
    <ds:schemaRef ds:uri="http://schemas.microsoft.com/office/2006/documentManagement/types"/>
    <ds:schemaRef ds:uri="http://schemas.openxmlformats.org/package/2006/metadata/core-properties"/>
    <ds:schemaRef ds:uri="2025f06d-6995-4e44-8ee8-f8a6ae3bb98f"/>
    <ds:schemaRef ds:uri="http://purl.org/dc/elements/1.1/"/>
    <ds:schemaRef ds:uri="http://purl.org/dc/terms/"/>
    <ds:schemaRef ds:uri="15fc951b-7ebe-4162-81f3-c39b2986c3b6"/>
    <ds:schemaRef ds:uri="http://schemas.microsoft.com/office/2006/metadata/properties"/>
    <ds:schemaRef ds:uri="http://schemas.microsoft.com/office/infopath/2007/PartnerControls"/>
    <ds:schemaRef ds:uri="b64c6a55-7f19-4dba-bea8-43154233e7ef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F234E09-6D8C-48C2-B832-C3E2FA794B2C}"/>
</file>

<file path=docMetadata/LabelInfo.xml><?xml version="1.0" encoding="utf-8"?>
<clbl:labelList xmlns:clbl="http://schemas.microsoft.com/office/2020/mipLabelMetadata">
  <clbl:label id="{c7243e29-e897-47ce-8043-54eeb9907be5}" enabled="0" method="" siteId="{c7243e29-e897-47ce-8043-54eeb9907b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Overview</vt:lpstr>
      <vt:lpstr>Design</vt:lpstr>
      <vt:lpstr>ROW</vt:lpstr>
      <vt:lpstr>CM Services</vt:lpstr>
      <vt:lpstr>Construction</vt:lpstr>
      <vt:lpstr>Overview!Print_Area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Mangold</dc:creator>
  <cp:keywords/>
  <dc:description/>
  <cp:lastModifiedBy>Erik Mangold</cp:lastModifiedBy>
  <cp:revision/>
  <cp:lastPrinted>2025-01-09T22:59:20Z</cp:lastPrinted>
  <dcterms:created xsi:type="dcterms:W3CDTF">2024-03-12T16:49:34Z</dcterms:created>
  <dcterms:modified xsi:type="dcterms:W3CDTF">2025-11-20T22:17:36Z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0x01010006ECCEB8876C3241BF9EAC4A765FAF4200B010D51BFC38B74EAC311886D95ED0A300EDC58EA103263747929A0695BF92E373</vt:lpwstr>
  </property>
  <property fmtid="{D5CDD505-2E9C-101B-9397-08002B2CF9AE}" pid="4" name="MediaServiceImageTags">
    <vt:lpwstr/>
  </property>
  <property fmtid="{D5CDD505-2E9C-101B-9397-08002B2CF9AE}" pid="5" name="Order">
    <vt:r8>100</vt:r8>
  </property>
  <property fmtid="{D5CDD505-2E9C-101B-9397-08002B2CF9AE}" pid="6" name="_ExtendedDescription">
    <vt:lpwstr/>
  </property>
  <property fmtid="{D5CDD505-2E9C-101B-9397-08002B2CF9AE}" pid="7" name="DocumentSetDescription">
    <vt:lpwstr/>
  </property>
  <property fmtid="{D5CDD505-2E9C-101B-9397-08002B2CF9AE}" pid="8" name="_docset_NoMedatataSyncRequired">
    <vt:lpwstr>False</vt:lpwstr>
  </property>
  <property fmtid="{D5CDD505-2E9C-101B-9397-08002B2CF9AE}" pid="9" name="ProjectStatus">
    <vt:lpwstr>Active</vt:lpwstr>
  </property>
  <property fmtid="{D5CDD505-2E9C-101B-9397-08002B2CF9AE}" pid="10" name="ProjectPhase">
    <vt:lpwstr>3. Construction</vt:lpwstr>
  </property>
  <property fmtid="{D5CDD505-2E9C-101B-9397-08002B2CF9AE}" pid="11" name="Topic">
    <vt:lpwstr>Erik's</vt:lpwstr>
  </property>
  <property fmtid="{D5CDD505-2E9C-101B-9397-08002B2CF9AE}" pid="12" name="lcf76f155ced4ddcb4097134ff3c332f">
    <vt:lpwstr/>
  </property>
  <property fmtid="{D5CDD505-2E9C-101B-9397-08002B2CF9AE}" pid="13" name="TaxCatchAll">
    <vt:lpwstr/>
  </property>
</Properties>
</file>