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kestevens.sharepoint.com/sites/RMS-CapitalProjects/Capital/36th Street Bridge Replacement/"/>
    </mc:Choice>
  </mc:AlternateContent>
  <xr:revisionPtr revIDLastSave="0" documentId="8_{3281005F-C8B5-40D5-B856-B535AABD27D5}" xr6:coauthVersionLast="47" xr6:coauthVersionMax="47" xr10:uidLastSave="{00000000-0000-0000-0000-000000000000}"/>
  <bookViews>
    <workbookView xWindow="28702" yWindow="-98" windowWidth="28995" windowHeight="15675" tabRatio="919" firstSheet="2" activeTab="2" xr2:uid="{00000000-000D-0000-FFFF-FFFF00000000}"/>
  </bookViews>
  <sheets>
    <sheet name="Budget Worksheet" sheetId="11" r:id="rId1"/>
    <sheet name="DEa" sheetId="21" r:id="rId2"/>
    <sheet name="Breakdown by task" sheetId="25" r:id="rId3"/>
    <sheet name="Loan Reimbursements" sheetId="26" r:id="rId4"/>
  </sheets>
  <definedNames>
    <definedName name="_xlnm.Print_Area" localSheetId="0">'Budget Worksheet'!$A$1:$F$33</definedName>
    <definedName name="_xlnm.Print_Area" localSheetId="1">DEa!$A$1:$J$41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" i="25" l="1"/>
  <c r="Q19" i="25"/>
  <c r="F67" i="25"/>
  <c r="F62" i="25"/>
  <c r="F56" i="25"/>
  <c r="F47" i="25"/>
  <c r="F46" i="25"/>
  <c r="F40" i="25"/>
  <c r="F30" i="25"/>
  <c r="F24" i="25"/>
  <c r="F23" i="25"/>
  <c r="F22" i="25"/>
  <c r="E19" i="25" l="1"/>
  <c r="N47" i="25"/>
  <c r="N72" i="25" s="1"/>
  <c r="H67" i="25"/>
  <c r="H62" i="25"/>
  <c r="H56" i="25"/>
  <c r="H53" i="25"/>
  <c r="H46" i="25"/>
  <c r="H41" i="25"/>
  <c r="H40" i="25"/>
  <c r="H30" i="25"/>
  <c r="H24" i="25"/>
  <c r="H23" i="25"/>
  <c r="H22" i="25"/>
  <c r="H19" i="25"/>
  <c r="H9" i="25"/>
  <c r="M72" i="25"/>
  <c r="O72" i="25"/>
  <c r="P72" i="25"/>
  <c r="Q72" i="25"/>
  <c r="R72" i="25"/>
  <c r="S72" i="25"/>
  <c r="T72" i="25"/>
  <c r="U72" i="25"/>
  <c r="V72" i="25"/>
  <c r="L72" i="25"/>
  <c r="E9" i="25"/>
  <c r="J15" i="21"/>
  <c r="J13" i="21"/>
  <c r="J16" i="21"/>
  <c r="J17" i="21"/>
  <c r="J18" i="21"/>
  <c r="J19" i="21"/>
  <c r="J20" i="21"/>
  <c r="J21" i="21"/>
  <c r="J22" i="21"/>
  <c r="J26" i="21"/>
  <c r="J27" i="21"/>
  <c r="J28" i="21"/>
  <c r="J29" i="21"/>
  <c r="J30" i="21"/>
  <c r="J31" i="21"/>
  <c r="J32" i="21"/>
  <c r="J33" i="21"/>
  <c r="J34" i="21"/>
  <c r="J9" i="21"/>
  <c r="J23" i="21"/>
  <c r="J24" i="21"/>
  <c r="J25" i="21"/>
  <c r="I23" i="25" l="1"/>
  <c r="K23" i="25"/>
  <c r="J23" i="25"/>
  <c r="I40" i="25"/>
  <c r="K40" i="25"/>
  <c r="J40" i="25"/>
  <c r="I41" i="25"/>
  <c r="K41" i="25"/>
  <c r="J41" i="25"/>
  <c r="I46" i="25"/>
  <c r="K46" i="25"/>
  <c r="J46" i="25"/>
  <c r="I53" i="25"/>
  <c r="J53" i="25"/>
  <c r="I67" i="25"/>
  <c r="K67" i="25"/>
  <c r="J67" i="25"/>
  <c r="B2" i="26"/>
  <c r="I56" i="25"/>
  <c r="K56" i="25"/>
  <c r="J56" i="25"/>
  <c r="I30" i="25"/>
  <c r="K30" i="25"/>
  <c r="J30" i="25"/>
  <c r="I24" i="25"/>
  <c r="K24" i="25"/>
  <c r="J24" i="25"/>
  <c r="J19" i="25"/>
  <c r="I62" i="25"/>
  <c r="J62" i="25"/>
  <c r="K62" i="25"/>
  <c r="I22" i="25"/>
  <c r="K22" i="25"/>
  <c r="J22" i="25"/>
  <c r="J9" i="25"/>
  <c r="K9" i="25"/>
  <c r="I9" i="25"/>
  <c r="H72" i="25"/>
  <c r="I19" i="25"/>
  <c r="F19" i="25"/>
  <c r="E72" i="25"/>
  <c r="H47" i="25"/>
  <c r="C15" i="11"/>
  <c r="C16" i="11"/>
  <c r="F72" i="25" l="1"/>
  <c r="K19" i="25"/>
  <c r="I47" i="25"/>
  <c r="J47" i="25"/>
  <c r="K72" i="25"/>
  <c r="J72" i="25"/>
  <c r="I72" i="25"/>
  <c r="C7" i="11" l="1"/>
  <c r="B7" i="11"/>
  <c r="D7" i="11" l="1"/>
  <c r="D6" i="11" l="1"/>
  <c r="C29" i="11" l="1"/>
  <c r="B29" i="11"/>
  <c r="D5" i="11"/>
  <c r="F14" i="11"/>
  <c r="C14" i="11"/>
  <c r="B14" i="11"/>
  <c r="I36" i="21"/>
  <c r="G36" i="21"/>
  <c r="A1" i="21"/>
  <c r="D29" i="11" l="1"/>
  <c r="D31" i="11" s="1"/>
  <c r="E29" i="11"/>
  <c r="D14" i="11"/>
  <c r="E14" i="11"/>
  <c r="B18" i="11"/>
  <c r="J14" i="21" l="1"/>
  <c r="F36" i="21"/>
  <c r="J38" i="21" s="1"/>
  <c r="J40" i="21" s="1"/>
  <c r="J36" i="21" l="1"/>
  <c r="J39" i="21"/>
  <c r="C13" i="11"/>
  <c r="D27" i="11"/>
  <c r="F26" i="11"/>
  <c r="E26" i="11"/>
  <c r="D26" i="11"/>
  <c r="E13" i="11" l="1"/>
  <c r="D13" i="11"/>
  <c r="C18" i="11"/>
  <c r="D18" i="11" l="1"/>
  <c r="D20" i="11" s="1"/>
  <c r="D33" i="11" s="1"/>
  <c r="H50" i="11" s="1"/>
  <c r="E18" i="11"/>
  <c r="E16" i="11" l="1"/>
  <c r="D16" i="11" l="1"/>
  <c r="E15" i="11"/>
  <c r="D15" i="11"/>
</calcChain>
</file>

<file path=xl/sharedStrings.xml><?xml version="1.0" encoding="utf-8"?>
<sst xmlns="http://schemas.openxmlformats.org/spreadsheetml/2006/main" count="268" uniqueCount="204">
  <si>
    <t>36th St Bridge</t>
  </si>
  <si>
    <t>PROJECT FUNDING</t>
  </si>
  <si>
    <t>SOURCE</t>
  </si>
  <si>
    <t>TOTAL</t>
  </si>
  <si>
    <t>(Local)</t>
  </si>
  <si>
    <t>Future (Source(s)</t>
  </si>
  <si>
    <t xml:space="preserve">Total </t>
  </si>
  <si>
    <t xml:space="preserve"> PROJECT WORKING EXPENSE BUDGET</t>
  </si>
  <si>
    <t>PLANNING/DESIGN/ENG EXPENSES</t>
  </si>
  <si>
    <t>PROJECTED EXPENSE</t>
  </si>
  <si>
    <t xml:space="preserve">PAID TO DATE </t>
  </si>
  <si>
    <t>BALANCE REMAINING</t>
  </si>
  <si>
    <t>% SPENT OUT</t>
  </si>
  <si>
    <t>% SCOPE COMPLETED</t>
  </si>
  <si>
    <t xml:space="preserve">NOTES </t>
  </si>
  <si>
    <t>DESIGN (David Evans)</t>
  </si>
  <si>
    <t>INSPECTOR-MATERIAL (TBD)</t>
  </si>
  <si>
    <t>PERMITTING &amp; AGENCY</t>
  </si>
  <si>
    <t>MISC EXPENSES</t>
  </si>
  <si>
    <t>SUBTOTAL</t>
  </si>
  <si>
    <t>(Over)/Under Design Budget</t>
  </si>
  <si>
    <t>CONSTRUCTION EXPENSES</t>
  </si>
  <si>
    <t>CONTRACTOR (TBD)</t>
  </si>
  <si>
    <t>CONTINGENCY</t>
  </si>
  <si>
    <t>(Over)/Under Construction Budget</t>
  </si>
  <si>
    <t>OVERALL PROJECT BUDGET STATUS (Over)/Under</t>
  </si>
  <si>
    <t>Project Engineer: Ben Romanaggi</t>
  </si>
  <si>
    <t>Vendor:</t>
  </si>
  <si>
    <t>DEA</t>
  </si>
  <si>
    <t>Account #</t>
  </si>
  <si>
    <t>Original Contract (Preliminary Design Phase)</t>
  </si>
  <si>
    <t>Future Supplement</t>
  </si>
  <si>
    <t>Total Contract (Authorized to Date)</t>
  </si>
  <si>
    <t>PP #</t>
  </si>
  <si>
    <t>Inv #</t>
  </si>
  <si>
    <t>Date of Inv.</t>
  </si>
  <si>
    <t>Work Thru</t>
  </si>
  <si>
    <t>Funding Distribution</t>
  </si>
  <si>
    <t>Amount</t>
  </si>
  <si>
    <t>See Above</t>
  </si>
  <si>
    <t>Not Used</t>
  </si>
  <si>
    <t>PP#1</t>
  </si>
  <si>
    <t>PP#2</t>
  </si>
  <si>
    <t>PP#4</t>
  </si>
  <si>
    <t>2024026.0000-1</t>
  </si>
  <si>
    <t>Perteet</t>
  </si>
  <si>
    <t>PP#3</t>
  </si>
  <si>
    <t>2024026.0000-2</t>
  </si>
  <si>
    <t>PP#5</t>
  </si>
  <si>
    <t>2025-172</t>
  </si>
  <si>
    <t>Cultural Resources</t>
  </si>
  <si>
    <t>PP#6</t>
  </si>
  <si>
    <t>PP#8</t>
  </si>
  <si>
    <t>PP#9</t>
  </si>
  <si>
    <t>PP#10</t>
  </si>
  <si>
    <t>PP#11</t>
  </si>
  <si>
    <t>PP#12</t>
  </si>
  <si>
    <t>PP#13</t>
  </si>
  <si>
    <t>PP#14</t>
  </si>
  <si>
    <t>PP#15</t>
  </si>
  <si>
    <t>PP#16</t>
  </si>
  <si>
    <t>PP#17</t>
  </si>
  <si>
    <t>PP#18</t>
  </si>
  <si>
    <t>PP#19</t>
  </si>
  <si>
    <t>PP#20</t>
  </si>
  <si>
    <t>PP#21</t>
  </si>
  <si>
    <t>PP#22</t>
  </si>
  <si>
    <t>Sums To Date:</t>
  </si>
  <si>
    <t>Total Payments</t>
  </si>
  <si>
    <t>Total Remaining Balance:</t>
  </si>
  <si>
    <t>% of Contract Complete:</t>
  </si>
  <si>
    <t>% of Work Scope Complete:</t>
  </si>
  <si>
    <t>Billing Alias</t>
  </si>
  <si>
    <t>SWCCC</t>
  </si>
  <si>
    <t>Budget (2025 adopted)</t>
  </si>
  <si>
    <t>Contract Amount</t>
  </si>
  <si>
    <t>PWB Loan</t>
  </si>
  <si>
    <t>Contract Expiration Date</t>
  </si>
  <si>
    <t>Task</t>
  </si>
  <si>
    <t>Description</t>
  </si>
  <si>
    <t>Consultant</t>
  </si>
  <si>
    <t>Deliverable</t>
  </si>
  <si>
    <t>Cost Estimate</t>
  </si>
  <si>
    <t>Target</t>
  </si>
  <si>
    <t>Notes</t>
  </si>
  <si>
    <t>Spent To Date</t>
  </si>
  <si>
    <t>Remaining</t>
  </si>
  <si>
    <t>% Complete</t>
  </si>
  <si>
    <t>% Complete of Target</t>
  </si>
  <si>
    <t>INV 592119</t>
  </si>
  <si>
    <t>INV 594648</t>
  </si>
  <si>
    <t>INV 596821</t>
  </si>
  <si>
    <t>INV 599518</t>
  </si>
  <si>
    <t>INV 601771</t>
  </si>
  <si>
    <t>INV 604552</t>
  </si>
  <si>
    <t>INV 606639</t>
  </si>
  <si>
    <t>INV 608413</t>
  </si>
  <si>
    <t>INV 610643</t>
  </si>
  <si>
    <t>Project management</t>
  </si>
  <si>
    <t>Reduce bi-weekly meetings with city and design team and move to meeting that are for milestones and critical paths</t>
  </si>
  <si>
    <t>Kickoff Meeting</t>
  </si>
  <si>
    <t>Bi-weekly meeting with City</t>
  </si>
  <si>
    <t>Invoicing and Monthly Reports</t>
  </si>
  <si>
    <t>Coordination with Perteet for Stormwater</t>
  </si>
  <si>
    <t>Bi-weekly meeting with design team</t>
  </si>
  <si>
    <t>Design team management - 5 subs</t>
  </si>
  <si>
    <t>Schedule Creation and Maintenance</t>
  </si>
  <si>
    <t>Communications Plan</t>
  </si>
  <si>
    <t>QAQC Coordination</t>
  </si>
  <si>
    <t>Data Gap Analysis Detail</t>
  </si>
  <si>
    <t>Project management - Gap Analysis</t>
  </si>
  <si>
    <t>Herrera</t>
  </si>
  <si>
    <t>2-page bulleted list of data gaps</t>
  </si>
  <si>
    <t>Survey</t>
  </si>
  <si>
    <t>CAD files, 4 legal descriptions/exhibit packets</t>
  </si>
  <si>
    <t>Geotechnical</t>
  </si>
  <si>
    <t>Geosyntec</t>
  </si>
  <si>
    <t>Geotechnical report to include with PS&amp;E</t>
  </si>
  <si>
    <t>Hydraulic Analysis and Restoration Design</t>
  </si>
  <si>
    <t>5.1 and 5.2</t>
  </si>
  <si>
    <t xml:space="preserve">• Emailed model results screen shots showing proposed conditions flow depths and velocities corresponding to the design developed for the 30% Design Package listed in Task 5.2.1. • Draft 60% Hydraulic and Restoration Design Memorandum in pdf and Word format, including draft scour analysis and hydraulic design calculations, to be submitted with the 60% Design Package listed in Task 5.2.2.  • Final 90% Hydraulic and Restoration Design Memorandum in pdf format, including final scour analysis and hydraulic design calculations, to be submitted with the 90% Design Package listed in Task 5.2.3.
• Four design submittals: 30%, 60%, 90% Draft Final, Final 100% Bid Ready • Habitat Restoration Design plans to be prepared by Herrera will include up to 12 sheets as indicated in the table at the end of this Scope of Work.  </t>
  </si>
  <si>
    <t>5.2.1</t>
  </si>
  <si>
    <t>30% Restoration Design</t>
  </si>
  <si>
    <t xml:space="preserve">• Drawing plan sets will be on 11”x17” (half-size) electronic .pdf (Adobe) file format. • Cost estimate in bid tab format, in Microsoft Excel electronic file format. • Draft construction contract document content in electronic .docx (Microsoft Word) file format, including special provisions in Divisions 2 through 9.  • Draft engineer’s opinion of construction cost estimate in bid tab format in electronic .xlsx (Microsoft Excel) file format.  </t>
  </si>
  <si>
    <t>5.2.2</t>
  </si>
  <si>
    <t>60% Restoration Desing</t>
  </si>
  <si>
    <t>• Drawing plan sets will be on 11”x17” (half-size) electronic .pdf (Adobe) file format. • Spec list identifying anticipated special provision specification sections and measurement and payment for bid items to be developed by Herrera in further design deliverables; the list of anticipated special provisions will be provided in either electronic MS Word or MS Excel file format. • Cost estimate for Herrera’s design items in bid tab format, in Microsoft Excel electronic file format.</t>
  </si>
  <si>
    <t>5.2.3</t>
  </si>
  <si>
    <t>90% Final Draft Restoration Design</t>
  </si>
  <si>
    <t xml:space="preserve">• 1 copy of Herrera's drawings on 11"x17" (half-size) electronic .pdf (Adobe) file format. • 1 copy of Herrera's drawings in 22"x34" (full size) electronic .pdf (Adobe) file format. • Draft of special provisions in Divisions 2 through 9 in electronic .docx (Microsoft Word) file format. • Draft opinion of construction cost estimate in bid tab format in electronic .xlsx (Microsoft Excel) file engineer’s format. </t>
  </si>
  <si>
    <t>5.2.4</t>
  </si>
  <si>
    <t>Final 100% (Bid Ready) Restoration Design</t>
  </si>
  <si>
    <t xml:space="preserve">Signed and stamped design plans in 11"x17" (half size) electronic .pdf (Adobe) file format. • Signed and stamped design plans in 22"x34" (full size) electronic .pdf (Adobe) file format. • Technical special provisions for construction stamped and signed by a professional engineer licensed in the State of Washington in electronic .pdf (Adobe) file format. • All special provisions in electronic .docx (Microsoft Word) file format. • Final engineer's opinion of construction cost estimate in Microsoft Excel electronic file format. • Complete copy of electronic drawing files in AutoCAD and Civil 3D file formats. </t>
  </si>
  <si>
    <t>Environmental Permitting</t>
  </si>
  <si>
    <t>Enviro Permitting - Agency Coordination - Pre-Application Meeting</t>
  </si>
  <si>
    <t>Enviro Permitting - SEPA Checklist</t>
  </si>
  <si>
    <t>Enviro Permitting - JARPA</t>
  </si>
  <si>
    <t>Enviro Permitting - HPA</t>
  </si>
  <si>
    <t>Enviro Permitting - USACE 404</t>
  </si>
  <si>
    <t>Enviro Permitting - Section 7 - ESA</t>
  </si>
  <si>
    <t>Enviro Permitting - Critical Area Assessment</t>
  </si>
  <si>
    <t>Enviro Permitting - Ecology Section 401</t>
  </si>
  <si>
    <t>Enviro Permitting - Post-permit application support and coordination</t>
  </si>
  <si>
    <t xml:space="preserve">• All draft deliverables will be prepared in electronic file format (MS Word) to allow for tracked changes by project reviewers. Final deliverables will incorporate one consolidated set of review comments/revisions and will be submitted in pdf file format. • Draft and final pre-application meeting agenda and meeting minutes  • Draft and final JARPA form and site plan figures  • Draft and final ESA compliance documentation • HPA application information for upload to APPS  • Draft and final City of Lake Stevens Critical Areas Assessment and Mitigation Plan report • Draft and Final Section 401 Water Quality Certification Notifications </t>
  </si>
  <si>
    <t>Cultural Resources Consultant</t>
  </si>
  <si>
    <t>• One Draft and Final Cultural Resources Assessment Report (with Site Forms, if completed), provided electronically</t>
  </si>
  <si>
    <t>ROW Acquisition Project Management</t>
  </si>
  <si>
    <t>The City will manage ROW acquisition, deliverable = legal exibits</t>
  </si>
  <si>
    <t>Commonstreet</t>
  </si>
  <si>
    <t>Title Review and Conveyance Documents</t>
  </si>
  <si>
    <t>Appraisal and Appraisal Review Coordination</t>
  </si>
  <si>
    <t>Negotiations, Administrative Settlements, QA/QC</t>
  </si>
  <si>
    <t>Utility Coordination</t>
  </si>
  <si>
    <t xml:space="preserve">Incorporation of utility work requirements in plans and specifications. Any relocation work will be reflected as “by others.” </t>
  </si>
  <si>
    <t>Roadway Civil Design</t>
  </si>
  <si>
    <t>Roadway Civil Design - 30%</t>
  </si>
  <si>
    <t xml:space="preserve">• Electronic copy of the 30% plan set in PDF format via email or SharePoint • Electronic copy of the 30% opinion of cost summary submitted in PDF format via email or SharePoint. </t>
  </si>
  <si>
    <t>Roadway Civil Design - 60%</t>
  </si>
  <si>
    <t xml:space="preserve">• Electronic copy of the 60% plan set in PDF format via e-mail or SharePoint • Electronic copy of the 60% opinion of cost summary submitted in PDF format via email or Sharepoint • Electronic copy of the 60% special provisions and applicable GSPs with fill ins for the civil design elements in Microsoft Word format via e-mail or SharePoint </t>
  </si>
  <si>
    <t>Roadway Civil Design - 90%</t>
  </si>
  <si>
    <t xml:space="preserve">• Written responses to 60% civil comments (PDF) • Electronic copy of the 90% plan set in PDF format via e-mail or SharePoint • Electronic copy of the 90% opinion of cost summary submitted in PDF format via e-mail or Sharepoint </t>
  </si>
  <si>
    <t>Roadway Civil Design - 100% bid ready</t>
  </si>
  <si>
    <t xml:space="preserve">• Written responses to 90% comments  • Electronic copy of the final plans; half size and full size signed plans, in PDF format via email or SharePoint • Electronic copy of the opinion of cost summary submitted in PDF format via electronic email or SharePoint • Electronic copy of the 100% civil special provisions submitted in PDF format via electronic e-mail or SharePoint • Bidding support or construction engineering services are excluded. </t>
  </si>
  <si>
    <t>Perteet Project Management</t>
  </si>
  <si>
    <t>Progress reports and coordination with DEA</t>
  </si>
  <si>
    <t>Community Engagement</t>
  </si>
  <si>
    <t>The City will manage community engagement</t>
  </si>
  <si>
    <t>Outreach Materials</t>
  </si>
  <si>
    <t xml:space="preserve">Requested materials </t>
  </si>
  <si>
    <t>Public Meeting Attendance</t>
  </si>
  <si>
    <t xml:space="preserve">• Attendance at the meeting will include one member from the design team and the project manager. • Mileage will be charged at Federal rates. </t>
  </si>
  <si>
    <t>Stormwater Design</t>
  </si>
  <si>
    <t>Assumption: MR 1 - 9 but no flow control</t>
  </si>
  <si>
    <t>Stormwater - 30%</t>
  </si>
  <si>
    <t xml:space="preserve">• 30% design-level plans (half-size [11”x17”], PDF) • 30% design-level opinion of cost summary (Excel) </t>
  </si>
  <si>
    <t>Stormwater - 60%</t>
  </si>
  <si>
    <t xml:space="preserve">• Written responses to 30% comments • 60% design-level plans (half-size [11”x17”], PDF) • 60% design-level opinion of cost summary (Excel) </t>
  </si>
  <si>
    <t>Stormwater - 90%</t>
  </si>
  <si>
    <t xml:space="preserve">• Written responses to 60% comments • 90% design-level plans (half-size [11”x17”], PDF) • 90% design-level opinion of cost summary (Excel) • 90% design-level specifications (run-list and individual specifications files, Word) </t>
  </si>
  <si>
    <t>Stormwater - 100% bid ready</t>
  </si>
  <si>
    <t xml:space="preserve">• Written responses to 90% comments • 100% design-level plans (half-size [11”x17”], PDF) • 100% design-level opinion of cost summary (Excel) • 100% design-level specifications (run-list and individual specifications files, Word) </t>
  </si>
  <si>
    <t>Stormwater Report</t>
  </si>
  <si>
    <t xml:space="preserve">• Draft Stormwater Report (PDF Electronic file). Submitted with 30% design.  • Final Draft Stormwater Report (PDF Electronic file). Submitted with 60% design. • Comment responses from 30% submittal  </t>
  </si>
  <si>
    <t>Structural Design</t>
  </si>
  <si>
    <t xml:space="preserve">Assumption - bridge design is a standard bridge </t>
  </si>
  <si>
    <t xml:space="preserve">Structural - 30% </t>
  </si>
  <si>
    <t xml:space="preserve">• Bridge type alternatives memo. • 30% design-level plans (half-size [11x17], PDF). • 30% design-level opinion of cost Summary (Excel). </t>
  </si>
  <si>
    <t>Structural - 60%</t>
  </si>
  <si>
    <t xml:space="preserve">• Written responses to 30% comments. • 60% design-level plans (half-size [11x17], PDF) • 60% design-level opinion of cost summary (Excel)  • Preliminary Specification Manual (Word) </t>
  </si>
  <si>
    <t>Structural - 90%</t>
  </si>
  <si>
    <t xml:space="preserve">• Two 11x17 (half size) copies of Plans  • Two copies of the 90% Specifications Manual • Two copies of the quantity Estimates and opinion of construction cost. </t>
  </si>
  <si>
    <t>Structural - 100% bid ready</t>
  </si>
  <si>
    <t xml:space="preserve">• Written responses to 90% comments. • 100% design-level plans (half-size [11x17], PDF)  • 100% Specifications Manual (Word) • 100% quantity Estimates and opinion of construction cost (Excel). </t>
  </si>
  <si>
    <t>QAQC</t>
  </si>
  <si>
    <t>QAQC - Constructability Review</t>
  </si>
  <si>
    <t xml:space="preserve">• Constructability Review comments for PS&amp;E packages at 60% and 90% design levels. • Construction schedule at 60% and 100% levels.  • Construction estimation for PS&amp;E packages at 60%, 90%, &amp; 100% design levels. </t>
  </si>
  <si>
    <t>QAQC Construction CPM Schedule</t>
  </si>
  <si>
    <t>QAQC Construction Estimation</t>
  </si>
  <si>
    <t>OPTION - Construction Phase Support</t>
  </si>
  <si>
    <t>Total</t>
  </si>
  <si>
    <t>November 2025 - Reimbursement Request</t>
  </si>
  <si>
    <t>January 2026 - Reimbursement Request</t>
  </si>
  <si>
    <t>Date of Reimbursement Request</t>
  </si>
  <si>
    <t>Total Reimbursement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</si>
</sst>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 yyyy"/>
    <numFmt numFmtId="165" formatCode="&quot;$&quot;#,##0.00"/>
    <numFmt numFmtId="166" formatCode="&quot;$&quot;#,##0;\-&quot;$&quot;#,##0"/>
    <numFmt numFmtId="167" formatCode="&quot;$&quot;#,##0.00;\-&quot;$&quot;#,##0.00"/>
    <numFmt numFmtId="168" formatCode="&quot;$&quot;#,##0"/>
    <numFmt numFmtId="169" formatCode="_(&quot;$&quot;* #,##0_);_(&quot;$&quot;* \(#,##0\);_(&quot;$&quot;* &quot;-&quot;??_);_(@_)"/>
  </numFmts>
  <fonts count="2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NewsGotT"/>
    </font>
    <font>
      <u/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i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name val="Arial Narrow"/>
      <family val="2"/>
    </font>
    <font>
      <sz val="8"/>
      <name val="Arial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8" fillId="0" borderId="0"/>
    <xf numFmtId="9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3" fillId="0" borderId="0"/>
    <xf numFmtId="0" fontId="2" fillId="0" borderId="0"/>
    <xf numFmtId="44" fontId="2" fillId="0" borderId="0" applyFont="0" applyFill="0" applyBorder="0" applyAlignment="0" applyProtection="0"/>
  </cellStyleXfs>
  <cellXfs count="180">
    <xf numFmtId="0" fontId="0" fillId="0" borderId="0" xfId="0"/>
    <xf numFmtId="0" fontId="5" fillId="0" borderId="0" xfId="3" applyFont="1"/>
    <xf numFmtId="0" fontId="4" fillId="0" borderId="0" xfId="3" applyFont="1"/>
    <xf numFmtId="0" fontId="7" fillId="0" borderId="0" xfId="3" applyFont="1"/>
    <xf numFmtId="0" fontId="11" fillId="0" borderId="4" xfId="0" applyFont="1" applyBorder="1" applyAlignment="1">
      <alignment horizontal="left" vertical="top"/>
    </xf>
    <xf numFmtId="44" fontId="10" fillId="0" borderId="4" xfId="2" applyFont="1" applyBorder="1" applyAlignment="1">
      <alignment vertical="top"/>
    </xf>
    <xf numFmtId="0" fontId="12" fillId="0" borderId="4" xfId="0" applyFont="1" applyBorder="1" applyAlignment="1">
      <alignment horizontal="left" vertical="top"/>
    </xf>
    <xf numFmtId="0" fontId="7" fillId="0" borderId="0" xfId="0" applyFont="1" applyAlignment="1">
      <alignment vertical="top"/>
    </xf>
    <xf numFmtId="43" fontId="4" fillId="0" borderId="0" xfId="1" applyFont="1" applyBorder="1"/>
    <xf numFmtId="6" fontId="4" fillId="0" borderId="0" xfId="1" applyNumberFormat="1" applyFont="1" applyFill="1" applyBorder="1" applyAlignment="1">
      <alignment horizontal="right"/>
    </xf>
    <xf numFmtId="164" fontId="4" fillId="0" borderId="0" xfId="3" applyNumberFormat="1" applyFont="1" applyAlignment="1">
      <alignment horizontal="right"/>
    </xf>
    <xf numFmtId="165" fontId="0" fillId="0" borderId="0" xfId="0" applyNumberFormat="1"/>
    <xf numFmtId="0" fontId="3" fillId="0" borderId="2" xfId="3" applyFont="1" applyBorder="1" applyAlignment="1">
      <alignment horizontal="right" wrapText="1"/>
    </xf>
    <xf numFmtId="44" fontId="3" fillId="0" borderId="2" xfId="2" applyFont="1" applyFill="1" applyBorder="1" applyAlignment="1">
      <alignment horizontal="center" wrapText="1"/>
    </xf>
    <xf numFmtId="9" fontId="3" fillId="0" borderId="7" xfId="3" applyNumberFormat="1" applyFont="1" applyBorder="1"/>
    <xf numFmtId="0" fontId="3" fillId="0" borderId="2" xfId="3" applyFont="1" applyBorder="1" applyAlignment="1">
      <alignment horizontal="center" wrapText="1"/>
    </xf>
    <xf numFmtId="168" fontId="3" fillId="0" borderId="6" xfId="0" applyNumberFormat="1" applyFont="1" applyBorder="1"/>
    <xf numFmtId="5" fontId="13" fillId="0" borderId="0" xfId="1" applyNumberFormat="1" applyFont="1" applyBorder="1" applyAlignment="1">
      <alignment horizontal="center"/>
    </xf>
    <xf numFmtId="0" fontId="4" fillId="0" borderId="0" xfId="3" applyFont="1" applyAlignment="1">
      <alignment horizontal="right"/>
    </xf>
    <xf numFmtId="5" fontId="13" fillId="0" borderId="12" xfId="1" applyNumberFormat="1" applyFont="1" applyBorder="1" applyAlignment="1">
      <alignment horizontal="center"/>
    </xf>
    <xf numFmtId="6" fontId="3" fillId="0" borderId="6" xfId="1" applyNumberFormat="1" applyFont="1" applyFill="1" applyBorder="1" applyAlignment="1">
      <alignment horizontal="right"/>
    </xf>
    <xf numFmtId="6" fontId="4" fillId="0" borderId="0" xfId="1" applyNumberFormat="1" applyFont="1" applyFill="1" applyBorder="1" applyAlignment="1"/>
    <xf numFmtId="0" fontId="3" fillId="0" borderId="6" xfId="3" applyFont="1" applyBorder="1"/>
    <xf numFmtId="6" fontId="3" fillId="0" borderId="0" xfId="1" applyNumberFormat="1" applyFont="1" applyFill="1" applyBorder="1"/>
    <xf numFmtId="43" fontId="3" fillId="0" borderId="0" xfId="1" applyFont="1" applyBorder="1"/>
    <xf numFmtId="0" fontId="3" fillId="0" borderId="0" xfId="0" applyFont="1"/>
    <xf numFmtId="0" fontId="3" fillId="0" borderId="0" xfId="3" applyFont="1"/>
    <xf numFmtId="3" fontId="3" fillId="0" borderId="0" xfId="0" applyNumberFormat="1" applyFont="1"/>
    <xf numFmtId="165" fontId="3" fillId="0" borderId="0" xfId="0" applyNumberFormat="1" applyFont="1"/>
    <xf numFmtId="0" fontId="3" fillId="0" borderId="0" xfId="3" applyFont="1" applyAlignment="1">
      <alignment wrapText="1"/>
    </xf>
    <xf numFmtId="168" fontId="3" fillId="0" borderId="0" xfId="3" applyNumberFormat="1" applyFont="1"/>
    <xf numFmtId="168" fontId="4" fillId="0" borderId="0" xfId="3" applyNumberFormat="1" applyFont="1"/>
    <xf numFmtId="43" fontId="4" fillId="0" borderId="0" xfId="3" applyNumberFormat="1" applyFont="1"/>
    <xf numFmtId="0" fontId="0" fillId="0" borderId="0" xfId="0" applyAlignment="1">
      <alignment horizontal="right"/>
    </xf>
    <xf numFmtId="169" fontId="14" fillId="0" borderId="0" xfId="2" applyNumberFormat="1" applyFont="1" applyBorder="1" applyAlignment="1">
      <alignment horizontal="center"/>
    </xf>
    <xf numFmtId="169" fontId="1" fillId="0" borderId="0" xfId="2" applyNumberFormat="1" applyFont="1" applyBorder="1" applyAlignment="1">
      <alignment horizontal="center"/>
    </xf>
    <xf numFmtId="169" fontId="15" fillId="0" borderId="0" xfId="2" applyNumberFormat="1" applyFont="1" applyBorder="1" applyAlignment="1">
      <alignment horizontal="center"/>
    </xf>
    <xf numFmtId="0" fontId="16" fillId="0" borderId="0" xfId="0" applyFont="1" applyAlignment="1">
      <alignment horizontal="right"/>
    </xf>
    <xf numFmtId="169" fontId="16" fillId="0" borderId="0" xfId="2" applyNumberFormat="1" applyFont="1" applyBorder="1" applyAlignment="1">
      <alignment horizontal="center"/>
    </xf>
    <xf numFmtId="169" fontId="17" fillId="0" borderId="0" xfId="2" applyNumberFormat="1" applyFont="1" applyBorder="1" applyAlignment="1">
      <alignment horizontal="center"/>
    </xf>
    <xf numFmtId="169" fontId="14" fillId="0" borderId="0" xfId="0" applyNumberFormat="1" applyFont="1" applyAlignment="1">
      <alignment horizontal="center"/>
    </xf>
    <xf numFmtId="6" fontId="4" fillId="0" borderId="0" xfId="3" applyNumberFormat="1" applyFont="1"/>
    <xf numFmtId="43" fontId="3" fillId="0" borderId="6" xfId="1" applyFont="1" applyBorder="1"/>
    <xf numFmtId="165" fontId="4" fillId="0" borderId="0" xfId="2" applyNumberFormat="1" applyFont="1" applyFill="1" applyBorder="1"/>
    <xf numFmtId="9" fontId="4" fillId="0" borderId="0" xfId="2" applyNumberFormat="1" applyFont="1" applyFill="1" applyBorder="1"/>
    <xf numFmtId="9" fontId="4" fillId="0" borderId="0" xfId="0" applyNumberFormat="1" applyFont="1"/>
    <xf numFmtId="0" fontId="3" fillId="0" borderId="0" xfId="3" applyFont="1" applyAlignment="1">
      <alignment horizontal="right"/>
    </xf>
    <xf numFmtId="0" fontId="3" fillId="0" borderId="2" xfId="3" applyFont="1" applyBorder="1" applyAlignment="1">
      <alignment wrapText="1"/>
    </xf>
    <xf numFmtId="6" fontId="3" fillId="0" borderId="8" xfId="1" applyNumberFormat="1" applyFont="1" applyFill="1" applyBorder="1" applyAlignment="1">
      <alignment horizontal="right"/>
    </xf>
    <xf numFmtId="6" fontId="3" fillId="0" borderId="1" xfId="1" applyNumberFormat="1" applyFont="1" applyFill="1" applyBorder="1" applyAlignment="1">
      <alignment horizontal="right"/>
    </xf>
    <xf numFmtId="0" fontId="3" fillId="0" borderId="1" xfId="3" applyFont="1" applyBorder="1"/>
    <xf numFmtId="9" fontId="3" fillId="0" borderId="1" xfId="3" applyNumberFormat="1" applyFont="1" applyBorder="1" applyAlignment="1">
      <alignment horizontal="right"/>
    </xf>
    <xf numFmtId="9" fontId="3" fillId="0" borderId="8" xfId="3" applyNumberFormat="1" applyFont="1" applyBorder="1"/>
    <xf numFmtId="0" fontId="3" fillId="0" borderId="8" xfId="3" applyFont="1" applyBorder="1"/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right"/>
    </xf>
    <xf numFmtId="0" fontId="18" fillId="0" borderId="10" xfId="0" applyFont="1" applyBorder="1" applyAlignment="1">
      <alignment horizontal="left"/>
    </xf>
    <xf numFmtId="0" fontId="19" fillId="0" borderId="10" xfId="0" applyFont="1" applyBorder="1"/>
    <xf numFmtId="0" fontId="18" fillId="0" borderId="10" xfId="0" applyFont="1" applyBorder="1" applyAlignment="1">
      <alignment horizontal="right"/>
    </xf>
    <xf numFmtId="165" fontId="18" fillId="0" borderId="10" xfId="0" applyNumberFormat="1" applyFont="1" applyBorder="1"/>
    <xf numFmtId="0" fontId="20" fillId="0" borderId="0" xfId="0" applyFont="1"/>
    <xf numFmtId="165" fontId="18" fillId="0" borderId="0" xfId="0" applyNumberFormat="1" applyFont="1"/>
    <xf numFmtId="165" fontId="18" fillId="2" borderId="0" xfId="0" applyNumberFormat="1" applyFont="1" applyFill="1" applyAlignment="1">
      <alignment horizontal="right"/>
    </xf>
    <xf numFmtId="165" fontId="18" fillId="2" borderId="2" xfId="0" applyNumberFormat="1" applyFont="1" applyFill="1" applyBorder="1" applyAlignment="1">
      <alignment horizontal="right"/>
    </xf>
    <xf numFmtId="0" fontId="18" fillId="0" borderId="0" xfId="3" applyFont="1"/>
    <xf numFmtId="0" fontId="19" fillId="0" borderId="0" xfId="0" applyFont="1" applyAlignment="1">
      <alignment horizontal="right"/>
    </xf>
    <xf numFmtId="166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49" fontId="19" fillId="0" borderId="0" xfId="0" applyNumberFormat="1" applyFont="1" applyAlignment="1">
      <alignment horizontal="center"/>
    </xf>
    <xf numFmtId="166" fontId="19" fillId="0" borderId="0" xfId="0" applyNumberFormat="1" applyFont="1"/>
    <xf numFmtId="14" fontId="19" fillId="0" borderId="0" xfId="0" applyNumberFormat="1" applyFont="1"/>
    <xf numFmtId="165" fontId="19" fillId="0" borderId="0" xfId="0" applyNumberFormat="1" applyFont="1"/>
    <xf numFmtId="165" fontId="19" fillId="0" borderId="0" xfId="2" applyNumberFormat="1" applyFont="1" applyBorder="1"/>
    <xf numFmtId="167" fontId="19" fillId="0" borderId="0" xfId="2" applyNumberFormat="1" applyFont="1" applyBorder="1"/>
    <xf numFmtId="165" fontId="19" fillId="0" borderId="2" xfId="0" applyNumberFormat="1" applyFont="1" applyBorder="1"/>
    <xf numFmtId="165" fontId="19" fillId="0" borderId="2" xfId="2" applyNumberFormat="1" applyFont="1" applyBorder="1"/>
    <xf numFmtId="167" fontId="19" fillId="0" borderId="2" xfId="2" applyNumberFormat="1" applyFont="1" applyBorder="1"/>
    <xf numFmtId="14" fontId="19" fillId="0" borderId="0" xfId="0" applyNumberFormat="1" applyFont="1" applyAlignment="1">
      <alignment horizontal="right"/>
    </xf>
    <xf numFmtId="167" fontId="18" fillId="0" borderId="0" xfId="2" applyNumberFormat="1" applyFont="1" applyBorder="1"/>
    <xf numFmtId="165" fontId="18" fillId="0" borderId="0" xfId="2" applyNumberFormat="1" applyFont="1" applyBorder="1"/>
    <xf numFmtId="165" fontId="18" fillId="0" borderId="0" xfId="2" applyNumberFormat="1" applyFont="1" applyBorder="1" applyAlignment="1">
      <alignment horizontal="right"/>
    </xf>
    <xf numFmtId="9" fontId="19" fillId="0" borderId="0" xfId="4" applyFont="1" applyBorder="1"/>
    <xf numFmtId="0" fontId="19" fillId="0" borderId="0" xfId="0" quotePrefix="1" applyFont="1" applyAlignment="1">
      <alignment horizontal="center"/>
    </xf>
    <xf numFmtId="9" fontId="19" fillId="0" borderId="0" xfId="4" applyFont="1" applyFill="1" applyBorder="1"/>
    <xf numFmtId="9" fontId="18" fillId="3" borderId="0" xfId="0" applyNumberFormat="1" applyFont="1" applyFill="1"/>
    <xf numFmtId="0" fontId="11" fillId="0" borderId="0" xfId="3" applyFont="1" applyAlignment="1">
      <alignment horizontal="right"/>
    </xf>
    <xf numFmtId="0" fontId="11" fillId="0" borderId="0" xfId="3" applyFont="1" applyAlignment="1">
      <alignment horizontal="center" wrapText="1"/>
    </xf>
    <xf numFmtId="5" fontId="11" fillId="0" borderId="0" xfId="1" applyNumberFormat="1" applyFont="1" applyBorder="1" applyAlignment="1">
      <alignment horizontal="center"/>
    </xf>
    <xf numFmtId="0" fontId="11" fillId="0" borderId="0" xfId="3" applyFont="1"/>
    <xf numFmtId="0" fontId="3" fillId="0" borderId="0" xfId="3" applyFont="1" applyAlignment="1">
      <alignment horizontal="center" wrapText="1"/>
    </xf>
    <xf numFmtId="0" fontId="3" fillId="0" borderId="0" xfId="3" applyFont="1" applyAlignment="1">
      <alignment horizontal="center" vertical="top"/>
    </xf>
    <xf numFmtId="5" fontId="3" fillId="0" borderId="0" xfId="1" applyNumberFormat="1" applyFont="1" applyBorder="1" applyAlignment="1">
      <alignment horizontal="center"/>
    </xf>
    <xf numFmtId="0" fontId="3" fillId="0" borderId="2" xfId="3" applyFont="1" applyBorder="1"/>
    <xf numFmtId="0" fontId="3" fillId="0" borderId="5" xfId="3" applyFont="1" applyBorder="1"/>
    <xf numFmtId="0" fontId="3" fillId="0" borderId="1" xfId="0" applyFont="1" applyBorder="1" applyAlignment="1">
      <alignment horizontal="left" vertical="top"/>
    </xf>
    <xf numFmtId="0" fontId="3" fillId="0" borderId="2" xfId="3" applyFont="1" applyBorder="1" applyAlignment="1">
      <alignment horizontal="right"/>
    </xf>
    <xf numFmtId="0" fontId="3" fillId="0" borderId="3" xfId="3" applyFont="1" applyBorder="1" applyAlignment="1">
      <alignment horizontal="center"/>
    </xf>
    <xf numFmtId="44" fontId="3" fillId="0" borderId="4" xfId="2" applyFont="1" applyFill="1" applyBorder="1" applyAlignment="1">
      <alignment horizontal="center" vertical="top"/>
    </xf>
    <xf numFmtId="0" fontId="3" fillId="0" borderId="4" xfId="3" applyFont="1" applyBorder="1"/>
    <xf numFmtId="6" fontId="3" fillId="0" borderId="6" xfId="1" applyNumberFormat="1" applyFont="1" applyFill="1" applyBorder="1"/>
    <xf numFmtId="9" fontId="3" fillId="0" borderId="6" xfId="1" applyNumberFormat="1" applyFont="1" applyFill="1" applyBorder="1" applyAlignment="1">
      <alignment horizontal="right"/>
    </xf>
    <xf numFmtId="6" fontId="3" fillId="0" borderId="1" xfId="1" applyNumberFormat="1" applyFont="1" applyFill="1" applyBorder="1"/>
    <xf numFmtId="9" fontId="3" fillId="0" borderId="8" xfId="1" applyNumberFormat="1" applyFont="1" applyFill="1" applyBorder="1" applyAlignment="1">
      <alignment horizontal="right"/>
    </xf>
    <xf numFmtId="9" fontId="3" fillId="0" borderId="3" xfId="3" applyNumberFormat="1" applyFont="1" applyBorder="1"/>
    <xf numFmtId="43" fontId="3" fillId="0" borderId="8" xfId="1" applyFont="1" applyBorder="1"/>
    <xf numFmtId="9" fontId="3" fillId="0" borderId="0" xfId="1" applyNumberFormat="1" applyFont="1" applyFill="1" applyBorder="1" applyAlignment="1">
      <alignment horizontal="right"/>
    </xf>
    <xf numFmtId="9" fontId="3" fillId="0" borderId="0" xfId="3" applyNumberFormat="1" applyFont="1"/>
    <xf numFmtId="165" fontId="3" fillId="0" borderId="0" xfId="3" applyNumberFormat="1" applyFont="1"/>
    <xf numFmtId="0" fontId="3" fillId="0" borderId="0" xfId="3" applyFont="1" applyAlignment="1">
      <alignment horizontal="left"/>
    </xf>
    <xf numFmtId="43" fontId="3" fillId="0" borderId="4" xfId="1" applyFont="1" applyFill="1" applyBorder="1"/>
    <xf numFmtId="43" fontId="3" fillId="0" borderId="9" xfId="1" applyFont="1" applyFill="1" applyBorder="1" applyAlignment="1"/>
    <xf numFmtId="9" fontId="3" fillId="0" borderId="4" xfId="3" applyNumberFormat="1" applyFont="1" applyBorder="1"/>
    <xf numFmtId="9" fontId="3" fillId="0" borderId="5" xfId="3" applyNumberFormat="1" applyFont="1" applyBorder="1"/>
    <xf numFmtId="0" fontId="3" fillId="0" borderId="6" xfId="2" applyNumberFormat="1" applyFont="1" applyFill="1" applyBorder="1" applyAlignment="1">
      <alignment horizontal="center" vertical="top"/>
    </xf>
    <xf numFmtId="6" fontId="3" fillId="0" borderId="7" xfId="1" applyNumberFormat="1" applyFont="1" applyFill="1" applyBorder="1" applyAlignment="1">
      <alignment horizontal="right"/>
    </xf>
    <xf numFmtId="6" fontId="3" fillId="0" borderId="0" xfId="1" applyNumberFormat="1" applyFont="1" applyFill="1" applyBorder="1" applyAlignment="1">
      <alignment horizontal="right"/>
    </xf>
    <xf numFmtId="168" fontId="3" fillId="0" borderId="6" xfId="3" applyNumberFormat="1" applyFont="1" applyBorder="1"/>
    <xf numFmtId="43" fontId="3" fillId="0" borderId="0" xfId="1" applyFont="1" applyFill="1" applyBorder="1"/>
    <xf numFmtId="6" fontId="3" fillId="0" borderId="0" xfId="3" applyNumberFormat="1" applyFont="1"/>
    <xf numFmtId="8" fontId="3" fillId="0" borderId="0" xfId="3" applyNumberFormat="1" applyFont="1"/>
    <xf numFmtId="14" fontId="3" fillId="0" borderId="0" xfId="3" applyNumberFormat="1" applyFont="1"/>
    <xf numFmtId="7" fontId="3" fillId="0" borderId="0" xfId="3" applyNumberFormat="1" applyFont="1"/>
    <xf numFmtId="0" fontId="3" fillId="0" borderId="0" xfId="0" applyFont="1" applyAlignment="1">
      <alignment vertical="top"/>
    </xf>
    <xf numFmtId="44" fontId="3" fillId="0" borderId="0" xfId="2" applyFont="1" applyFill="1" applyAlignment="1">
      <alignment vertical="top"/>
    </xf>
    <xf numFmtId="167" fontId="3" fillId="0" borderId="0" xfId="2" applyNumberFormat="1" applyFont="1" applyBorder="1"/>
    <xf numFmtId="10" fontId="18" fillId="0" borderId="0" xfId="2" applyNumberFormat="1" applyFont="1" applyBorder="1"/>
    <xf numFmtId="44" fontId="0" fillId="0" borderId="0" xfId="2" applyFont="1"/>
    <xf numFmtId="14" fontId="0" fillId="0" borderId="0" xfId="0" applyNumberFormat="1"/>
    <xf numFmtId="0" fontId="0" fillId="0" borderId="0" xfId="0" applyAlignment="1">
      <alignment wrapText="1"/>
    </xf>
    <xf numFmtId="0" fontId="0" fillId="4" borderId="0" xfId="0" applyFill="1"/>
    <xf numFmtId="44" fontId="3" fillId="0" borderId="0" xfId="2" applyFont="1"/>
    <xf numFmtId="0" fontId="22" fillId="6" borderId="0" xfId="0" applyFont="1" applyFill="1"/>
    <xf numFmtId="0" fontId="22" fillId="6" borderId="0" xfId="0" applyFont="1" applyFill="1" applyAlignment="1">
      <alignment wrapText="1"/>
    </xf>
    <xf numFmtId="44" fontId="22" fillId="6" borderId="0" xfId="2" applyFont="1" applyFill="1"/>
    <xf numFmtId="0" fontId="0" fillId="5" borderId="0" xfId="0" applyFill="1"/>
    <xf numFmtId="0" fontId="23" fillId="6" borderId="0" xfId="0" applyFont="1" applyFill="1"/>
    <xf numFmtId="0" fontId="4" fillId="5" borderId="13" xfId="0" applyFont="1" applyFill="1" applyBorder="1"/>
    <xf numFmtId="0" fontId="4" fillId="5" borderId="13" xfId="0" applyFont="1" applyFill="1" applyBorder="1" applyAlignment="1">
      <alignment wrapText="1"/>
    </xf>
    <xf numFmtId="44" fontId="4" fillId="5" borderId="13" xfId="2" applyFont="1" applyFill="1" applyBorder="1"/>
    <xf numFmtId="0" fontId="0" fillId="5" borderId="13" xfId="0" applyFill="1" applyBorder="1"/>
    <xf numFmtId="0" fontId="0" fillId="0" borderId="13" xfId="0" applyBorder="1"/>
    <xf numFmtId="0" fontId="0" fillId="0" borderId="13" xfId="0" applyBorder="1" applyAlignment="1">
      <alignment wrapText="1"/>
    </xf>
    <xf numFmtId="44" fontId="0" fillId="0" borderId="13" xfId="2" applyFont="1" applyBorder="1"/>
    <xf numFmtId="0" fontId="4" fillId="4" borderId="13" xfId="0" applyFont="1" applyFill="1" applyBorder="1"/>
    <xf numFmtId="0" fontId="4" fillId="4" borderId="13" xfId="0" applyFont="1" applyFill="1" applyBorder="1" applyAlignment="1">
      <alignment wrapText="1"/>
    </xf>
    <xf numFmtId="44" fontId="4" fillId="4" borderId="13" xfId="2" applyFont="1" applyFill="1" applyBorder="1"/>
    <xf numFmtId="0" fontId="0" fillId="4" borderId="13" xfId="0" applyFill="1" applyBorder="1"/>
    <xf numFmtId="0" fontId="22" fillId="6" borderId="13" xfId="0" applyFont="1" applyFill="1" applyBorder="1"/>
    <xf numFmtId="0" fontId="22" fillId="6" borderId="13" xfId="0" applyFont="1" applyFill="1" applyBorder="1" applyAlignment="1">
      <alignment wrapText="1"/>
    </xf>
    <xf numFmtId="44" fontId="22" fillId="6" borderId="13" xfId="2" applyFont="1" applyFill="1" applyBorder="1"/>
    <xf numFmtId="44" fontId="0" fillId="5" borderId="13" xfId="2" applyFont="1" applyFill="1" applyBorder="1"/>
    <xf numFmtId="44" fontId="0" fillId="4" borderId="13" xfId="2" applyFont="1" applyFill="1" applyBorder="1"/>
    <xf numFmtId="9" fontId="0" fillId="5" borderId="13" xfId="4" applyFont="1" applyFill="1" applyBorder="1"/>
    <xf numFmtId="9" fontId="0" fillId="4" borderId="13" xfId="4" applyFont="1" applyFill="1" applyBorder="1"/>
    <xf numFmtId="0" fontId="3" fillId="0" borderId="0" xfId="0" applyFont="1" applyAlignment="1">
      <alignment wrapText="1"/>
    </xf>
    <xf numFmtId="9" fontId="22" fillId="6" borderId="13" xfId="4" applyFont="1" applyFill="1" applyBorder="1"/>
    <xf numFmtId="44" fontId="0" fillId="0" borderId="0" xfId="2" applyFont="1" applyAlignment="1">
      <alignment wrapText="1"/>
    </xf>
    <xf numFmtId="44" fontId="22" fillId="6" borderId="0" xfId="2" applyFont="1" applyFill="1" applyAlignment="1">
      <alignment wrapText="1"/>
    </xf>
    <xf numFmtId="44" fontId="4" fillId="5" borderId="13" xfId="2" applyFont="1" applyFill="1" applyBorder="1" applyAlignment="1">
      <alignment wrapText="1"/>
    </xf>
    <xf numFmtId="44" fontId="0" fillId="0" borderId="13" xfId="2" applyFont="1" applyBorder="1" applyAlignment="1">
      <alignment wrapText="1"/>
    </xf>
    <xf numFmtId="44" fontId="4" fillId="4" borderId="13" xfId="2" applyFont="1" applyFill="1" applyBorder="1" applyAlignment="1">
      <alignment wrapText="1"/>
    </xf>
    <xf numFmtId="44" fontId="22" fillId="6" borderId="13" xfId="2" applyFont="1" applyFill="1" applyBorder="1" applyAlignment="1">
      <alignment wrapText="1"/>
    </xf>
    <xf numFmtId="9" fontId="0" fillId="0" borderId="0" xfId="4" applyFont="1"/>
    <xf numFmtId="9" fontId="0" fillId="0" borderId="13" xfId="4" applyFont="1" applyBorder="1"/>
    <xf numFmtId="0" fontId="4" fillId="0" borderId="0" xfId="0" applyFont="1"/>
    <xf numFmtId="44" fontId="0" fillId="0" borderId="0" xfId="0" applyNumberFormat="1"/>
    <xf numFmtId="9" fontId="22" fillId="6" borderId="0" xfId="4" applyFont="1" applyFill="1" applyAlignment="1">
      <alignment wrapText="1"/>
    </xf>
    <xf numFmtId="0" fontId="3" fillId="0" borderId="0" xfId="3" applyFont="1" applyAlignment="1">
      <alignment horizontal="center"/>
    </xf>
    <xf numFmtId="0" fontId="9" fillId="0" borderId="9" xfId="3" applyFont="1" applyBorder="1" applyAlignment="1">
      <alignment horizontal="center"/>
    </xf>
    <xf numFmtId="0" fontId="3" fillId="0" borderId="11" xfId="3" applyFont="1" applyBorder="1" applyAlignment="1">
      <alignment horizontal="center"/>
    </xf>
    <xf numFmtId="0" fontId="9" fillId="0" borderId="11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166" fontId="19" fillId="0" borderId="0" xfId="0" applyNumberFormat="1" applyFont="1" applyAlignment="1">
      <alignment horizontal="center"/>
    </xf>
    <xf numFmtId="0" fontId="0" fillId="0" borderId="13" xfId="0" applyBorder="1" applyAlignment="1">
      <alignment horizontal="center" wrapText="1"/>
    </xf>
    <xf numFmtId="0" fontId="0" fillId="7" borderId="11" xfId="0" applyFill="1" applyBorder="1" applyAlignment="1">
      <alignment horizontal="center"/>
    </xf>
  </cellXfs>
  <cellStyles count="10">
    <cellStyle name="Comma" xfId="1" builtinId="3"/>
    <cellStyle name="Currency" xfId="2" builtinId="4"/>
    <cellStyle name="Currency 2" xfId="6" xr:uid="{00000000-0005-0000-0000-000002000000}"/>
    <cellStyle name="Currency 2 2" xfId="9" xr:uid="{00000000-0005-0000-0000-000003000000}"/>
    <cellStyle name="Normal" xfId="0" builtinId="0"/>
    <cellStyle name="Normal 2" xfId="7" xr:uid="{00000000-0005-0000-0000-000005000000}"/>
    <cellStyle name="Normal 3" xfId="5" xr:uid="{00000000-0005-0000-0000-000006000000}"/>
    <cellStyle name="Normal 3 2" xfId="8" xr:uid="{00000000-0005-0000-0000-000007000000}"/>
    <cellStyle name="Normal_BUDGET ANALYSIS" xfId="3" xr:uid="{00000000-0005-0000-0000-000008000000}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20"/>
  <sheetViews>
    <sheetView topLeftCell="A9" zoomScaleNormal="100" workbookViewId="0">
      <selection activeCell="A44" sqref="A44"/>
    </sheetView>
  </sheetViews>
  <sheetFormatPr defaultColWidth="13.85546875" defaultRowHeight="12.4"/>
  <cols>
    <col min="1" max="1" width="34" style="3" customWidth="1"/>
    <col min="2" max="2" width="15.28515625" style="3" customWidth="1"/>
    <col min="3" max="3" width="15.5703125" style="3" customWidth="1"/>
    <col min="4" max="4" width="17.28515625" style="3" customWidth="1"/>
    <col min="5" max="5" width="14.7109375" style="3" customWidth="1"/>
    <col min="6" max="6" width="14.85546875" style="3" customWidth="1"/>
    <col min="7" max="7" width="39.7109375" style="3" customWidth="1"/>
    <col min="8" max="8" width="15.7109375" style="3" customWidth="1"/>
    <col min="9" max="9" width="28.7109375" style="3" customWidth="1"/>
    <col min="10" max="10" width="16.140625" style="3" customWidth="1"/>
    <col min="11" max="11" width="14.28515625" style="3" customWidth="1"/>
    <col min="12" max="12" width="14.28515625" style="3" bestFit="1" customWidth="1"/>
    <col min="13" max="13" width="14.140625" style="3" bestFit="1" customWidth="1"/>
    <col min="14" max="14" width="14.28515625" style="3" bestFit="1" customWidth="1"/>
    <col min="15" max="15" width="16.28515625" style="3" bestFit="1" customWidth="1"/>
    <col min="16" max="16384" width="13.85546875" style="3"/>
  </cols>
  <sheetData>
    <row r="1" spans="1:18" ht="15.4">
      <c r="A1" s="1" t="s">
        <v>0</v>
      </c>
      <c r="B1" s="2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4.65">
      <c r="A2" s="26"/>
      <c r="B2" s="26"/>
      <c r="C2" s="26"/>
      <c r="D2" s="26"/>
      <c r="E2" s="26"/>
      <c r="F2" s="26"/>
      <c r="G2" s="26"/>
      <c r="H2" s="170"/>
      <c r="I2" s="33"/>
      <c r="J2" s="34"/>
      <c r="K2" s="26"/>
      <c r="L2" s="26"/>
      <c r="M2" s="26"/>
      <c r="N2" s="26"/>
      <c r="O2" s="26"/>
      <c r="P2" s="26"/>
      <c r="Q2" s="26"/>
      <c r="R2" s="26"/>
    </row>
    <row r="3" spans="1:18" ht="13.5" customHeight="1">
      <c r="A3" s="176" t="s">
        <v>1</v>
      </c>
      <c r="B3" s="176"/>
      <c r="C3" s="176"/>
      <c r="D3" s="176"/>
      <c r="E3" s="91"/>
      <c r="F3" s="91"/>
      <c r="G3" s="91"/>
      <c r="H3" s="170"/>
      <c r="I3" s="33"/>
      <c r="J3" s="34"/>
      <c r="K3" s="26"/>
      <c r="L3" s="26"/>
      <c r="M3" s="26"/>
      <c r="N3" s="26"/>
      <c r="O3" s="26"/>
      <c r="P3" s="26"/>
      <c r="Q3" s="26"/>
      <c r="R3" s="26"/>
    </row>
    <row r="4" spans="1:18" ht="13.5" customHeight="1">
      <c r="A4" s="88" t="s">
        <v>2</v>
      </c>
      <c r="B4" s="89">
        <v>2025</v>
      </c>
      <c r="C4" s="89">
        <v>2026</v>
      </c>
      <c r="D4" s="90" t="s">
        <v>3</v>
      </c>
      <c r="E4" s="26"/>
      <c r="F4" s="33"/>
      <c r="G4" s="34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3.5" customHeight="1">
      <c r="A5" s="18" t="s">
        <v>4</v>
      </c>
      <c r="B5" s="17">
        <v>1131000</v>
      </c>
      <c r="C5" s="17">
        <v>0</v>
      </c>
      <c r="D5" s="17">
        <f>SUM(B5:C5)</f>
        <v>1131000</v>
      </c>
      <c r="E5" s="26"/>
      <c r="F5" s="33"/>
      <c r="G5" s="34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13.5" customHeight="1" thickBot="1">
      <c r="A6" s="18" t="s">
        <v>5</v>
      </c>
      <c r="B6" s="19">
        <v>0</v>
      </c>
      <c r="C6" s="19">
        <v>0</v>
      </c>
      <c r="D6" s="19">
        <f>SUM(B6:C6)</f>
        <v>0</v>
      </c>
      <c r="E6" s="26"/>
      <c r="F6" s="33"/>
      <c r="G6" s="34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18" ht="13.5" customHeight="1">
      <c r="A7" s="10" t="s">
        <v>6</v>
      </c>
      <c r="B7" s="17">
        <f>SUM(B5:B6)</f>
        <v>1131000</v>
      </c>
      <c r="C7" s="17">
        <f>SUM(C5:C6)</f>
        <v>0</v>
      </c>
      <c r="D7" s="17">
        <f>SUM(B7:C7)</f>
        <v>1131000</v>
      </c>
      <c r="E7" s="26"/>
      <c r="F7" s="33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spans="1:18" ht="13.5" customHeight="1">
      <c r="A8" s="46"/>
      <c r="B8" s="92"/>
      <c r="C8" s="92"/>
      <c r="D8" s="170"/>
      <c r="E8" s="93"/>
      <c r="F8" s="93"/>
      <c r="G8" s="94"/>
      <c r="H8" s="26"/>
      <c r="I8" s="33"/>
      <c r="J8" s="34"/>
      <c r="K8" s="26"/>
      <c r="L8" s="26"/>
      <c r="M8" s="26"/>
      <c r="N8" s="26"/>
      <c r="O8" s="26"/>
      <c r="P8" s="26"/>
      <c r="Q8" s="26"/>
      <c r="R8" s="26"/>
    </row>
    <row r="9" spans="1:18" ht="13.5" customHeight="1">
      <c r="A9" s="174" t="s">
        <v>7</v>
      </c>
      <c r="B9" s="175"/>
      <c r="C9" s="175"/>
      <c r="D9" s="175"/>
      <c r="E9" s="175"/>
      <c r="F9" s="175"/>
      <c r="G9" s="95"/>
      <c r="H9" s="2"/>
      <c r="I9" s="33"/>
      <c r="J9" s="35"/>
      <c r="K9" s="26"/>
      <c r="L9" s="26"/>
      <c r="M9" s="26"/>
      <c r="N9" s="26"/>
      <c r="O9" s="26"/>
      <c r="P9" s="26"/>
      <c r="Q9" s="26"/>
      <c r="R9" s="26"/>
    </row>
    <row r="10" spans="1:18" ht="13.5" customHeight="1">
      <c r="A10" s="171" t="s">
        <v>8</v>
      </c>
      <c r="B10" s="172"/>
      <c r="C10" s="172"/>
      <c r="D10" s="172"/>
      <c r="E10" s="172"/>
      <c r="F10" s="172"/>
      <c r="G10" s="96"/>
      <c r="H10" s="26"/>
      <c r="I10" s="33"/>
      <c r="J10" s="40"/>
      <c r="K10" s="26"/>
      <c r="L10" s="26"/>
      <c r="M10" s="26"/>
      <c r="N10" s="26"/>
      <c r="O10" s="26"/>
      <c r="P10" s="26"/>
      <c r="Q10" s="26"/>
      <c r="R10" s="26"/>
    </row>
    <row r="11" spans="1:18" ht="13.5" customHeight="1">
      <c r="A11" s="97"/>
      <c r="B11" s="13" t="s">
        <v>9</v>
      </c>
      <c r="C11" s="98" t="s">
        <v>10</v>
      </c>
      <c r="D11" s="12" t="s">
        <v>11</v>
      </c>
      <c r="E11" s="12" t="s">
        <v>12</v>
      </c>
      <c r="F11" s="15" t="s">
        <v>13</v>
      </c>
      <c r="G11" s="99" t="s">
        <v>14</v>
      </c>
      <c r="H11" s="26"/>
      <c r="I11" s="37"/>
      <c r="J11" s="38"/>
      <c r="K11" s="26"/>
      <c r="L11" s="26"/>
      <c r="M11" s="26"/>
      <c r="N11" s="26"/>
      <c r="O11" s="26"/>
      <c r="P11" s="26"/>
      <c r="Q11" s="26"/>
      <c r="R11" s="26"/>
    </row>
    <row r="12" spans="1:18" ht="13.5" customHeight="1">
      <c r="A12" s="4"/>
      <c r="B12" s="5"/>
      <c r="C12" s="100"/>
      <c r="D12" s="100"/>
      <c r="E12" s="101"/>
      <c r="F12" s="96"/>
      <c r="G12" s="22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ht="13.5" customHeight="1">
      <c r="A13" s="22" t="s">
        <v>15</v>
      </c>
      <c r="B13" s="20">
        <v>1121071.48</v>
      </c>
      <c r="C13" s="20">
        <f>DEa!J38</f>
        <v>76569.37</v>
      </c>
      <c r="D13" s="102">
        <f t="shared" ref="D13:D18" si="0">B13-C13</f>
        <v>1044502.11</v>
      </c>
      <c r="E13" s="103">
        <f t="shared" ref="E13:E16" si="1">C13/B13</f>
        <v>6.830016762178269E-2</v>
      </c>
      <c r="F13" s="103">
        <v>0.85</v>
      </c>
      <c r="G13" s="22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13.5" customHeight="1">
      <c r="A14" s="22" t="s">
        <v>16</v>
      </c>
      <c r="B14" s="20" t="e">
        <f>#REF!</f>
        <v>#REF!</v>
      </c>
      <c r="C14" s="20" t="e">
        <f>#REF!</f>
        <v>#REF!</v>
      </c>
      <c r="D14" s="102" t="e">
        <f t="shared" si="0"/>
        <v>#REF!</v>
      </c>
      <c r="E14" s="103" t="e">
        <f t="shared" si="1"/>
        <v>#REF!</v>
      </c>
      <c r="F14" s="103" t="e">
        <f>#REF!</f>
        <v>#REF!</v>
      </c>
      <c r="G14" s="42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ht="13.5" customHeight="1">
      <c r="A15" s="22" t="s">
        <v>17</v>
      </c>
      <c r="B15" s="20">
        <v>0</v>
      </c>
      <c r="C15" s="20" t="e">
        <f>#REF!</f>
        <v>#REF!</v>
      </c>
      <c r="D15" s="102" t="e">
        <f t="shared" si="0"/>
        <v>#REF!</v>
      </c>
      <c r="E15" s="103" t="e">
        <f t="shared" si="1"/>
        <v>#REF!</v>
      </c>
      <c r="F15" s="14">
        <v>0</v>
      </c>
      <c r="G15" s="42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13.5" customHeight="1">
      <c r="A16" s="22" t="s">
        <v>18</v>
      </c>
      <c r="B16" s="20">
        <v>0</v>
      </c>
      <c r="C16" s="20" t="e">
        <f>#REF!</f>
        <v>#REF!</v>
      </c>
      <c r="D16" s="102" t="e">
        <f t="shared" si="0"/>
        <v>#REF!</v>
      </c>
      <c r="E16" s="103" t="e">
        <f t="shared" si="1"/>
        <v>#REF!</v>
      </c>
      <c r="F16" s="14">
        <v>0</v>
      </c>
      <c r="G16" s="42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13.5" customHeight="1">
      <c r="A17" s="22"/>
      <c r="B17" s="20"/>
      <c r="C17" s="20"/>
      <c r="D17" s="102"/>
      <c r="E17" s="103"/>
      <c r="F17" s="14"/>
      <c r="G17" s="42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13.5" customHeight="1">
      <c r="A18" s="47" t="s">
        <v>19</v>
      </c>
      <c r="B18" s="48" t="e">
        <f>SUM(B13,B14,B15,B16)</f>
        <v>#REF!</v>
      </c>
      <c r="C18" s="49" t="e">
        <f>SUM(C13,C14,C15,C16)</f>
        <v>#REF!</v>
      </c>
      <c r="D18" s="104" t="e">
        <f t="shared" si="0"/>
        <v>#REF!</v>
      </c>
      <c r="E18" s="105" t="e">
        <f>C18/B18</f>
        <v>#REF!</v>
      </c>
      <c r="F18" s="106"/>
      <c r="G18" s="107"/>
      <c r="H18" s="26"/>
      <c r="I18" s="26"/>
      <c r="J18" s="26"/>
      <c r="K18" s="35"/>
      <c r="L18" s="36"/>
      <c r="M18" s="26"/>
      <c r="N18" s="26"/>
      <c r="O18" s="26"/>
      <c r="P18" s="26"/>
      <c r="Q18" s="26"/>
      <c r="R18" s="26"/>
    </row>
    <row r="19" spans="1:18" ht="12.75" customHeight="1">
      <c r="A19" s="29"/>
      <c r="B19" s="23"/>
      <c r="C19" s="23"/>
      <c r="D19" s="23"/>
      <c r="E19" s="108"/>
      <c r="F19" s="109"/>
      <c r="G19" s="24"/>
      <c r="H19" s="26"/>
      <c r="I19" s="30"/>
      <c r="J19" s="30"/>
      <c r="K19" s="38"/>
      <c r="L19" s="39"/>
      <c r="M19" s="29"/>
      <c r="N19" s="29"/>
      <c r="O19" s="29"/>
      <c r="P19" s="29"/>
      <c r="Q19" s="29"/>
      <c r="R19" s="26"/>
    </row>
    <row r="20" spans="1:18">
      <c r="A20" s="29"/>
      <c r="B20" s="23"/>
      <c r="C20" s="18" t="s">
        <v>20</v>
      </c>
      <c r="D20" s="21" t="e">
        <f>(B7)-(C18+D18)</f>
        <v>#REF!</v>
      </c>
      <c r="E20" s="108"/>
      <c r="F20" s="109"/>
      <c r="G20" s="24"/>
      <c r="H20" s="26"/>
      <c r="I20" s="30"/>
      <c r="J20" s="30"/>
      <c r="K20" s="110"/>
      <c r="L20" s="26"/>
      <c r="M20" s="26"/>
      <c r="N20" s="30"/>
      <c r="O20" s="30"/>
      <c r="P20" s="30"/>
      <c r="Q20" s="26"/>
      <c r="R20" s="26"/>
    </row>
    <row r="21" spans="1:18">
      <c r="A21" s="26"/>
      <c r="B21" s="26"/>
      <c r="C21" s="26"/>
      <c r="D21" s="26"/>
      <c r="E21" s="26"/>
      <c r="F21" s="26"/>
      <c r="G21" s="95"/>
      <c r="H21" s="26"/>
      <c r="I21" s="30"/>
      <c r="J21" s="30"/>
      <c r="K21" s="110"/>
      <c r="L21" s="26"/>
      <c r="M21" s="26"/>
      <c r="N21" s="30"/>
      <c r="O21" s="30"/>
      <c r="P21" s="30"/>
      <c r="Q21" s="26"/>
      <c r="R21" s="26"/>
    </row>
    <row r="22" spans="1:18">
      <c r="A22" s="26"/>
      <c r="B22" s="26"/>
      <c r="C22" s="18"/>
      <c r="D22" s="21"/>
      <c r="E22" s="111"/>
      <c r="F22" s="111"/>
      <c r="G22" s="95"/>
      <c r="H22" s="2"/>
      <c r="I22" s="31"/>
      <c r="J22" s="31"/>
      <c r="K22" s="110"/>
      <c r="L22" s="26"/>
      <c r="M22" s="26"/>
      <c r="N22" s="30"/>
      <c r="O22" s="30"/>
      <c r="P22" s="30"/>
      <c r="Q22" s="26"/>
      <c r="R22" s="26"/>
    </row>
    <row r="23" spans="1:18">
      <c r="A23" s="171" t="s">
        <v>21</v>
      </c>
      <c r="B23" s="173"/>
      <c r="C23" s="173"/>
      <c r="D23" s="173"/>
      <c r="E23" s="173"/>
      <c r="F23" s="173"/>
      <c r="G23" s="96"/>
      <c r="H23" s="26"/>
      <c r="I23" s="109"/>
      <c r="J23" s="109"/>
      <c r="K23" s="110"/>
      <c r="L23" s="26"/>
      <c r="M23" s="26"/>
      <c r="N23" s="30"/>
      <c r="O23" s="30"/>
      <c r="P23" s="30"/>
      <c r="Q23" s="26"/>
      <c r="R23" s="26"/>
    </row>
    <row r="24" spans="1:18" ht="24.95">
      <c r="A24" s="97"/>
      <c r="B24" s="13" t="s">
        <v>9</v>
      </c>
      <c r="C24" s="98" t="s">
        <v>10</v>
      </c>
      <c r="D24" s="12" t="s">
        <v>11</v>
      </c>
      <c r="E24" s="12" t="s">
        <v>12</v>
      </c>
      <c r="F24" s="15" t="s">
        <v>13</v>
      </c>
      <c r="G24" s="99" t="s">
        <v>14</v>
      </c>
      <c r="H24" s="26"/>
      <c r="I24" s="109"/>
      <c r="J24" s="109"/>
      <c r="K24" s="110"/>
      <c r="L24" s="26"/>
      <c r="M24" s="26"/>
      <c r="N24" s="30"/>
      <c r="O24" s="30"/>
      <c r="P24" s="30"/>
      <c r="Q24" s="26"/>
      <c r="R24" s="26"/>
    </row>
    <row r="25" spans="1:18">
      <c r="A25" s="4"/>
      <c r="B25" s="6"/>
      <c r="C25" s="112"/>
      <c r="D25" s="113"/>
      <c r="E25" s="114"/>
      <c r="F25" s="115"/>
      <c r="G25" s="116"/>
      <c r="H25" s="26"/>
      <c r="I25" s="109"/>
      <c r="J25" s="109"/>
      <c r="K25" s="110"/>
      <c r="L25" s="30"/>
      <c r="M25" s="30"/>
      <c r="N25" s="30"/>
      <c r="O25" s="30"/>
      <c r="P25" s="30"/>
      <c r="Q25" s="2"/>
      <c r="R25" s="26"/>
    </row>
    <row r="26" spans="1:18">
      <c r="A26" s="22" t="s">
        <v>22</v>
      </c>
      <c r="B26" s="16">
        <v>20000</v>
      </c>
      <c r="C26" s="117">
        <v>0</v>
      </c>
      <c r="D26" s="118">
        <f t="shared" ref="D26:D27" si="2">B26-C26</f>
        <v>20000</v>
      </c>
      <c r="E26" s="103">
        <f t="shared" ref="E26" si="3">C26/B26</f>
        <v>0</v>
      </c>
      <c r="F26" s="14" t="e">
        <f>#REF!</f>
        <v>#REF!</v>
      </c>
      <c r="G26" s="22"/>
      <c r="H26" s="26"/>
      <c r="I26" s="109"/>
      <c r="J26" s="109"/>
      <c r="K26" s="110"/>
      <c r="L26" s="30"/>
      <c r="M26" s="30"/>
      <c r="N26" s="30"/>
      <c r="O26" s="30"/>
      <c r="P26" s="30"/>
      <c r="Q26" s="2"/>
      <c r="R26" s="26"/>
    </row>
    <row r="27" spans="1:18">
      <c r="A27" s="22" t="s">
        <v>23</v>
      </c>
      <c r="B27" s="119">
        <v>0</v>
      </c>
      <c r="C27" s="117">
        <v>0</v>
      </c>
      <c r="D27" s="118">
        <f t="shared" si="2"/>
        <v>0</v>
      </c>
      <c r="E27" s="103">
        <v>0</v>
      </c>
      <c r="F27" s="14">
        <v>0</v>
      </c>
      <c r="G27" s="22"/>
      <c r="H27" s="30"/>
      <c r="I27" s="26"/>
      <c r="J27" s="30"/>
      <c r="K27" s="110"/>
      <c r="L27" s="30"/>
      <c r="M27" s="30"/>
      <c r="N27" s="30"/>
      <c r="O27" s="30"/>
      <c r="P27" s="30"/>
      <c r="Q27" s="2"/>
      <c r="R27" s="26"/>
    </row>
    <row r="28" spans="1:18">
      <c r="A28" s="22"/>
      <c r="B28" s="20"/>
      <c r="C28" s="20"/>
      <c r="D28" s="23"/>
      <c r="E28" s="103"/>
      <c r="F28" s="14"/>
      <c r="G28" s="22"/>
      <c r="H28" s="30"/>
      <c r="I28" s="26"/>
      <c r="J28" s="30"/>
      <c r="K28" s="110"/>
      <c r="L28" s="30"/>
      <c r="M28" s="30"/>
      <c r="N28" s="30"/>
      <c r="O28" s="30"/>
      <c r="P28" s="30"/>
      <c r="Q28" s="2"/>
      <c r="R28" s="26"/>
    </row>
    <row r="29" spans="1:18">
      <c r="A29" s="50" t="s">
        <v>19</v>
      </c>
      <c r="B29" s="49">
        <f>SUM(B26,B27)</f>
        <v>20000</v>
      </c>
      <c r="C29" s="49">
        <f>SUM(C26,C27)</f>
        <v>0</v>
      </c>
      <c r="D29" s="49">
        <f>B29-C29</f>
        <v>20000</v>
      </c>
      <c r="E29" s="51">
        <f>C29/B29</f>
        <v>0</v>
      </c>
      <c r="F29" s="52"/>
      <c r="G29" s="53"/>
      <c r="H29" s="26"/>
      <c r="I29" s="26"/>
      <c r="J29" s="110"/>
      <c r="K29" s="26"/>
      <c r="L29" s="26"/>
      <c r="M29" s="26"/>
      <c r="N29" s="26"/>
      <c r="O29" s="26"/>
      <c r="P29" s="26"/>
      <c r="Q29" s="26"/>
      <c r="R29" s="26"/>
    </row>
    <row r="30" spans="1:18">
      <c r="A30" s="26"/>
      <c r="B30" s="18"/>
      <c r="C30" s="8"/>
      <c r="D30" s="120"/>
      <c r="E30" s="26"/>
      <c r="F30" s="26"/>
      <c r="G30" s="26"/>
      <c r="H30" s="26"/>
      <c r="I30" s="26"/>
      <c r="J30" s="110"/>
      <c r="K30" s="26"/>
      <c r="L30" s="26"/>
      <c r="M30" s="26"/>
      <c r="N30" s="26"/>
      <c r="O30" s="26"/>
      <c r="P30" s="26"/>
      <c r="Q30" s="26"/>
      <c r="R30" s="26"/>
    </row>
    <row r="31" spans="1:18">
      <c r="A31" s="26"/>
      <c r="B31" s="18"/>
      <c r="C31" s="18" t="s">
        <v>24</v>
      </c>
      <c r="D31" s="21">
        <f>(B29)-(C29+D29)</f>
        <v>0</v>
      </c>
      <c r="E31" s="26"/>
      <c r="F31" s="26"/>
      <c r="G31" s="26"/>
      <c r="H31" s="26"/>
      <c r="I31" s="30"/>
      <c r="J31" s="110"/>
      <c r="K31" s="110"/>
      <c r="L31" s="110"/>
      <c r="M31" s="110"/>
      <c r="N31" s="110"/>
      <c r="O31" s="26"/>
      <c r="P31" s="30"/>
      <c r="Q31" s="26"/>
      <c r="R31" s="26"/>
    </row>
    <row r="32" spans="1:18">
      <c r="A32" s="26"/>
      <c r="B32" s="26"/>
      <c r="C32" s="18"/>
      <c r="D32" s="21"/>
      <c r="E32" s="26"/>
      <c r="F32" s="26"/>
      <c r="G32" s="26"/>
      <c r="H32" s="26"/>
      <c r="I32" s="30"/>
      <c r="J32" s="110"/>
      <c r="K32" s="110"/>
      <c r="L32" s="110"/>
      <c r="M32" s="110"/>
      <c r="N32" s="110"/>
      <c r="O32" s="26"/>
      <c r="P32" s="30"/>
      <c r="Q32" s="26"/>
      <c r="R32" s="26"/>
    </row>
    <row r="33" spans="1:17">
      <c r="A33" s="26"/>
      <c r="B33" s="26"/>
      <c r="C33" s="18" t="s">
        <v>25</v>
      </c>
      <c r="D33" s="21" t="e">
        <f>SUM(D20,D21)</f>
        <v>#REF!</v>
      </c>
      <c r="E33" s="26"/>
      <c r="F33" s="26"/>
      <c r="G33" s="32"/>
      <c r="H33" s="26"/>
      <c r="I33" s="26"/>
      <c r="J33" s="26"/>
      <c r="K33" s="110"/>
      <c r="L33" s="110"/>
      <c r="M33" s="110"/>
      <c r="N33" s="26"/>
      <c r="O33" s="26"/>
      <c r="P33" s="30"/>
      <c r="Q33" s="2"/>
    </row>
    <row r="34" spans="1:17">
      <c r="A34" s="26"/>
      <c r="B34" s="2"/>
      <c r="C34" s="2"/>
      <c r="D34" s="9"/>
      <c r="E34" s="26"/>
      <c r="F34" s="26"/>
      <c r="G34" s="26"/>
      <c r="H34" s="26"/>
      <c r="I34" s="26"/>
      <c r="J34" s="26"/>
      <c r="K34" s="110"/>
      <c r="L34" s="110"/>
      <c r="M34" s="110"/>
      <c r="N34" s="26"/>
      <c r="O34" s="26"/>
      <c r="P34" s="30"/>
      <c r="Q34" s="2"/>
    </row>
    <row r="35" spans="1:17">
      <c r="A35" s="2"/>
      <c r="B35" s="26"/>
      <c r="C35" s="18"/>
      <c r="D35" s="9"/>
      <c r="E35" s="26"/>
      <c r="F35" s="26"/>
      <c r="G35" s="26"/>
      <c r="H35" s="26"/>
      <c r="I35" s="26"/>
      <c r="J35" s="26"/>
      <c r="K35" s="110"/>
      <c r="L35" s="110"/>
      <c r="M35" s="110"/>
      <c r="N35" s="26"/>
      <c r="O35" s="26"/>
      <c r="P35" s="26"/>
      <c r="Q35" s="26"/>
    </row>
    <row r="36" spans="1:17">
      <c r="A36" s="26"/>
      <c r="B36" s="26"/>
      <c r="C36" s="26"/>
      <c r="D36" s="26"/>
      <c r="E36" s="26"/>
      <c r="F36" s="26"/>
      <c r="G36" s="26"/>
      <c r="H36" s="26"/>
      <c r="I36" s="26"/>
      <c r="J36" s="110"/>
      <c r="K36" s="110"/>
      <c r="L36" s="110"/>
      <c r="M36" s="110"/>
      <c r="N36" s="26"/>
      <c r="O36" s="26"/>
      <c r="P36" s="26"/>
      <c r="Q36" s="26"/>
    </row>
    <row r="37" spans="1:17">
      <c r="A37" s="26"/>
      <c r="B37" s="26"/>
      <c r="C37" s="26"/>
      <c r="D37" s="26"/>
      <c r="E37" s="26"/>
      <c r="F37" s="26"/>
      <c r="G37" s="26"/>
      <c r="H37" s="26"/>
      <c r="I37" s="26"/>
      <c r="J37" s="121"/>
      <c r="K37" s="110"/>
      <c r="L37" s="110"/>
      <c r="M37" s="110"/>
      <c r="N37" s="110"/>
      <c r="O37" s="26"/>
      <c r="P37" s="26"/>
      <c r="Q37" s="26"/>
    </row>
    <row r="38" spans="1:17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110"/>
      <c r="N38" s="122"/>
      <c r="O38" s="26"/>
      <c r="P38" s="26"/>
      <c r="Q38" s="26"/>
    </row>
    <row r="39" spans="1:17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110"/>
      <c r="N39" s="122"/>
      <c r="O39" s="26"/>
      <c r="P39" s="26"/>
      <c r="Q39" s="26"/>
    </row>
    <row r="41" spans="1:17">
      <c r="A41" s="26"/>
      <c r="B41" s="26"/>
      <c r="C41" s="26"/>
      <c r="D41" s="26"/>
      <c r="E41" s="26"/>
      <c r="F41" s="26"/>
      <c r="G41" s="26"/>
      <c r="H41" s="26"/>
      <c r="I41" s="30"/>
      <c r="J41" s="30"/>
      <c r="K41" s="110"/>
      <c r="L41" s="110"/>
      <c r="M41" s="26"/>
      <c r="N41" s="26"/>
      <c r="O41" s="26"/>
      <c r="P41" s="110"/>
      <c r="Q41" s="26"/>
    </row>
    <row r="42" spans="1:17">
      <c r="A42" s="26"/>
      <c r="B42" s="26"/>
      <c r="C42" s="26"/>
      <c r="D42" s="26"/>
      <c r="E42" s="26"/>
      <c r="F42" s="26"/>
      <c r="G42" s="26"/>
      <c r="H42" s="26"/>
      <c r="I42" s="30"/>
      <c r="J42" s="30"/>
      <c r="K42" s="121"/>
      <c r="L42" s="121"/>
      <c r="M42" s="26"/>
      <c r="N42" s="26"/>
      <c r="O42" s="26"/>
      <c r="P42" s="110"/>
      <c r="Q42" s="26"/>
    </row>
    <row r="43" spans="1:17">
      <c r="A43" s="26"/>
      <c r="B43" s="26"/>
      <c r="C43" s="26"/>
      <c r="D43" s="26"/>
      <c r="E43" s="26"/>
      <c r="F43" s="26"/>
      <c r="G43" s="26"/>
      <c r="H43" s="26"/>
      <c r="I43" s="30"/>
      <c r="J43" s="30"/>
      <c r="K43" s="121"/>
      <c r="L43" s="121"/>
      <c r="M43" s="26"/>
      <c r="N43" s="26"/>
      <c r="O43" s="26"/>
      <c r="P43" s="110"/>
      <c r="Q43" s="26"/>
    </row>
    <row r="44" spans="1:17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110"/>
      <c r="M44" s="26"/>
      <c r="N44" s="26"/>
      <c r="O44" s="26"/>
      <c r="P44" s="26"/>
      <c r="Q44" s="26"/>
    </row>
    <row r="45" spans="1:17">
      <c r="A45" s="26"/>
      <c r="B45" s="26"/>
      <c r="C45" s="26"/>
      <c r="D45" s="26"/>
      <c r="E45" s="26"/>
      <c r="F45" s="26"/>
      <c r="G45" s="26"/>
      <c r="H45" s="26"/>
      <c r="I45" s="123"/>
      <c r="J45" s="26"/>
      <c r="K45" s="26"/>
      <c r="L45" s="124"/>
      <c r="M45" s="26"/>
      <c r="N45" s="26"/>
      <c r="O45" s="26"/>
      <c r="P45" s="26"/>
      <c r="Q45" s="26"/>
    </row>
    <row r="46" spans="1:17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30"/>
      <c r="L46" s="26"/>
      <c r="M46" s="26"/>
      <c r="N46" s="26"/>
      <c r="O46" s="26"/>
      <c r="P46" s="26"/>
      <c r="Q46" s="26"/>
    </row>
    <row r="47" spans="1:1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30"/>
      <c r="L47" s="26"/>
      <c r="M47" s="26"/>
      <c r="N47" s="26"/>
      <c r="O47" s="26"/>
      <c r="P47" s="26"/>
      <c r="Q47" s="26"/>
    </row>
    <row r="48" spans="1:17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</row>
    <row r="49" spans="1:20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</row>
    <row r="50" spans="1:20">
      <c r="A50" s="26"/>
      <c r="B50" s="26"/>
      <c r="C50" s="26"/>
      <c r="D50" s="26"/>
      <c r="E50" s="26"/>
      <c r="F50" s="26"/>
      <c r="G50" s="26"/>
      <c r="H50" s="41" t="e">
        <f>D33+B27</f>
        <v>#REF!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 spans="1:20">
      <c r="A51" s="125"/>
      <c r="B51" s="125"/>
      <c r="C51" s="125"/>
      <c r="D51" s="125"/>
      <c r="E51" s="125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</row>
    <row r="52" spans="1:20" ht="12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</row>
    <row r="53" spans="1:20" ht="12" customHeight="1">
      <c r="A53" s="26"/>
      <c r="B53" s="26"/>
      <c r="C53" s="26"/>
      <c r="D53" s="26"/>
      <c r="E53" s="26"/>
      <c r="F53" s="26"/>
      <c r="G53" s="26"/>
      <c r="H53" s="26"/>
      <c r="I53" s="26"/>
      <c r="J53" s="121"/>
      <c r="K53" s="26"/>
      <c r="L53" s="26"/>
      <c r="M53" s="26"/>
      <c r="N53" s="26"/>
      <c r="O53" s="26"/>
      <c r="P53" s="26"/>
      <c r="Q53" s="26"/>
      <c r="R53" s="26"/>
      <c r="S53" s="26"/>
      <c r="T53" s="26"/>
    </row>
    <row r="54" spans="1:20" ht="12" customHeight="1">
      <c r="A54" s="26"/>
      <c r="B54" s="26"/>
      <c r="C54" s="26"/>
      <c r="D54" s="26"/>
      <c r="E54" s="26"/>
      <c r="F54" s="26"/>
      <c r="G54" s="26"/>
      <c r="H54" s="26"/>
      <c r="I54" s="26"/>
      <c r="J54" s="121"/>
      <c r="K54" s="26"/>
      <c r="L54" s="26"/>
      <c r="M54" s="26"/>
      <c r="N54" s="26"/>
      <c r="O54" s="26"/>
      <c r="P54" s="26"/>
      <c r="Q54" s="26"/>
      <c r="R54" s="26"/>
      <c r="S54" s="26"/>
      <c r="T54" s="26"/>
    </row>
    <row r="55" spans="1:20" ht="12" customHeight="1">
      <c r="A55" s="26"/>
      <c r="B55" s="26"/>
      <c r="C55" s="26"/>
      <c r="D55" s="26"/>
      <c r="E55" s="26"/>
      <c r="F55" s="26"/>
      <c r="G55" s="26"/>
      <c r="H55" s="26"/>
      <c r="I55" s="26"/>
      <c r="J55" s="121"/>
      <c r="K55" s="26"/>
      <c r="L55" s="26"/>
      <c r="M55" s="26"/>
      <c r="N55" s="26"/>
      <c r="O55" s="26"/>
      <c r="P55" s="26"/>
      <c r="Q55" s="26"/>
      <c r="R55" s="26"/>
      <c r="S55" s="26"/>
      <c r="T55" s="26"/>
    </row>
    <row r="56" spans="1:20" ht="12" customHeight="1">
      <c r="A56" s="26"/>
      <c r="B56" s="26"/>
      <c r="C56" s="26"/>
      <c r="D56" s="26"/>
      <c r="E56" s="26"/>
      <c r="F56" s="26"/>
      <c r="G56" s="26"/>
      <c r="H56" s="41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</row>
    <row r="57" spans="1:20" ht="12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</row>
    <row r="58" spans="1:20" ht="12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</row>
    <row r="59" spans="1:20" ht="12" customHeight="1">
      <c r="A59" s="26"/>
      <c r="B59" s="26"/>
      <c r="C59" s="26"/>
      <c r="D59" s="26"/>
      <c r="E59" s="26"/>
      <c r="F59" s="26"/>
      <c r="G59" s="26"/>
      <c r="H59" s="125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 spans="1:2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</row>
    <row r="61" spans="1:20">
      <c r="A61" s="26"/>
      <c r="B61" s="26"/>
      <c r="C61" s="26"/>
      <c r="D61" s="26"/>
      <c r="E61" s="26"/>
      <c r="F61" s="26"/>
      <c r="G61" s="26"/>
      <c r="H61" s="26"/>
      <c r="I61" s="125"/>
      <c r="J61" s="125"/>
      <c r="K61" s="26"/>
      <c r="L61" s="26"/>
      <c r="M61" s="26"/>
      <c r="N61" s="26"/>
      <c r="O61" s="26"/>
      <c r="P61" s="26"/>
      <c r="Q61" s="26"/>
      <c r="R61" s="26"/>
      <c r="S61" s="26"/>
      <c r="T61" s="26"/>
    </row>
    <row r="62" spans="1:20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</row>
    <row r="63" spans="1:20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</row>
    <row r="64" spans="1:20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</row>
    <row r="65" spans="1:20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</row>
    <row r="66" spans="1:20" ht="13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</row>
    <row r="67" spans="1:20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125"/>
      <c r="O67" s="126"/>
      <c r="P67" s="126"/>
      <c r="Q67" s="126"/>
      <c r="R67" s="125"/>
      <c r="S67" s="125"/>
      <c r="T67" s="125"/>
    </row>
    <row r="68" spans="1:20" s="7" customForma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</row>
    <row r="69" spans="1:20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125"/>
      <c r="L69" s="125"/>
      <c r="M69" s="125"/>
      <c r="N69" s="26"/>
      <c r="O69" s="26"/>
      <c r="P69" s="26"/>
      <c r="Q69" s="26"/>
      <c r="R69" s="26"/>
      <c r="S69" s="26"/>
      <c r="T69" s="26"/>
    </row>
    <row r="72" spans="1:20" ht="13.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</row>
    <row r="73" spans="1:20" ht="12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</row>
    <row r="79" spans="1:20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</row>
    <row r="80" spans="1:2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</row>
    <row r="81" spans="1:6">
      <c r="A81" s="26"/>
      <c r="B81" s="26"/>
      <c r="C81" s="26"/>
      <c r="D81" s="26"/>
      <c r="E81" s="26"/>
      <c r="F81" s="26"/>
    </row>
    <row r="82" spans="1:6">
      <c r="A82" s="26"/>
      <c r="B82" s="26"/>
      <c r="C82" s="26"/>
      <c r="D82" s="26"/>
      <c r="E82" s="26"/>
      <c r="F82" s="26"/>
    </row>
    <row r="83" spans="1:6">
      <c r="A83" s="26"/>
      <c r="B83" s="26"/>
      <c r="C83" s="122"/>
      <c r="D83" s="26"/>
      <c r="E83" s="26"/>
      <c r="F83" s="26"/>
    </row>
    <row r="84" spans="1:6">
      <c r="A84" s="26"/>
      <c r="B84" s="26"/>
      <c r="C84" s="26"/>
      <c r="D84" s="26"/>
      <c r="E84" s="26"/>
      <c r="F84" s="26"/>
    </row>
    <row r="85" spans="1:6">
      <c r="A85" s="26"/>
      <c r="B85" s="26"/>
      <c r="C85" s="26"/>
      <c r="D85" s="26"/>
      <c r="E85" s="26"/>
      <c r="F85" s="26"/>
    </row>
    <row r="86" spans="1:6">
      <c r="A86" s="26"/>
      <c r="B86" s="26"/>
      <c r="C86" s="26"/>
      <c r="D86" s="26"/>
      <c r="E86" s="26"/>
      <c r="F86" s="26"/>
    </row>
    <row r="87" spans="1:6">
      <c r="A87" s="26"/>
      <c r="B87" s="26"/>
      <c r="C87" s="26"/>
      <c r="D87" s="26"/>
      <c r="E87" s="26"/>
      <c r="F87" s="26"/>
    </row>
    <row r="88" spans="1:6">
      <c r="A88" s="26"/>
      <c r="B88" s="26"/>
      <c r="C88" s="26"/>
      <c r="D88" s="26"/>
      <c r="E88" s="26"/>
      <c r="F88" s="26"/>
    </row>
    <row r="89" spans="1:6">
      <c r="A89" s="26"/>
      <c r="B89" s="26"/>
      <c r="C89" s="26"/>
      <c r="D89" s="26"/>
      <c r="E89" s="26"/>
      <c r="F89" s="26"/>
    </row>
    <row r="90" spans="1:6">
      <c r="A90" s="26"/>
      <c r="B90" s="26"/>
      <c r="C90" s="26"/>
      <c r="D90" s="26"/>
      <c r="E90" s="26"/>
      <c r="F90" s="26"/>
    </row>
    <row r="91" spans="1:6">
      <c r="A91" s="26"/>
      <c r="B91" s="26"/>
      <c r="C91" s="26"/>
      <c r="D91" s="26"/>
      <c r="E91" s="26"/>
      <c r="F91" s="26"/>
    </row>
    <row r="92" spans="1:6">
      <c r="A92" s="26"/>
      <c r="B92" s="26"/>
      <c r="C92" s="26"/>
      <c r="D92" s="26"/>
      <c r="E92" s="26"/>
      <c r="F92" s="26"/>
    </row>
    <row r="93" spans="1:6">
      <c r="A93" s="26"/>
      <c r="B93" s="26"/>
      <c r="C93" s="26"/>
      <c r="D93" s="26"/>
      <c r="E93" s="26"/>
      <c r="F93" s="26"/>
    </row>
    <row r="94" spans="1:6">
      <c r="A94" s="26"/>
      <c r="B94" s="26"/>
      <c r="C94" s="26"/>
      <c r="D94" s="26"/>
      <c r="E94" s="26"/>
      <c r="F94" s="26"/>
    </row>
    <row r="95" spans="1:6">
      <c r="A95" s="26"/>
      <c r="B95" s="26"/>
      <c r="C95" s="26"/>
      <c r="D95" s="26"/>
      <c r="E95" s="26"/>
      <c r="F95" s="26"/>
    </row>
    <row r="96" spans="1:6">
      <c r="A96" s="26"/>
      <c r="B96" s="26"/>
      <c r="C96" s="26"/>
      <c r="D96" s="26"/>
      <c r="E96" s="26"/>
      <c r="F96" s="26"/>
    </row>
    <row r="97" spans="1:6">
      <c r="A97" s="26"/>
      <c r="B97" s="26"/>
      <c r="C97" s="26"/>
      <c r="D97" s="26"/>
      <c r="E97" s="26"/>
      <c r="F97" s="26"/>
    </row>
    <row r="98" spans="1:6">
      <c r="A98" s="26"/>
      <c r="B98" s="26"/>
      <c r="C98" s="26"/>
      <c r="D98" s="26"/>
      <c r="E98" s="26"/>
      <c r="F98" s="26"/>
    </row>
    <row r="99" spans="1:6">
      <c r="A99" s="26"/>
      <c r="B99" s="26"/>
      <c r="C99" s="26"/>
      <c r="D99" s="26"/>
      <c r="E99" s="26"/>
      <c r="F99" s="26"/>
    </row>
    <row r="100" spans="1:6">
      <c r="A100" s="26"/>
      <c r="B100" s="26"/>
      <c r="C100" s="26"/>
      <c r="D100" s="26"/>
      <c r="E100" s="26"/>
      <c r="F100" s="26"/>
    </row>
    <row r="101" spans="1:6">
      <c r="A101" s="26"/>
      <c r="B101" s="26"/>
      <c r="C101" s="26"/>
      <c r="D101" s="26"/>
      <c r="E101" s="26"/>
      <c r="F101" s="26"/>
    </row>
    <row r="102" spans="1:6">
      <c r="A102" s="26"/>
      <c r="B102" s="26"/>
      <c r="C102" s="26"/>
      <c r="D102" s="26"/>
      <c r="E102" s="26"/>
      <c r="F102" s="26"/>
    </row>
    <row r="103" spans="1:6">
      <c r="A103" s="26"/>
      <c r="B103" s="26"/>
      <c r="C103" s="26"/>
      <c r="D103" s="26"/>
      <c r="E103" s="26"/>
      <c r="F103" s="26"/>
    </row>
    <row r="104" spans="1:6">
      <c r="A104" s="26"/>
      <c r="B104" s="26"/>
      <c r="C104" s="26"/>
      <c r="D104" s="26"/>
      <c r="E104" s="26"/>
      <c r="F104" s="26"/>
    </row>
    <row r="105" spans="1:6">
      <c r="A105" s="26"/>
      <c r="B105" s="26"/>
      <c r="C105" s="26"/>
      <c r="D105" s="26"/>
      <c r="E105" s="26"/>
      <c r="F105" s="26"/>
    </row>
    <row r="106" spans="1:6">
      <c r="A106" s="26"/>
      <c r="B106" s="26"/>
      <c r="C106" s="26"/>
      <c r="D106" s="26"/>
      <c r="E106" s="26"/>
      <c r="F106" s="26"/>
    </row>
    <row r="107" spans="1:6">
      <c r="A107" s="26"/>
      <c r="B107" s="26"/>
      <c r="C107" s="26"/>
      <c r="D107" s="26"/>
      <c r="E107" s="26"/>
      <c r="F107" s="26"/>
    </row>
    <row r="108" spans="1:6">
      <c r="A108" s="26"/>
      <c r="B108" s="26"/>
      <c r="C108" s="26"/>
      <c r="D108" s="26"/>
      <c r="E108" s="26"/>
      <c r="F108" s="26"/>
    </row>
    <row r="109" spans="1:6">
      <c r="A109" s="26"/>
      <c r="B109" s="26"/>
      <c r="C109" s="26"/>
      <c r="D109" s="26"/>
      <c r="E109" s="26"/>
      <c r="F109" s="26"/>
    </row>
    <row r="110" spans="1:6">
      <c r="A110" s="26"/>
      <c r="B110" s="26"/>
      <c r="C110" s="26"/>
      <c r="D110" s="26"/>
      <c r="E110" s="26"/>
      <c r="F110" s="26"/>
    </row>
    <row r="111" spans="1:6">
      <c r="A111" s="26"/>
      <c r="B111" s="26"/>
      <c r="C111" s="26"/>
      <c r="D111" s="26"/>
      <c r="E111" s="26"/>
      <c r="F111" s="26"/>
    </row>
    <row r="112" spans="1:6">
      <c r="A112" s="26"/>
      <c r="B112" s="26"/>
      <c r="C112" s="26"/>
      <c r="D112" s="26"/>
      <c r="E112" s="26"/>
      <c r="F112" s="26"/>
    </row>
    <row r="113" spans="6:6">
      <c r="F113" s="26"/>
    </row>
    <row r="114" spans="6:6">
      <c r="F114" s="26"/>
    </row>
    <row r="115" spans="6:6">
      <c r="F115" s="26"/>
    </row>
    <row r="116" spans="6:6">
      <c r="F116" s="26"/>
    </row>
    <row r="117" spans="6:6">
      <c r="F117" s="26"/>
    </row>
    <row r="118" spans="6:6">
      <c r="F118" s="26"/>
    </row>
    <row r="119" spans="6:6">
      <c r="F119" s="26"/>
    </row>
    <row r="120" spans="6:6">
      <c r="F120" s="26"/>
    </row>
  </sheetData>
  <mergeCells count="4">
    <mergeCell ref="A10:F10"/>
    <mergeCell ref="A23:F23"/>
    <mergeCell ref="A9:F9"/>
    <mergeCell ref="A3:D3"/>
  </mergeCells>
  <phoneticPr fontId="6" type="noConversion"/>
  <pageMargins left="0.7" right="0.7" top="0.75" bottom="0.75" header="0.3" footer="0.3"/>
  <pageSetup orientation="landscape" verticalDpi="1200" r:id="rId1"/>
  <headerFooter alignWithMargins="0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42"/>
  <sheetViews>
    <sheetView zoomScaleNormal="100" workbookViewId="0">
      <selection activeCell="C20" sqref="C20"/>
    </sheetView>
  </sheetViews>
  <sheetFormatPr defaultColWidth="9.140625" defaultRowHeight="12.4"/>
  <cols>
    <col min="1" max="1" width="10.7109375" customWidth="1"/>
    <col min="2" max="3" width="18.7109375" customWidth="1"/>
    <col min="4" max="5" width="11.5703125" customWidth="1"/>
    <col min="6" max="6" width="13.85546875" customWidth="1"/>
    <col min="7" max="7" width="13.28515625" customWidth="1"/>
    <col min="8" max="8" width="11.7109375" customWidth="1"/>
    <col min="9" max="9" width="12.28515625" customWidth="1"/>
    <col min="10" max="10" width="20" customWidth="1"/>
    <col min="11" max="11" width="22.140625" customWidth="1"/>
    <col min="12" max="12" width="15.7109375" customWidth="1"/>
    <col min="13" max="13" width="10.140625" bestFit="1" customWidth="1"/>
    <col min="14" max="14" width="13.140625" customWidth="1"/>
    <col min="16" max="16" width="22.28515625" bestFit="1" customWidth="1"/>
  </cols>
  <sheetData>
    <row r="1" spans="1:12" s="56" customFormat="1" ht="15" customHeight="1">
      <c r="A1" s="66" t="str">
        <f>+'Budget Worksheet'!A1</f>
        <v>36th St Bridge</v>
      </c>
    </row>
    <row r="2" spans="1:12" ht="15" customHeight="1">
      <c r="A2" s="54" t="s">
        <v>26</v>
      </c>
      <c r="B2" s="55"/>
      <c r="C2" s="55"/>
      <c r="D2" s="55"/>
      <c r="E2" s="55"/>
      <c r="F2" s="55"/>
      <c r="G2" s="56"/>
      <c r="H2" s="56"/>
      <c r="I2" s="56"/>
      <c r="J2" s="56"/>
    </row>
    <row r="3" spans="1:12" ht="15" customHeight="1">
      <c r="A3" s="54"/>
      <c r="B3" s="55"/>
      <c r="C3" s="55"/>
      <c r="D3" s="55"/>
      <c r="E3" s="55"/>
      <c r="F3" s="55"/>
      <c r="G3" s="56"/>
      <c r="H3" s="56"/>
      <c r="I3" s="56"/>
      <c r="J3" s="56"/>
    </row>
    <row r="4" spans="1:12" ht="15" customHeight="1">
      <c r="A4" s="54" t="s">
        <v>27</v>
      </c>
      <c r="B4" s="55" t="s">
        <v>28</v>
      </c>
      <c r="C4" s="55"/>
      <c r="E4" s="55"/>
      <c r="F4" s="55"/>
      <c r="G4" s="56"/>
      <c r="H4" s="56"/>
      <c r="I4" s="56"/>
      <c r="J4" s="56"/>
    </row>
    <row r="5" spans="1:12" ht="15" customHeight="1" thickBot="1">
      <c r="A5" s="58" t="s">
        <v>29</v>
      </c>
      <c r="B5" s="59"/>
      <c r="C5" s="59"/>
      <c r="D5" s="59"/>
      <c r="E5" s="59"/>
      <c r="F5" s="60"/>
      <c r="G5" s="59"/>
      <c r="H5" s="59"/>
      <c r="I5" s="61"/>
      <c r="J5" s="59"/>
    </row>
    <row r="6" spans="1:12" ht="15" customHeight="1" thickTop="1">
      <c r="A6" s="56"/>
      <c r="B6" s="56"/>
      <c r="C6" s="56"/>
      <c r="D6" s="56"/>
      <c r="E6" s="56"/>
      <c r="F6" s="56"/>
      <c r="G6" s="56"/>
      <c r="H6" s="56"/>
      <c r="I6" s="56"/>
      <c r="J6" s="56"/>
    </row>
    <row r="7" spans="1:12" ht="15" customHeight="1">
      <c r="A7" s="54"/>
      <c r="B7" s="55"/>
      <c r="C7" s="55"/>
      <c r="D7" s="62"/>
      <c r="E7" s="62"/>
      <c r="F7" s="56"/>
      <c r="G7" s="63"/>
      <c r="H7" s="63"/>
      <c r="I7" s="57" t="s">
        <v>30</v>
      </c>
      <c r="J7" s="64">
        <v>1121071.48</v>
      </c>
    </row>
    <row r="8" spans="1:12" ht="15" customHeight="1">
      <c r="A8" s="54"/>
      <c r="B8" s="55"/>
      <c r="C8" s="55"/>
      <c r="D8" s="62"/>
      <c r="E8" s="62"/>
      <c r="F8" s="56"/>
      <c r="G8" s="63"/>
      <c r="H8" s="63"/>
      <c r="I8" s="57" t="s">
        <v>31</v>
      </c>
      <c r="J8" s="65">
        <v>0</v>
      </c>
    </row>
    <row r="9" spans="1:12" ht="15" customHeight="1">
      <c r="A9" s="54"/>
      <c r="B9" s="55"/>
      <c r="C9" s="55"/>
      <c r="D9" s="62"/>
      <c r="E9" s="62"/>
      <c r="F9" s="56"/>
      <c r="G9" s="63"/>
      <c r="H9" s="63"/>
      <c r="I9" s="57" t="s">
        <v>32</v>
      </c>
      <c r="J9" s="64">
        <f>SUM(J7:J7)</f>
        <v>1121071.48</v>
      </c>
    </row>
    <row r="10" spans="1:12" ht="15" customHeight="1">
      <c r="A10" s="66"/>
      <c r="B10" s="56"/>
      <c r="C10" s="56"/>
      <c r="D10" s="56"/>
      <c r="E10" s="56"/>
      <c r="F10" s="56"/>
      <c r="G10" s="67"/>
      <c r="H10" s="67"/>
      <c r="I10" s="68"/>
      <c r="J10" s="56"/>
    </row>
    <row r="11" spans="1:12" ht="15" customHeight="1">
      <c r="A11" s="69" t="s">
        <v>33</v>
      </c>
      <c r="B11" s="69" t="s">
        <v>34</v>
      </c>
      <c r="C11" s="69"/>
      <c r="D11" s="69" t="s">
        <v>35</v>
      </c>
      <c r="E11" s="69" t="s">
        <v>36</v>
      </c>
      <c r="F11" s="177" t="s">
        <v>37</v>
      </c>
      <c r="G11" s="177"/>
      <c r="H11" s="177"/>
      <c r="I11" s="177"/>
      <c r="J11" s="67" t="s">
        <v>38</v>
      </c>
      <c r="K11" s="27"/>
      <c r="L11" s="11"/>
    </row>
    <row r="12" spans="1:12" ht="15" customHeight="1">
      <c r="A12" s="70"/>
      <c r="B12" s="56"/>
      <c r="C12" s="56"/>
      <c r="D12" s="55"/>
      <c r="E12" s="55"/>
      <c r="F12" s="71" t="s">
        <v>39</v>
      </c>
      <c r="G12" s="69" t="s">
        <v>40</v>
      </c>
      <c r="H12" s="69" t="s">
        <v>40</v>
      </c>
      <c r="I12" s="69" t="s">
        <v>40</v>
      </c>
      <c r="J12" s="72"/>
    </row>
    <row r="13" spans="1:12" ht="15" customHeight="1">
      <c r="A13" s="69" t="s">
        <v>41</v>
      </c>
      <c r="B13" s="69">
        <v>592119</v>
      </c>
      <c r="C13" s="69"/>
      <c r="D13" s="73">
        <v>45824</v>
      </c>
      <c r="E13" s="73">
        <v>45808</v>
      </c>
      <c r="F13" s="74">
        <v>12363.39</v>
      </c>
      <c r="G13" s="75">
        <v>0</v>
      </c>
      <c r="H13" s="74"/>
      <c r="I13" s="74"/>
      <c r="J13" s="76">
        <f>SUM(F13:I13)</f>
        <v>12363.39</v>
      </c>
      <c r="K13" s="11"/>
    </row>
    <row r="14" spans="1:12" ht="15" customHeight="1">
      <c r="A14" s="69" t="s">
        <v>42</v>
      </c>
      <c r="B14" s="69">
        <v>594648</v>
      </c>
      <c r="C14" s="69"/>
      <c r="D14" s="73">
        <v>45848</v>
      </c>
      <c r="E14" s="73">
        <v>45836</v>
      </c>
      <c r="F14" s="74">
        <v>14319.73</v>
      </c>
      <c r="G14" s="75">
        <v>0</v>
      </c>
      <c r="H14" s="74"/>
      <c r="I14" s="74"/>
      <c r="J14" s="76">
        <f t="shared" ref="J14:J15" si="0">SUM(F14:I14)</f>
        <v>14319.73</v>
      </c>
      <c r="K14" s="28"/>
    </row>
    <row r="15" spans="1:12" ht="15" customHeight="1">
      <c r="A15" s="69" t="s">
        <v>43</v>
      </c>
      <c r="B15" s="69" t="s">
        <v>44</v>
      </c>
      <c r="C15" s="69" t="s">
        <v>45</v>
      </c>
      <c r="D15" s="73">
        <v>45846</v>
      </c>
      <c r="E15" s="73">
        <v>45837</v>
      </c>
      <c r="F15" s="74">
        <v>7062.03</v>
      </c>
      <c r="G15" s="75">
        <v>0</v>
      </c>
      <c r="H15" s="74"/>
      <c r="I15" s="74"/>
      <c r="J15" s="76">
        <f t="shared" si="0"/>
        <v>7062.03</v>
      </c>
      <c r="K15" s="28"/>
    </row>
    <row r="16" spans="1:12" ht="15" customHeight="1">
      <c r="A16" s="69" t="s">
        <v>46</v>
      </c>
      <c r="B16" s="69">
        <v>596821</v>
      </c>
      <c r="C16" s="69" t="s">
        <v>28</v>
      </c>
      <c r="D16" s="73">
        <v>45883</v>
      </c>
      <c r="E16" s="73">
        <v>45871</v>
      </c>
      <c r="F16" s="74">
        <v>21582.240000000002</v>
      </c>
      <c r="G16" s="75">
        <v>0</v>
      </c>
      <c r="H16" s="74"/>
      <c r="I16" s="74"/>
      <c r="J16" s="76">
        <f t="shared" ref="J16:J22" si="1">SUM(F16:I16)</f>
        <v>21582.240000000002</v>
      </c>
      <c r="K16" s="11"/>
    </row>
    <row r="17" spans="1:11" ht="15" customHeight="1">
      <c r="A17" s="69" t="s">
        <v>43</v>
      </c>
      <c r="B17" s="69" t="s">
        <v>47</v>
      </c>
      <c r="C17" s="69" t="s">
        <v>45</v>
      </c>
      <c r="D17" s="73">
        <v>45880</v>
      </c>
      <c r="E17" s="73">
        <v>45872</v>
      </c>
      <c r="F17" s="74">
        <v>8516.31</v>
      </c>
      <c r="G17" s="75">
        <v>0</v>
      </c>
      <c r="H17" s="74"/>
      <c r="I17" s="74"/>
      <c r="J17" s="76">
        <f t="shared" si="1"/>
        <v>8516.31</v>
      </c>
      <c r="K17" s="11"/>
    </row>
    <row r="18" spans="1:11" ht="15" customHeight="1">
      <c r="A18" s="69" t="s">
        <v>48</v>
      </c>
      <c r="B18" s="69" t="s">
        <v>49</v>
      </c>
      <c r="C18" s="69" t="s">
        <v>50</v>
      </c>
      <c r="D18" s="73">
        <v>45847</v>
      </c>
      <c r="E18" s="73">
        <v>45847</v>
      </c>
      <c r="F18" s="74">
        <v>172.56</v>
      </c>
      <c r="G18" s="75">
        <v>0</v>
      </c>
      <c r="H18" s="74"/>
      <c r="I18" s="74"/>
      <c r="J18" s="76">
        <f t="shared" si="1"/>
        <v>172.56</v>
      </c>
      <c r="K18" s="11"/>
    </row>
    <row r="19" spans="1:11" ht="15" customHeight="1">
      <c r="A19" s="69" t="s">
        <v>51</v>
      </c>
      <c r="B19" s="69">
        <v>599518</v>
      </c>
      <c r="C19" s="69" t="s">
        <v>28</v>
      </c>
      <c r="D19" s="73">
        <v>45912</v>
      </c>
      <c r="E19" s="73">
        <v>45899</v>
      </c>
      <c r="F19" s="74">
        <v>12553.11</v>
      </c>
      <c r="G19" s="75">
        <v>0</v>
      </c>
      <c r="H19" s="74"/>
      <c r="I19" s="74"/>
      <c r="J19" s="76">
        <f t="shared" si="1"/>
        <v>12553.11</v>
      </c>
      <c r="K19" s="11"/>
    </row>
    <row r="20" spans="1:11" ht="15" customHeight="1">
      <c r="A20" s="69" t="s">
        <v>52</v>
      </c>
      <c r="B20" s="69"/>
      <c r="C20" s="69"/>
      <c r="D20" s="73"/>
      <c r="E20" s="73"/>
      <c r="F20" s="74"/>
      <c r="G20" s="75">
        <v>0</v>
      </c>
      <c r="H20" s="74"/>
      <c r="I20" s="74"/>
      <c r="J20" s="76">
        <f t="shared" si="1"/>
        <v>0</v>
      </c>
      <c r="K20" s="11"/>
    </row>
    <row r="21" spans="1:11" ht="15" customHeight="1">
      <c r="A21" s="69" t="s">
        <v>53</v>
      </c>
      <c r="B21" s="69"/>
      <c r="C21" s="69"/>
      <c r="D21" s="73"/>
      <c r="E21" s="73"/>
      <c r="F21" s="74"/>
      <c r="G21" s="75">
        <v>0</v>
      </c>
      <c r="H21" s="74"/>
      <c r="I21" s="74"/>
      <c r="J21" s="76">
        <f t="shared" si="1"/>
        <v>0</v>
      </c>
      <c r="K21" s="11"/>
    </row>
    <row r="22" spans="1:11" ht="15" customHeight="1">
      <c r="A22" s="69" t="s">
        <v>54</v>
      </c>
      <c r="B22" s="69"/>
      <c r="C22" s="69"/>
      <c r="D22" s="73"/>
      <c r="E22" s="73"/>
      <c r="F22" s="74"/>
      <c r="G22" s="75">
        <v>0</v>
      </c>
      <c r="H22" s="74"/>
      <c r="I22" s="74"/>
      <c r="J22" s="76">
        <f t="shared" si="1"/>
        <v>0</v>
      </c>
      <c r="K22" s="11"/>
    </row>
    <row r="23" spans="1:11" ht="15" customHeight="1">
      <c r="A23" s="69" t="s">
        <v>55</v>
      </c>
      <c r="B23" s="69"/>
      <c r="C23" s="69"/>
      <c r="D23" s="73"/>
      <c r="E23" s="73"/>
      <c r="F23" s="74"/>
      <c r="G23" s="75">
        <v>0</v>
      </c>
      <c r="H23" s="74"/>
      <c r="I23" s="74"/>
      <c r="J23" s="76">
        <f t="shared" ref="J23:J34" si="2">SUM(F23:I23)</f>
        <v>0</v>
      </c>
      <c r="K23" s="11"/>
    </row>
    <row r="24" spans="1:11" ht="15" customHeight="1">
      <c r="A24" s="69" t="s">
        <v>56</v>
      </c>
      <c r="B24" s="69"/>
      <c r="C24" s="69"/>
      <c r="D24" s="73"/>
      <c r="E24" s="73"/>
      <c r="F24" s="74"/>
      <c r="G24" s="75">
        <v>0</v>
      </c>
      <c r="H24" s="74"/>
      <c r="I24" s="74"/>
      <c r="J24" s="76">
        <f t="shared" si="2"/>
        <v>0</v>
      </c>
      <c r="K24" s="11"/>
    </row>
    <row r="25" spans="1:11" ht="15" customHeight="1">
      <c r="A25" s="69" t="s">
        <v>57</v>
      </c>
      <c r="B25" s="69"/>
      <c r="C25" s="69"/>
      <c r="D25" s="73"/>
      <c r="E25" s="73"/>
      <c r="F25" s="74"/>
      <c r="G25" s="75">
        <v>0</v>
      </c>
      <c r="H25" s="74"/>
      <c r="I25" s="74"/>
      <c r="J25" s="76">
        <f t="shared" si="2"/>
        <v>0</v>
      </c>
      <c r="K25" s="11"/>
    </row>
    <row r="26" spans="1:11" ht="15" customHeight="1">
      <c r="A26" s="69" t="s">
        <v>58</v>
      </c>
      <c r="B26" s="69"/>
      <c r="C26" s="69"/>
      <c r="D26" s="73"/>
      <c r="E26" s="73"/>
      <c r="F26" s="74"/>
      <c r="G26" s="75">
        <v>0</v>
      </c>
      <c r="H26" s="74"/>
      <c r="I26" s="74"/>
      <c r="J26" s="76">
        <f t="shared" si="2"/>
        <v>0</v>
      </c>
      <c r="K26" s="11"/>
    </row>
    <row r="27" spans="1:11" ht="15" customHeight="1">
      <c r="A27" s="69" t="s">
        <v>59</v>
      </c>
      <c r="B27" s="69"/>
      <c r="C27" s="69"/>
      <c r="D27" s="73"/>
      <c r="E27" s="73"/>
      <c r="F27" s="74"/>
      <c r="G27" s="75">
        <v>0</v>
      </c>
      <c r="H27" s="74"/>
      <c r="I27" s="74"/>
      <c r="J27" s="76">
        <f t="shared" si="2"/>
        <v>0</v>
      </c>
      <c r="K27" s="11"/>
    </row>
    <row r="28" spans="1:11" ht="15" customHeight="1">
      <c r="A28" s="69" t="s">
        <v>60</v>
      </c>
      <c r="B28" s="69"/>
      <c r="C28" s="69"/>
      <c r="D28" s="73"/>
      <c r="E28" s="73"/>
      <c r="F28" s="74"/>
      <c r="G28" s="75">
        <v>0</v>
      </c>
      <c r="H28" s="74"/>
      <c r="I28" s="74"/>
      <c r="J28" s="76">
        <f t="shared" si="2"/>
        <v>0</v>
      </c>
      <c r="K28" s="11"/>
    </row>
    <row r="29" spans="1:11" ht="15" customHeight="1">
      <c r="A29" s="69" t="s">
        <v>61</v>
      </c>
      <c r="B29" s="69"/>
      <c r="C29" s="69"/>
      <c r="D29" s="73"/>
      <c r="E29" s="73"/>
      <c r="F29" s="74"/>
      <c r="G29" s="75">
        <v>0</v>
      </c>
      <c r="H29" s="74"/>
      <c r="I29" s="74"/>
      <c r="J29" s="76">
        <f t="shared" si="2"/>
        <v>0</v>
      </c>
      <c r="K29" s="11"/>
    </row>
    <row r="30" spans="1:11" ht="15" customHeight="1">
      <c r="A30" s="69" t="s">
        <v>62</v>
      </c>
      <c r="B30" s="69"/>
      <c r="C30" s="69"/>
      <c r="D30" s="73"/>
      <c r="E30" s="73"/>
      <c r="F30" s="74"/>
      <c r="G30" s="75">
        <v>0</v>
      </c>
      <c r="H30" s="74"/>
      <c r="I30" s="74"/>
      <c r="J30" s="76">
        <f t="shared" si="2"/>
        <v>0</v>
      </c>
      <c r="K30" s="11"/>
    </row>
    <row r="31" spans="1:11" ht="15" customHeight="1">
      <c r="A31" s="69" t="s">
        <v>63</v>
      </c>
      <c r="B31" s="69"/>
      <c r="C31" s="69"/>
      <c r="D31" s="73"/>
      <c r="E31" s="73"/>
      <c r="F31" s="74"/>
      <c r="G31" s="75">
        <v>0</v>
      </c>
      <c r="H31" s="74"/>
      <c r="I31" s="74"/>
      <c r="J31" s="76">
        <f t="shared" si="2"/>
        <v>0</v>
      </c>
      <c r="K31" s="11"/>
    </row>
    <row r="32" spans="1:11" ht="15" customHeight="1">
      <c r="A32" s="69" t="s">
        <v>64</v>
      </c>
      <c r="B32" s="69"/>
      <c r="C32" s="69"/>
      <c r="D32" s="73"/>
      <c r="E32" s="73"/>
      <c r="F32" s="74"/>
      <c r="G32" s="75">
        <v>0</v>
      </c>
      <c r="H32" s="74"/>
      <c r="I32" s="74"/>
      <c r="J32" s="76">
        <f t="shared" si="2"/>
        <v>0</v>
      </c>
      <c r="K32" s="11"/>
    </row>
    <row r="33" spans="1:14" ht="15" customHeight="1">
      <c r="A33" s="69" t="s">
        <v>65</v>
      </c>
      <c r="B33" s="69"/>
      <c r="C33" s="69"/>
      <c r="D33" s="73"/>
      <c r="E33" s="73"/>
      <c r="F33" s="74"/>
      <c r="G33" s="75">
        <v>0</v>
      </c>
      <c r="H33" s="74"/>
      <c r="I33" s="74"/>
      <c r="J33" s="76">
        <f t="shared" si="2"/>
        <v>0</v>
      </c>
      <c r="K33" s="11"/>
    </row>
    <row r="34" spans="1:14" ht="15" customHeight="1">
      <c r="A34" s="69" t="s">
        <v>66</v>
      </c>
      <c r="B34" s="69"/>
      <c r="C34" s="69"/>
      <c r="D34" s="73"/>
      <c r="E34" s="73"/>
      <c r="F34" s="74"/>
      <c r="G34" s="75">
        <v>0</v>
      </c>
      <c r="H34" s="74"/>
      <c r="I34" s="74"/>
      <c r="J34" s="76">
        <f t="shared" si="2"/>
        <v>0</v>
      </c>
      <c r="K34" s="11"/>
    </row>
    <row r="35" spans="1:14" ht="15" customHeight="1">
      <c r="A35" s="69"/>
      <c r="B35" s="69"/>
      <c r="C35" s="69"/>
      <c r="D35" s="73"/>
      <c r="E35" s="73"/>
      <c r="F35" s="77"/>
      <c r="G35" s="78"/>
      <c r="H35" s="77"/>
      <c r="I35" s="77"/>
      <c r="J35" s="79"/>
      <c r="K35" s="11"/>
    </row>
    <row r="36" spans="1:14" ht="15" customHeight="1">
      <c r="A36" s="69"/>
      <c r="B36" s="69"/>
      <c r="C36" s="69"/>
      <c r="E36" s="80" t="s">
        <v>67</v>
      </c>
      <c r="F36" s="76">
        <f>SUM(F13:F35)</f>
        <v>76569.37</v>
      </c>
      <c r="G36" s="76">
        <f>SUM(G13:G35)</f>
        <v>0</v>
      </c>
      <c r="H36" s="76"/>
      <c r="I36" s="76">
        <f>SUM(I13:I35)</f>
        <v>0</v>
      </c>
      <c r="J36" s="76">
        <f>SUM(J13:J35)</f>
        <v>76569.37</v>
      </c>
      <c r="K36" s="127"/>
    </row>
    <row r="37" spans="1:14" ht="15" customHeight="1">
      <c r="A37" s="54"/>
      <c r="B37" s="69"/>
      <c r="C37" s="69"/>
      <c r="D37" s="73"/>
      <c r="E37" s="73"/>
      <c r="F37" s="81"/>
      <c r="G37" s="82"/>
      <c r="H37" s="82"/>
      <c r="I37" s="63"/>
      <c r="J37" s="83"/>
    </row>
    <row r="38" spans="1:14" ht="15" customHeight="1">
      <c r="A38" s="69"/>
      <c r="B38" s="55"/>
      <c r="C38" s="55"/>
      <c r="D38" s="56"/>
      <c r="E38" s="56"/>
      <c r="F38" s="74"/>
      <c r="G38" s="84"/>
      <c r="H38" s="84"/>
      <c r="I38" s="57" t="s">
        <v>68</v>
      </c>
      <c r="J38" s="82">
        <f>F36</f>
        <v>76569.37</v>
      </c>
      <c r="K38" s="43"/>
    </row>
    <row r="39" spans="1:14" ht="15" customHeight="1">
      <c r="A39" s="85"/>
      <c r="B39" s="55"/>
      <c r="C39" s="55"/>
      <c r="D39" s="56"/>
      <c r="E39" s="56"/>
      <c r="F39" s="56"/>
      <c r="G39" s="84"/>
      <c r="H39" s="84"/>
      <c r="I39" s="57" t="s">
        <v>69</v>
      </c>
      <c r="J39" s="82">
        <f>J9-J38</f>
        <v>1044502.11</v>
      </c>
      <c r="K39" s="43"/>
      <c r="L39" s="11"/>
      <c r="M39" s="11"/>
      <c r="N39" s="11"/>
    </row>
    <row r="40" spans="1:14" ht="15" customHeight="1">
      <c r="A40" s="85"/>
      <c r="B40" s="55"/>
      <c r="C40" s="55"/>
      <c r="D40" s="56"/>
      <c r="E40" s="56"/>
      <c r="F40" s="56"/>
      <c r="G40" s="84"/>
      <c r="H40" s="84"/>
      <c r="I40" s="57" t="s">
        <v>70</v>
      </c>
      <c r="J40" s="128">
        <f>J38/J9</f>
        <v>6.830016762178269E-2</v>
      </c>
      <c r="K40" s="44"/>
      <c r="L40" s="11"/>
      <c r="M40" s="11"/>
      <c r="N40" s="11"/>
    </row>
    <row r="41" spans="1:14" ht="15" customHeight="1">
      <c r="A41" s="69"/>
      <c r="B41" s="56"/>
      <c r="C41" s="56"/>
      <c r="D41" s="56"/>
      <c r="E41" s="56"/>
      <c r="F41" s="56"/>
      <c r="G41" s="86"/>
      <c r="H41" s="86"/>
      <c r="I41" s="57" t="s">
        <v>71</v>
      </c>
      <c r="J41" s="87">
        <v>0.08</v>
      </c>
      <c r="K41" s="45"/>
      <c r="L41" s="11"/>
      <c r="M41" s="11"/>
      <c r="N41" s="11"/>
    </row>
    <row r="42" spans="1:14">
      <c r="J42" s="25"/>
      <c r="L42" s="11"/>
      <c r="M42" s="11"/>
      <c r="N42" s="11"/>
    </row>
  </sheetData>
  <mergeCells count="1">
    <mergeCell ref="F11:I11"/>
  </mergeCells>
  <phoneticPr fontId="21" type="noConversion"/>
  <pageMargins left="0.75" right="0.75" top="1" bottom="1" header="0.5" footer="0.5"/>
  <pageSetup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CB4A-8F8A-4F2E-A747-62079947A163}">
  <dimension ref="A1:AF73"/>
  <sheetViews>
    <sheetView tabSelected="1" workbookViewId="0">
      <pane ySplit="9" topLeftCell="A10" activePane="bottomLeft" state="frozen"/>
      <selection pane="bottomLeft" activeCell="A10" sqref="A10:XFD10"/>
    </sheetView>
  </sheetViews>
  <sheetFormatPr defaultRowHeight="12.4"/>
  <cols>
    <col min="1" max="1" width="36.42578125" customWidth="1"/>
    <col min="2" max="2" width="54.28515625" customWidth="1"/>
    <col min="3" max="3" width="27.85546875" bestFit="1" customWidth="1"/>
    <col min="4" max="4" width="65.28515625" style="131" customWidth="1"/>
    <col min="5" max="5" width="14" style="129" bestFit="1" customWidth="1"/>
    <col min="6" max="6" width="14" style="129" customWidth="1"/>
    <col min="7" max="7" width="15.7109375" style="159" customWidth="1"/>
    <col min="8" max="8" width="13" bestFit="1" customWidth="1"/>
    <col min="9" max="9" width="17.85546875" customWidth="1"/>
    <col min="10" max="10" width="13.28515625" customWidth="1"/>
    <col min="11" max="11" width="13.28515625" style="165" customWidth="1"/>
    <col min="12" max="12" width="14.5703125" customWidth="1"/>
    <col min="13" max="13" width="15.85546875" customWidth="1"/>
    <col min="14" max="14" width="12.7109375" customWidth="1"/>
    <col min="15" max="15" width="11.42578125" bestFit="1" customWidth="1"/>
    <col min="16" max="16" width="16.28515625" customWidth="1"/>
    <col min="17" max="17" width="11.42578125" bestFit="1" customWidth="1"/>
    <col min="18" max="18" width="11.140625" bestFit="1" customWidth="1"/>
    <col min="19" max="19" width="12.85546875" customWidth="1"/>
    <col min="20" max="20" width="11.42578125" bestFit="1" customWidth="1"/>
    <col min="21" max="22" width="9.28515625" bestFit="1" customWidth="1"/>
  </cols>
  <sheetData>
    <row r="1" spans="1:32">
      <c r="A1" t="s">
        <v>72</v>
      </c>
      <c r="B1" s="25" t="s">
        <v>73</v>
      </c>
    </row>
    <row r="2" spans="1:32">
      <c r="A2" s="25" t="s">
        <v>74</v>
      </c>
      <c r="B2" s="133">
        <v>1353000</v>
      </c>
      <c r="C2" s="25"/>
      <c r="D2" s="157"/>
    </row>
    <row r="3" spans="1:32">
      <c r="A3" t="s">
        <v>75</v>
      </c>
      <c r="B3" s="129">
        <v>1121071.48</v>
      </c>
    </row>
    <row r="4" spans="1:32">
      <c r="A4" t="s">
        <v>76</v>
      </c>
      <c r="B4" s="129">
        <v>911000</v>
      </c>
    </row>
    <row r="5" spans="1:32">
      <c r="A5" t="s">
        <v>77</v>
      </c>
      <c r="B5" s="130">
        <v>46387</v>
      </c>
    </row>
    <row r="8" spans="1:32" s="138" customFormat="1" ht="24.95">
      <c r="A8" s="134" t="s">
        <v>78</v>
      </c>
      <c r="B8" s="134" t="s">
        <v>79</v>
      </c>
      <c r="C8" s="134" t="s">
        <v>80</v>
      </c>
      <c r="D8" s="135" t="s">
        <v>81</v>
      </c>
      <c r="E8" s="136" t="s">
        <v>82</v>
      </c>
      <c r="F8" s="136" t="s">
        <v>83</v>
      </c>
      <c r="G8" s="160" t="s">
        <v>84</v>
      </c>
      <c r="H8" s="134" t="s">
        <v>85</v>
      </c>
      <c r="I8" s="134" t="s">
        <v>86</v>
      </c>
      <c r="J8" s="134" t="s">
        <v>87</v>
      </c>
      <c r="K8" s="169" t="s">
        <v>88</v>
      </c>
      <c r="L8" s="134" t="s">
        <v>89</v>
      </c>
      <c r="M8" s="134" t="s">
        <v>90</v>
      </c>
      <c r="N8" s="134" t="s">
        <v>91</v>
      </c>
      <c r="O8" s="134" t="s">
        <v>92</v>
      </c>
      <c r="P8" s="134" t="s">
        <v>93</v>
      </c>
      <c r="Q8" s="134" t="s">
        <v>94</v>
      </c>
      <c r="R8" s="134" t="s">
        <v>95</v>
      </c>
      <c r="S8" s="134" t="s">
        <v>96</v>
      </c>
      <c r="T8" s="134" t="s">
        <v>97</v>
      </c>
    </row>
    <row r="9" spans="1:32" s="137" customFormat="1" ht="99.4">
      <c r="A9" s="139">
        <v>1</v>
      </c>
      <c r="B9" s="139" t="s">
        <v>98</v>
      </c>
      <c r="C9" s="139" t="s">
        <v>28</v>
      </c>
      <c r="D9" s="140"/>
      <c r="E9" s="141">
        <f>SUM(E10:E18)</f>
        <v>93279.029999999984</v>
      </c>
      <c r="F9" s="141">
        <v>60000</v>
      </c>
      <c r="G9" s="161" t="s">
        <v>99</v>
      </c>
      <c r="H9" s="153">
        <f>SUM(L9:AF9)</f>
        <v>19330.509999999998</v>
      </c>
      <c r="I9" s="153">
        <f>E9-H9</f>
        <v>73948.51999999999</v>
      </c>
      <c r="J9" s="155">
        <f>H9/E9</f>
        <v>0.2072331798476035</v>
      </c>
      <c r="K9" s="155">
        <f>H9/F9</f>
        <v>0.32217516666666662</v>
      </c>
      <c r="L9" s="153">
        <v>970.08</v>
      </c>
      <c r="M9" s="153">
        <v>1592.44</v>
      </c>
      <c r="N9" s="153">
        <v>3229.91</v>
      </c>
      <c r="O9" s="153">
        <v>1873.09</v>
      </c>
      <c r="P9" s="153">
        <v>1208.72</v>
      </c>
      <c r="Q9" s="153">
        <v>2315.36</v>
      </c>
      <c r="R9" s="153">
        <v>1908.88</v>
      </c>
      <c r="S9" s="153">
        <v>2388.8200000000002</v>
      </c>
      <c r="T9" s="153">
        <v>3843.21</v>
      </c>
      <c r="U9" s="153"/>
      <c r="V9" s="153"/>
      <c r="W9" s="153"/>
      <c r="X9" s="153"/>
      <c r="Y9" s="153"/>
      <c r="Z9" s="153"/>
      <c r="AA9" s="142"/>
      <c r="AB9" s="142"/>
      <c r="AC9" s="142"/>
      <c r="AD9" s="142"/>
      <c r="AE9" s="142"/>
      <c r="AF9" s="142"/>
    </row>
    <row r="10" spans="1:32">
      <c r="A10" s="143">
        <v>1.1000000000000001</v>
      </c>
      <c r="B10" s="143" t="s">
        <v>100</v>
      </c>
      <c r="C10" s="143"/>
      <c r="D10" s="144"/>
      <c r="E10" s="145">
        <v>10367.799999999999</v>
      </c>
      <c r="F10" s="145"/>
      <c r="G10" s="162"/>
      <c r="H10" s="145"/>
      <c r="I10" s="145"/>
      <c r="J10" s="145"/>
      <c r="K10" s="166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3"/>
      <c r="AB10" s="143"/>
      <c r="AC10" s="143"/>
      <c r="AD10" s="143"/>
      <c r="AE10" s="143"/>
      <c r="AF10" s="143"/>
    </row>
    <row r="11" spans="1:32">
      <c r="A11" s="143">
        <v>1.2</v>
      </c>
      <c r="B11" s="143" t="s">
        <v>101</v>
      </c>
      <c r="C11" s="143"/>
      <c r="D11" s="144"/>
      <c r="E11" s="145">
        <v>22732.36</v>
      </c>
      <c r="F11" s="145"/>
      <c r="G11" s="162"/>
      <c r="H11" s="145"/>
      <c r="I11" s="145"/>
      <c r="J11" s="145"/>
      <c r="K11" s="166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3"/>
      <c r="AB11" s="143"/>
      <c r="AC11" s="143"/>
      <c r="AD11" s="143"/>
      <c r="AE11" s="143"/>
      <c r="AF11" s="143"/>
    </row>
    <row r="12" spans="1:32">
      <c r="A12" s="143">
        <v>1.3</v>
      </c>
      <c r="B12" s="143" t="s">
        <v>102</v>
      </c>
      <c r="C12" s="143"/>
      <c r="D12" s="144"/>
      <c r="E12" s="145">
        <v>19091.330000000002</v>
      </c>
      <c r="F12" s="145"/>
      <c r="G12" s="162"/>
      <c r="H12" s="145"/>
      <c r="I12" s="145"/>
      <c r="J12" s="145"/>
      <c r="K12" s="166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3"/>
      <c r="AB12" s="143"/>
      <c r="AC12" s="143"/>
      <c r="AD12" s="143"/>
      <c r="AE12" s="143"/>
      <c r="AF12" s="143"/>
    </row>
    <row r="13" spans="1:32">
      <c r="A13" s="143">
        <v>1.4</v>
      </c>
      <c r="B13" s="143" t="s">
        <v>103</v>
      </c>
      <c r="C13" s="143"/>
      <c r="D13" s="144"/>
      <c r="E13" s="145">
        <v>4896.45</v>
      </c>
      <c r="F13" s="145"/>
      <c r="G13" s="162"/>
      <c r="H13" s="145"/>
      <c r="I13" s="145"/>
      <c r="J13" s="145"/>
      <c r="K13" s="166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3"/>
      <c r="AB13" s="143"/>
      <c r="AC13" s="143"/>
      <c r="AD13" s="143"/>
      <c r="AE13" s="143"/>
      <c r="AF13" s="143"/>
    </row>
    <row r="14" spans="1:32">
      <c r="A14" s="143">
        <v>1.5</v>
      </c>
      <c r="B14" s="143" t="s">
        <v>104</v>
      </c>
      <c r="C14" s="143"/>
      <c r="D14" s="144"/>
      <c r="E14" s="145">
        <v>19699.21</v>
      </c>
      <c r="F14" s="145"/>
      <c r="G14" s="162"/>
      <c r="H14" s="145"/>
      <c r="I14" s="145"/>
      <c r="J14" s="145"/>
      <c r="K14" s="166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3"/>
      <c r="AB14" s="143"/>
      <c r="AC14" s="143"/>
      <c r="AD14" s="143"/>
      <c r="AE14" s="143"/>
      <c r="AF14" s="143"/>
    </row>
    <row r="15" spans="1:32">
      <c r="A15" s="143">
        <v>1.6</v>
      </c>
      <c r="B15" s="143" t="s">
        <v>105</v>
      </c>
      <c r="C15" s="143"/>
      <c r="D15" s="144"/>
      <c r="E15" s="145">
        <v>8966.1200000000008</v>
      </c>
      <c r="F15" s="145"/>
      <c r="G15" s="162"/>
      <c r="H15" s="145"/>
      <c r="I15" s="145"/>
      <c r="J15" s="145"/>
      <c r="K15" s="166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3"/>
      <c r="AB15" s="143"/>
      <c r="AC15" s="143"/>
      <c r="AD15" s="143"/>
      <c r="AE15" s="143"/>
      <c r="AF15" s="143"/>
    </row>
    <row r="16" spans="1:32">
      <c r="A16" s="143">
        <v>1.7</v>
      </c>
      <c r="B16" s="143" t="s">
        <v>106</v>
      </c>
      <c r="C16" s="143"/>
      <c r="D16" s="144"/>
      <c r="E16" s="145">
        <v>5123.5</v>
      </c>
      <c r="F16" s="145"/>
      <c r="G16" s="162"/>
      <c r="H16" s="145"/>
      <c r="I16" s="145"/>
      <c r="J16" s="145"/>
      <c r="K16" s="166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3"/>
      <c r="AB16" s="143"/>
      <c r="AC16" s="143"/>
      <c r="AD16" s="143"/>
      <c r="AE16" s="143"/>
      <c r="AF16" s="143"/>
    </row>
    <row r="17" spans="1:32">
      <c r="A17" s="143">
        <v>1.8</v>
      </c>
      <c r="B17" s="143" t="s">
        <v>107</v>
      </c>
      <c r="C17" s="143"/>
      <c r="D17" s="144"/>
      <c r="E17" s="145">
        <v>1121.3900000000001</v>
      </c>
      <c r="F17" s="145"/>
      <c r="G17" s="162"/>
      <c r="H17" s="145"/>
      <c r="I17" s="145"/>
      <c r="J17" s="145"/>
      <c r="K17" s="166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3"/>
      <c r="AB17" s="143"/>
      <c r="AC17" s="143"/>
      <c r="AD17" s="143"/>
      <c r="AE17" s="143"/>
      <c r="AF17" s="143"/>
    </row>
    <row r="18" spans="1:32">
      <c r="A18" s="143">
        <v>1.9</v>
      </c>
      <c r="B18" s="143" t="s">
        <v>108</v>
      </c>
      <c r="C18" s="143"/>
      <c r="D18" s="144"/>
      <c r="E18" s="145">
        <v>1280.8699999999999</v>
      </c>
      <c r="F18" s="145"/>
      <c r="G18" s="162"/>
      <c r="H18" s="145"/>
      <c r="I18" s="145"/>
      <c r="J18" s="145"/>
      <c r="K18" s="166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3"/>
      <c r="AB18" s="143"/>
      <c r="AC18" s="143"/>
      <c r="AD18" s="143"/>
      <c r="AE18" s="143"/>
      <c r="AF18" s="143"/>
    </row>
    <row r="19" spans="1:32" s="132" customFormat="1">
      <c r="A19" s="146">
        <v>2</v>
      </c>
      <c r="B19" s="146" t="s">
        <v>109</v>
      </c>
      <c r="C19" s="146"/>
      <c r="D19" s="147"/>
      <c r="E19" s="148">
        <f>SUM(E20:E21)</f>
        <v>35193.040000000001</v>
      </c>
      <c r="F19" s="148">
        <f>E19</f>
        <v>35193.040000000001</v>
      </c>
      <c r="G19" s="163"/>
      <c r="H19" s="154">
        <f>SUM(L19:AF19)</f>
        <v>14134.789999999999</v>
      </c>
      <c r="I19" s="154">
        <f>E19-H19</f>
        <v>21058.25</v>
      </c>
      <c r="J19" s="156">
        <f>H19/E19</f>
        <v>0.40163594847162959</v>
      </c>
      <c r="K19" s="156">
        <f>H19/F19</f>
        <v>0.40163594847162959</v>
      </c>
      <c r="L19" s="154"/>
      <c r="M19" s="154"/>
      <c r="N19" s="154"/>
      <c r="O19" s="154"/>
      <c r="P19" s="154"/>
      <c r="Q19" s="154">
        <f>3855.16+10185.83+93.8</f>
        <v>14134.789999999999</v>
      </c>
      <c r="R19" s="154"/>
      <c r="S19" s="154"/>
      <c r="T19" s="154"/>
      <c r="U19" s="154"/>
      <c r="V19" s="154"/>
      <c r="W19" s="154"/>
      <c r="X19" s="154"/>
      <c r="Y19" s="154"/>
      <c r="Z19" s="154"/>
      <c r="AA19" s="149"/>
      <c r="AB19" s="149"/>
      <c r="AC19" s="149"/>
      <c r="AD19" s="149"/>
      <c r="AE19" s="149"/>
      <c r="AF19" s="149"/>
    </row>
    <row r="20" spans="1:32">
      <c r="A20" s="143">
        <v>2.1</v>
      </c>
      <c r="B20" s="143" t="s">
        <v>110</v>
      </c>
      <c r="C20" s="143" t="s">
        <v>111</v>
      </c>
      <c r="D20" s="144"/>
      <c r="E20" s="145">
        <v>24834.34</v>
      </c>
      <c r="F20" s="145"/>
      <c r="G20" s="162"/>
      <c r="H20" s="145"/>
      <c r="I20" s="145"/>
      <c r="J20" s="145"/>
      <c r="K20" s="166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3"/>
      <c r="AB20" s="143"/>
      <c r="AC20" s="143"/>
      <c r="AD20" s="143"/>
      <c r="AE20" s="143"/>
      <c r="AF20" s="143"/>
    </row>
    <row r="21" spans="1:32">
      <c r="A21" s="143">
        <v>2.2000000000000002</v>
      </c>
      <c r="B21" s="143" t="s">
        <v>109</v>
      </c>
      <c r="C21" s="143" t="s">
        <v>111</v>
      </c>
      <c r="D21" s="144" t="s">
        <v>112</v>
      </c>
      <c r="E21" s="145">
        <v>10358.700000000001</v>
      </c>
      <c r="F21" s="145"/>
      <c r="G21" s="162"/>
      <c r="H21" s="145"/>
      <c r="I21" s="145"/>
      <c r="J21" s="145"/>
      <c r="K21" s="166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3"/>
      <c r="AB21" s="143"/>
      <c r="AC21" s="143"/>
      <c r="AD21" s="143"/>
      <c r="AE21" s="143"/>
      <c r="AF21" s="143"/>
    </row>
    <row r="22" spans="1:32" s="137" customFormat="1">
      <c r="A22" s="139">
        <v>3</v>
      </c>
      <c r="B22" s="139" t="s">
        <v>113</v>
      </c>
      <c r="C22" s="139" t="s">
        <v>28</v>
      </c>
      <c r="D22" s="140" t="s">
        <v>114</v>
      </c>
      <c r="E22" s="141">
        <v>10808.67</v>
      </c>
      <c r="F22" s="141">
        <f>E22</f>
        <v>10808.67</v>
      </c>
      <c r="G22" s="161"/>
      <c r="H22" s="153">
        <f>SUM(L22:AF22)</f>
        <v>5299.4999999999991</v>
      </c>
      <c r="I22" s="153">
        <f>E22-H22</f>
        <v>5509.170000000001</v>
      </c>
      <c r="J22" s="155">
        <f>H22/E22</f>
        <v>0.49030084182420214</v>
      </c>
      <c r="K22" s="155">
        <f>H22/F22</f>
        <v>0.49030084182420214</v>
      </c>
      <c r="L22" s="153"/>
      <c r="M22" s="153">
        <v>2627.37</v>
      </c>
      <c r="N22" s="153"/>
      <c r="O22" s="153">
        <v>455.7</v>
      </c>
      <c r="P22" s="153">
        <v>773.38</v>
      </c>
      <c r="Q22" s="153">
        <v>911.4</v>
      </c>
      <c r="R22" s="153">
        <v>531.65</v>
      </c>
      <c r="S22" s="153"/>
      <c r="T22" s="153"/>
      <c r="U22" s="153"/>
      <c r="V22" s="153"/>
      <c r="W22" s="153"/>
      <c r="X22" s="153"/>
      <c r="Y22" s="153"/>
      <c r="Z22" s="153"/>
      <c r="AA22" s="142"/>
      <c r="AB22" s="142"/>
      <c r="AC22" s="142"/>
      <c r="AD22" s="142"/>
      <c r="AE22" s="142"/>
      <c r="AF22" s="142"/>
    </row>
    <row r="23" spans="1:32" s="132" customFormat="1">
      <c r="A23" s="146">
        <v>4</v>
      </c>
      <c r="B23" s="146" t="s">
        <v>115</v>
      </c>
      <c r="C23" s="146" t="s">
        <v>116</v>
      </c>
      <c r="D23" s="147" t="s">
        <v>117</v>
      </c>
      <c r="E23" s="148">
        <v>19991</v>
      </c>
      <c r="F23" s="148">
        <f>E23</f>
        <v>19991</v>
      </c>
      <c r="G23" s="163"/>
      <c r="H23" s="154">
        <f>SUM(L23:AF23)</f>
        <v>1112.5</v>
      </c>
      <c r="I23" s="154">
        <f>E23-H23</f>
        <v>18878.5</v>
      </c>
      <c r="J23" s="156">
        <f>H23/E23</f>
        <v>5.5650042519133608E-2</v>
      </c>
      <c r="K23" s="156">
        <f>H23/F23</f>
        <v>5.5650042519133608E-2</v>
      </c>
      <c r="L23" s="154"/>
      <c r="M23" s="154"/>
      <c r="N23" s="154"/>
      <c r="O23" s="154">
        <v>1112.5</v>
      </c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49"/>
      <c r="AB23" s="149"/>
      <c r="AC23" s="149"/>
      <c r="AD23" s="149"/>
      <c r="AE23" s="149"/>
      <c r="AF23" s="149"/>
    </row>
    <row r="24" spans="1:32" s="137" customFormat="1">
      <c r="A24" s="139">
        <v>5</v>
      </c>
      <c r="B24" s="139" t="s">
        <v>118</v>
      </c>
      <c r="C24" s="139"/>
      <c r="D24" s="140"/>
      <c r="E24" s="141">
        <v>147859.34</v>
      </c>
      <c r="F24" s="141">
        <f>E24/2</f>
        <v>73929.67</v>
      </c>
      <c r="G24" s="161"/>
      <c r="H24" s="153">
        <f>SUM(L24:AF24)</f>
        <v>18519.449999999997</v>
      </c>
      <c r="I24" s="153">
        <f>E24-H24</f>
        <v>129339.89</v>
      </c>
      <c r="J24" s="155">
        <f>H24/E24</f>
        <v>0.1252504576308808</v>
      </c>
      <c r="K24" s="155">
        <f>H24/F24</f>
        <v>0.2505009152617616</v>
      </c>
      <c r="L24" s="153"/>
      <c r="M24" s="153">
        <v>7</v>
      </c>
      <c r="N24" s="153"/>
      <c r="O24" s="153"/>
      <c r="P24" s="153"/>
      <c r="Q24" s="153">
        <v>2638.95</v>
      </c>
      <c r="S24" s="153">
        <f>16450.6-577.1</f>
        <v>15873.499999999998</v>
      </c>
      <c r="T24" s="153"/>
      <c r="U24" s="153"/>
      <c r="V24" s="153"/>
      <c r="W24" s="153"/>
      <c r="X24" s="153"/>
      <c r="Y24" s="153"/>
      <c r="Z24" s="153"/>
      <c r="AA24" s="142"/>
      <c r="AB24" s="142"/>
      <c r="AC24" s="142"/>
      <c r="AD24" s="142"/>
      <c r="AE24" s="142"/>
      <c r="AF24" s="142"/>
    </row>
    <row r="25" spans="1:32" ht="149.1">
      <c r="A25" s="143" t="s">
        <v>119</v>
      </c>
      <c r="B25" s="143" t="s">
        <v>118</v>
      </c>
      <c r="C25" s="143" t="s">
        <v>111</v>
      </c>
      <c r="D25" s="144" t="s">
        <v>120</v>
      </c>
      <c r="E25" s="145"/>
      <c r="F25" s="145"/>
      <c r="G25" s="162"/>
      <c r="H25" s="145"/>
      <c r="I25" s="145"/>
      <c r="J25" s="145"/>
      <c r="K25" s="166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3"/>
      <c r="AB25" s="143"/>
      <c r="AC25" s="143"/>
      <c r="AD25" s="143"/>
      <c r="AE25" s="143"/>
      <c r="AF25" s="143"/>
    </row>
    <row r="26" spans="1:32" ht="74.650000000000006">
      <c r="A26" s="143" t="s">
        <v>121</v>
      </c>
      <c r="B26" s="143" t="s">
        <v>122</v>
      </c>
      <c r="C26" s="143" t="s">
        <v>111</v>
      </c>
      <c r="D26" s="144" t="s">
        <v>123</v>
      </c>
      <c r="E26" s="145"/>
      <c r="F26" s="145"/>
      <c r="G26" s="162"/>
      <c r="H26" s="145"/>
      <c r="I26" s="145"/>
      <c r="J26" s="145"/>
      <c r="K26" s="166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3"/>
      <c r="AB26" s="143"/>
      <c r="AC26" s="143"/>
      <c r="AD26" s="143"/>
      <c r="AE26" s="143"/>
      <c r="AF26" s="143"/>
    </row>
    <row r="27" spans="1:32" ht="74.650000000000006">
      <c r="A27" s="143" t="s">
        <v>124</v>
      </c>
      <c r="B27" s="143" t="s">
        <v>125</v>
      </c>
      <c r="C27" s="143" t="s">
        <v>111</v>
      </c>
      <c r="D27" s="144" t="s">
        <v>126</v>
      </c>
      <c r="E27" s="145"/>
      <c r="F27" s="145"/>
      <c r="G27" s="162"/>
      <c r="H27" s="145"/>
      <c r="I27" s="145"/>
      <c r="J27" s="145"/>
      <c r="K27" s="166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3"/>
      <c r="AB27" s="143"/>
      <c r="AC27" s="143"/>
      <c r="AD27" s="143"/>
      <c r="AE27" s="143"/>
      <c r="AF27" s="143"/>
    </row>
    <row r="28" spans="1:32" ht="62.1">
      <c r="A28" s="143" t="s">
        <v>127</v>
      </c>
      <c r="B28" s="143" t="s">
        <v>128</v>
      </c>
      <c r="C28" s="143" t="s">
        <v>111</v>
      </c>
      <c r="D28" s="144" t="s">
        <v>129</v>
      </c>
      <c r="E28" s="145"/>
      <c r="F28" s="145"/>
      <c r="G28" s="162"/>
      <c r="H28" s="145"/>
      <c r="I28" s="145"/>
      <c r="J28" s="145"/>
      <c r="K28" s="166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3"/>
      <c r="AB28" s="143"/>
      <c r="AC28" s="143"/>
      <c r="AD28" s="143"/>
      <c r="AE28" s="143"/>
      <c r="AF28" s="143"/>
    </row>
    <row r="29" spans="1:32" ht="99.4">
      <c r="A29" s="143" t="s">
        <v>130</v>
      </c>
      <c r="B29" s="143" t="s">
        <v>131</v>
      </c>
      <c r="C29" s="143" t="s">
        <v>111</v>
      </c>
      <c r="D29" s="144" t="s">
        <v>132</v>
      </c>
      <c r="E29" s="145"/>
      <c r="F29" s="145"/>
      <c r="G29" s="162"/>
      <c r="H29" s="145"/>
      <c r="I29" s="145"/>
      <c r="J29" s="145"/>
      <c r="K29" s="166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3"/>
      <c r="AB29" s="143"/>
      <c r="AC29" s="143"/>
      <c r="AD29" s="143"/>
      <c r="AE29" s="143"/>
      <c r="AF29" s="143"/>
    </row>
    <row r="30" spans="1:32" s="132" customFormat="1">
      <c r="A30" s="146">
        <v>6</v>
      </c>
      <c r="B30" s="146" t="s">
        <v>133</v>
      </c>
      <c r="C30" s="146" t="s">
        <v>111</v>
      </c>
      <c r="D30" s="147"/>
      <c r="E30" s="148">
        <v>45411.53</v>
      </c>
      <c r="F30" s="148">
        <f>E30</f>
        <v>45411.53</v>
      </c>
      <c r="G30" s="163"/>
      <c r="H30" s="154">
        <f>SUM(L30:AF30)</f>
        <v>577.1</v>
      </c>
      <c r="I30" s="154">
        <f>E30-H30</f>
        <v>44834.43</v>
      </c>
      <c r="J30" s="156">
        <f>H30/E30</f>
        <v>1.2708226302879468E-2</v>
      </c>
      <c r="K30" s="156">
        <f>H30/F30</f>
        <v>1.2708226302879468E-2</v>
      </c>
      <c r="L30" s="154"/>
      <c r="M30" s="154"/>
      <c r="N30" s="154"/>
      <c r="O30" s="154"/>
      <c r="P30" s="154"/>
      <c r="Q30" s="154"/>
      <c r="S30" s="154">
        <v>577.1</v>
      </c>
      <c r="T30" s="154"/>
      <c r="U30" s="154"/>
      <c r="V30" s="154"/>
      <c r="W30" s="154"/>
      <c r="X30" s="154"/>
      <c r="Y30" s="154"/>
      <c r="Z30" s="154"/>
      <c r="AA30" s="149"/>
      <c r="AB30" s="149"/>
      <c r="AC30" s="149"/>
      <c r="AD30" s="149"/>
      <c r="AE30" s="149"/>
      <c r="AF30" s="149"/>
    </row>
    <row r="31" spans="1:32">
      <c r="A31" s="143">
        <v>6.1</v>
      </c>
      <c r="B31" s="143" t="s">
        <v>134</v>
      </c>
      <c r="C31" s="143" t="s">
        <v>111</v>
      </c>
      <c r="D31" s="144"/>
      <c r="E31" s="145"/>
      <c r="F31" s="145"/>
      <c r="G31" s="162"/>
      <c r="H31" s="145"/>
      <c r="I31" s="145"/>
      <c r="J31" s="145"/>
      <c r="K31" s="166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3"/>
      <c r="AB31" s="143"/>
      <c r="AC31" s="143"/>
      <c r="AD31" s="143"/>
      <c r="AE31" s="143"/>
      <c r="AF31" s="143"/>
    </row>
    <row r="32" spans="1:32">
      <c r="A32" s="143">
        <v>6.2</v>
      </c>
      <c r="B32" s="143" t="s">
        <v>135</v>
      </c>
      <c r="C32" s="143" t="s">
        <v>111</v>
      </c>
      <c r="D32" s="144"/>
      <c r="E32" s="145"/>
      <c r="F32" s="145"/>
      <c r="G32" s="162"/>
      <c r="H32" s="145"/>
      <c r="I32" s="145"/>
      <c r="J32" s="145"/>
      <c r="K32" s="166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3"/>
      <c r="AB32" s="143"/>
      <c r="AC32" s="143"/>
      <c r="AD32" s="143"/>
      <c r="AE32" s="143"/>
      <c r="AF32" s="143"/>
    </row>
    <row r="33" spans="1:32">
      <c r="A33" s="143">
        <v>6.3</v>
      </c>
      <c r="B33" s="143" t="s">
        <v>136</v>
      </c>
      <c r="C33" s="143" t="s">
        <v>111</v>
      </c>
      <c r="D33" s="144"/>
      <c r="E33" s="145"/>
      <c r="F33" s="145"/>
      <c r="G33" s="162"/>
      <c r="H33" s="145"/>
      <c r="I33" s="145"/>
      <c r="J33" s="145"/>
      <c r="K33" s="166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3"/>
      <c r="AB33" s="143"/>
      <c r="AC33" s="143"/>
      <c r="AD33" s="143"/>
      <c r="AE33" s="143"/>
      <c r="AF33" s="143"/>
    </row>
    <row r="34" spans="1:32">
      <c r="A34" s="143">
        <v>6.4</v>
      </c>
      <c r="B34" s="143" t="s">
        <v>137</v>
      </c>
      <c r="C34" s="143" t="s">
        <v>111</v>
      </c>
      <c r="D34" s="144"/>
      <c r="E34" s="145"/>
      <c r="F34" s="145"/>
      <c r="G34" s="162"/>
      <c r="H34" s="145"/>
      <c r="I34" s="145"/>
      <c r="J34" s="145"/>
      <c r="K34" s="166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3"/>
      <c r="AB34" s="143"/>
      <c r="AC34" s="143"/>
      <c r="AD34" s="143"/>
      <c r="AE34" s="143"/>
      <c r="AF34" s="143"/>
    </row>
    <row r="35" spans="1:32">
      <c r="A35" s="143">
        <v>6.5</v>
      </c>
      <c r="B35" s="143" t="s">
        <v>138</v>
      </c>
      <c r="C35" s="143" t="s">
        <v>111</v>
      </c>
      <c r="D35" s="144"/>
      <c r="E35" s="145"/>
      <c r="F35" s="145"/>
      <c r="G35" s="162"/>
      <c r="H35" s="145"/>
      <c r="I35" s="145"/>
      <c r="J35" s="145"/>
      <c r="K35" s="166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3"/>
      <c r="AB35" s="143"/>
      <c r="AC35" s="143"/>
      <c r="AD35" s="143"/>
      <c r="AE35" s="143"/>
      <c r="AF35" s="143"/>
    </row>
    <row r="36" spans="1:32">
      <c r="A36" s="143">
        <v>6.6</v>
      </c>
      <c r="B36" s="143" t="s">
        <v>139</v>
      </c>
      <c r="C36" s="143" t="s">
        <v>111</v>
      </c>
      <c r="D36" s="144"/>
      <c r="E36" s="145"/>
      <c r="F36" s="145"/>
      <c r="G36" s="162"/>
      <c r="H36" s="145"/>
      <c r="I36" s="145"/>
      <c r="J36" s="145"/>
      <c r="K36" s="166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3"/>
      <c r="AB36" s="143"/>
      <c r="AC36" s="143"/>
      <c r="AD36" s="143"/>
      <c r="AE36" s="143"/>
      <c r="AF36" s="143"/>
    </row>
    <row r="37" spans="1:32">
      <c r="A37" s="143">
        <v>6.7</v>
      </c>
      <c r="B37" s="143" t="s">
        <v>140</v>
      </c>
      <c r="C37" s="143" t="s">
        <v>111</v>
      </c>
      <c r="D37" s="144"/>
      <c r="E37" s="145"/>
      <c r="F37" s="145"/>
      <c r="G37" s="162"/>
      <c r="H37" s="145"/>
      <c r="I37" s="145"/>
      <c r="J37" s="145"/>
      <c r="K37" s="166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3"/>
      <c r="AB37" s="143"/>
      <c r="AC37" s="143"/>
      <c r="AD37" s="143"/>
      <c r="AE37" s="143"/>
      <c r="AF37" s="143"/>
    </row>
    <row r="38" spans="1:32">
      <c r="A38" s="143">
        <v>6.8</v>
      </c>
      <c r="B38" s="143" t="s">
        <v>141</v>
      </c>
      <c r="C38" s="143" t="s">
        <v>111</v>
      </c>
      <c r="D38" s="144"/>
      <c r="E38" s="145"/>
      <c r="F38" s="145"/>
      <c r="G38" s="162"/>
      <c r="H38" s="145"/>
      <c r="I38" s="145"/>
      <c r="J38" s="145"/>
      <c r="K38" s="166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3"/>
      <c r="AB38" s="143"/>
      <c r="AC38" s="143"/>
      <c r="AD38" s="143"/>
      <c r="AE38" s="143"/>
      <c r="AF38" s="143"/>
    </row>
    <row r="39" spans="1:32" ht="99.4">
      <c r="A39" s="143">
        <v>6.9</v>
      </c>
      <c r="B39" s="143" t="s">
        <v>142</v>
      </c>
      <c r="C39" s="143" t="s">
        <v>111</v>
      </c>
      <c r="D39" s="144" t="s">
        <v>143</v>
      </c>
      <c r="E39" s="145"/>
      <c r="F39" s="145"/>
      <c r="G39" s="162"/>
      <c r="H39" s="145"/>
      <c r="I39" s="145"/>
      <c r="J39" s="145"/>
      <c r="K39" s="166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3"/>
      <c r="AB39" s="143"/>
      <c r="AC39" s="143"/>
      <c r="AD39" s="143"/>
      <c r="AE39" s="143"/>
      <c r="AF39" s="143"/>
    </row>
    <row r="40" spans="1:32" s="137" customFormat="1" ht="24.95">
      <c r="A40" s="139">
        <v>7</v>
      </c>
      <c r="B40" s="139" t="s">
        <v>50</v>
      </c>
      <c r="C40" s="139" t="s">
        <v>144</v>
      </c>
      <c r="D40" s="140" t="s">
        <v>145</v>
      </c>
      <c r="E40" s="141">
        <v>5493</v>
      </c>
      <c r="F40" s="141">
        <f>E40</f>
        <v>5493</v>
      </c>
      <c r="G40" s="161"/>
      <c r="H40" s="153">
        <f>SUM(L40:AF40)</f>
        <v>172.56</v>
      </c>
      <c r="I40" s="153">
        <f>E40-H40</f>
        <v>5320.44</v>
      </c>
      <c r="J40" s="155">
        <f>H40/E40</f>
        <v>3.1414527580557072E-2</v>
      </c>
      <c r="K40" s="155">
        <f>H40/F40</f>
        <v>3.1414527580557072E-2</v>
      </c>
      <c r="L40" s="153"/>
      <c r="M40" s="153"/>
      <c r="N40" s="153">
        <v>172.56</v>
      </c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42"/>
      <c r="AB40" s="142"/>
      <c r="AC40" s="142"/>
      <c r="AD40" s="142"/>
      <c r="AE40" s="142"/>
      <c r="AF40" s="142"/>
    </row>
    <row r="41" spans="1:32" s="132" customFormat="1" ht="62.1">
      <c r="A41" s="146">
        <v>8</v>
      </c>
      <c r="B41" s="146" t="s">
        <v>146</v>
      </c>
      <c r="C41" s="146"/>
      <c r="D41" s="147"/>
      <c r="E41" s="148">
        <v>58866.65</v>
      </c>
      <c r="F41" s="148">
        <v>10000</v>
      </c>
      <c r="G41" s="163" t="s">
        <v>147</v>
      </c>
      <c r="H41" s="154">
        <f>SUM(L41:AF41)</f>
        <v>6.3</v>
      </c>
      <c r="I41" s="154">
        <f>E41-H41</f>
        <v>58860.35</v>
      </c>
      <c r="J41" s="156">
        <f>H41/E41</f>
        <v>1.0702154785434536E-4</v>
      </c>
      <c r="K41" s="156">
        <f>H41/F41</f>
        <v>6.3000000000000003E-4</v>
      </c>
      <c r="L41" s="154"/>
      <c r="M41" s="154">
        <v>6.3</v>
      </c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49"/>
      <c r="AB41" s="149"/>
      <c r="AC41" s="149"/>
      <c r="AD41" s="149"/>
      <c r="AE41" s="149"/>
      <c r="AF41" s="149"/>
    </row>
    <row r="42" spans="1:32">
      <c r="A42" s="143">
        <v>8.1</v>
      </c>
      <c r="B42" s="143" t="s">
        <v>146</v>
      </c>
      <c r="C42" s="143" t="s">
        <v>148</v>
      </c>
      <c r="D42" s="144"/>
      <c r="E42" s="145"/>
      <c r="F42" s="145"/>
      <c r="G42" s="162"/>
      <c r="H42" s="145"/>
      <c r="I42" s="145"/>
      <c r="J42" s="145"/>
      <c r="K42" s="166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3"/>
      <c r="AB42" s="143"/>
      <c r="AC42" s="143"/>
      <c r="AD42" s="143"/>
      <c r="AE42" s="143"/>
      <c r="AF42" s="143"/>
    </row>
    <row r="43" spans="1:32">
      <c r="A43" s="143">
        <v>8.1999999999999993</v>
      </c>
      <c r="B43" s="143" t="s">
        <v>149</v>
      </c>
      <c r="C43" s="143" t="s">
        <v>148</v>
      </c>
      <c r="D43" s="144"/>
      <c r="E43" s="145"/>
      <c r="F43" s="145"/>
      <c r="G43" s="162"/>
      <c r="H43" s="145"/>
      <c r="I43" s="145"/>
      <c r="J43" s="145"/>
      <c r="K43" s="166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3"/>
      <c r="AB43" s="143"/>
      <c r="AC43" s="143"/>
      <c r="AD43" s="143"/>
      <c r="AE43" s="143"/>
      <c r="AF43" s="143"/>
    </row>
    <row r="44" spans="1:32">
      <c r="A44" s="143">
        <v>8.3000000000000007</v>
      </c>
      <c r="B44" s="143" t="s">
        <v>150</v>
      </c>
      <c r="C44" s="143" t="s">
        <v>148</v>
      </c>
      <c r="D44" s="144"/>
      <c r="E44" s="145"/>
      <c r="F44" s="145"/>
      <c r="G44" s="162"/>
      <c r="H44" s="145"/>
      <c r="I44" s="145"/>
      <c r="J44" s="145"/>
      <c r="K44" s="166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3"/>
      <c r="AB44" s="143"/>
      <c r="AC44" s="143"/>
      <c r="AD44" s="143"/>
      <c r="AE44" s="143"/>
      <c r="AF44" s="143"/>
    </row>
    <row r="45" spans="1:32">
      <c r="A45" s="143">
        <v>8.4</v>
      </c>
      <c r="B45" s="143" t="s">
        <v>151</v>
      </c>
      <c r="C45" s="143" t="s">
        <v>148</v>
      </c>
      <c r="D45" s="144"/>
      <c r="E45" s="145"/>
      <c r="F45" s="145"/>
      <c r="G45" s="162"/>
      <c r="H45" s="145"/>
      <c r="I45" s="145"/>
      <c r="J45" s="145"/>
      <c r="K45" s="166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3"/>
      <c r="AB45" s="143"/>
      <c r="AC45" s="143"/>
      <c r="AD45" s="143"/>
      <c r="AE45" s="143"/>
      <c r="AF45" s="143"/>
    </row>
    <row r="46" spans="1:32" s="137" customFormat="1" ht="24.95">
      <c r="A46" s="139">
        <v>9</v>
      </c>
      <c r="B46" s="139" t="s">
        <v>152</v>
      </c>
      <c r="C46" s="139" t="s">
        <v>28</v>
      </c>
      <c r="D46" s="140" t="s">
        <v>153</v>
      </c>
      <c r="E46" s="141">
        <v>6400.66</v>
      </c>
      <c r="F46" s="141">
        <f>E46</f>
        <v>6400.66</v>
      </c>
      <c r="G46" s="161"/>
      <c r="H46" s="153">
        <f>SUM(L46:AF46)</f>
        <v>0</v>
      </c>
      <c r="I46" s="153">
        <f>E46-H46</f>
        <v>6400.66</v>
      </c>
      <c r="J46" s="155">
        <f>H46/E46</f>
        <v>0</v>
      </c>
      <c r="K46" s="155">
        <f>H46/F46</f>
        <v>0</v>
      </c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42"/>
      <c r="AB46" s="142"/>
      <c r="AC46" s="142"/>
      <c r="AD46" s="142"/>
      <c r="AE46" s="142"/>
      <c r="AF46" s="142"/>
    </row>
    <row r="47" spans="1:32" s="132" customFormat="1">
      <c r="A47" s="146">
        <v>10</v>
      </c>
      <c r="B47" s="146" t="s">
        <v>154</v>
      </c>
      <c r="C47" s="146" t="s">
        <v>45</v>
      </c>
      <c r="D47" s="147"/>
      <c r="E47" s="148">
        <v>237317.11</v>
      </c>
      <c r="F47" s="148">
        <f>E47/2</f>
        <v>118658.55499999999</v>
      </c>
      <c r="G47" s="163"/>
      <c r="H47" s="154">
        <f>SUM(L47:AF47)</f>
        <v>49468.009999999995</v>
      </c>
      <c r="I47" s="154">
        <f>E47-H47</f>
        <v>187849.09999999998</v>
      </c>
      <c r="J47" s="156">
        <f>H47/E47</f>
        <v>0.20844687515367097</v>
      </c>
      <c r="K47" s="156"/>
      <c r="L47" s="154"/>
      <c r="M47" s="154"/>
      <c r="N47" s="154">
        <f>7062.03+1454.28</f>
        <v>8516.31</v>
      </c>
      <c r="O47" s="154">
        <v>1768.17</v>
      </c>
      <c r="P47" s="154">
        <v>746.19</v>
      </c>
      <c r="Q47" s="154">
        <v>777.05</v>
      </c>
      <c r="S47" s="154">
        <v>884.62</v>
      </c>
      <c r="T47" s="154">
        <v>36775.67</v>
      </c>
      <c r="U47" s="154"/>
      <c r="V47" s="154"/>
      <c r="W47" s="154"/>
      <c r="X47" s="154"/>
      <c r="Y47" s="154"/>
      <c r="Z47" s="154"/>
      <c r="AA47" s="149"/>
      <c r="AB47" s="149"/>
      <c r="AC47" s="149"/>
      <c r="AD47" s="149"/>
      <c r="AE47" s="149"/>
      <c r="AF47" s="149"/>
    </row>
    <row r="48" spans="1:32" ht="37.35">
      <c r="A48" s="143">
        <v>10.1</v>
      </c>
      <c r="B48" s="143" t="s">
        <v>155</v>
      </c>
      <c r="C48" s="143" t="s">
        <v>45</v>
      </c>
      <c r="D48" s="144" t="s">
        <v>156</v>
      </c>
      <c r="E48" s="145"/>
      <c r="F48" s="145"/>
      <c r="G48" s="162"/>
      <c r="H48" s="145"/>
      <c r="I48" s="145"/>
      <c r="J48" s="145"/>
      <c r="K48" s="166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3"/>
      <c r="AB48" s="143"/>
      <c r="AC48" s="143"/>
      <c r="AD48" s="143"/>
      <c r="AE48" s="143"/>
      <c r="AF48" s="143"/>
    </row>
    <row r="49" spans="1:32" ht="62.1">
      <c r="A49" s="143">
        <v>10.199999999999999</v>
      </c>
      <c r="B49" s="143" t="s">
        <v>157</v>
      </c>
      <c r="C49" s="143" t="s">
        <v>45</v>
      </c>
      <c r="D49" s="144" t="s">
        <v>158</v>
      </c>
      <c r="E49" s="145"/>
      <c r="F49" s="145"/>
      <c r="G49" s="162"/>
      <c r="H49" s="145"/>
      <c r="I49" s="145"/>
      <c r="J49" s="145"/>
      <c r="K49" s="166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3"/>
      <c r="AB49" s="143"/>
      <c r="AC49" s="143"/>
      <c r="AD49" s="143"/>
      <c r="AE49" s="143"/>
      <c r="AF49" s="143"/>
    </row>
    <row r="50" spans="1:32" ht="37.35">
      <c r="A50" s="143">
        <v>10.3</v>
      </c>
      <c r="B50" s="143" t="s">
        <v>159</v>
      </c>
      <c r="C50" s="143" t="s">
        <v>45</v>
      </c>
      <c r="D50" s="144" t="s">
        <v>160</v>
      </c>
      <c r="E50" s="145"/>
      <c r="F50" s="145"/>
      <c r="G50" s="162"/>
      <c r="H50" s="145"/>
      <c r="I50" s="145"/>
      <c r="J50" s="145"/>
      <c r="K50" s="166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3"/>
      <c r="AB50" s="143"/>
      <c r="AC50" s="143"/>
      <c r="AD50" s="143"/>
      <c r="AE50" s="143"/>
      <c r="AF50" s="143"/>
    </row>
    <row r="51" spans="1:32" ht="74.650000000000006">
      <c r="A51" s="143">
        <v>10.4</v>
      </c>
      <c r="B51" s="143" t="s">
        <v>161</v>
      </c>
      <c r="C51" s="143" t="s">
        <v>45</v>
      </c>
      <c r="D51" s="144" t="s">
        <v>162</v>
      </c>
      <c r="E51" s="145"/>
      <c r="F51" s="145"/>
      <c r="G51" s="162"/>
      <c r="H51" s="145"/>
      <c r="I51" s="145"/>
      <c r="J51" s="145"/>
      <c r="K51" s="166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3"/>
      <c r="AB51" s="143"/>
      <c r="AC51" s="143"/>
      <c r="AD51" s="143"/>
      <c r="AE51" s="143"/>
      <c r="AF51" s="143"/>
    </row>
    <row r="52" spans="1:32">
      <c r="A52" s="143">
        <v>10.4</v>
      </c>
      <c r="B52" s="143" t="s">
        <v>163</v>
      </c>
      <c r="C52" s="143" t="s">
        <v>45</v>
      </c>
      <c r="D52" s="144" t="s">
        <v>164</v>
      </c>
      <c r="E52" s="145"/>
      <c r="F52" s="145"/>
      <c r="G52" s="162"/>
      <c r="H52" s="145"/>
      <c r="I52" s="145"/>
      <c r="J52" s="145"/>
      <c r="K52" s="166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3"/>
      <c r="AB52" s="143"/>
      <c r="AC52" s="143"/>
      <c r="AD52" s="143"/>
      <c r="AE52" s="143"/>
      <c r="AF52" s="143"/>
    </row>
    <row r="53" spans="1:32" s="137" customFormat="1" ht="49.7">
      <c r="A53" s="139">
        <v>11</v>
      </c>
      <c r="B53" s="139" t="s">
        <v>165</v>
      </c>
      <c r="C53" s="139" t="s">
        <v>28</v>
      </c>
      <c r="D53" s="140"/>
      <c r="E53" s="141">
        <v>4408.74</v>
      </c>
      <c r="F53" s="141">
        <v>0</v>
      </c>
      <c r="G53" s="161" t="s">
        <v>166</v>
      </c>
      <c r="H53" s="153">
        <f>SUM(L53:AF53)</f>
        <v>0</v>
      </c>
      <c r="I53" s="153">
        <f>E53-H53</f>
        <v>4408.74</v>
      </c>
      <c r="J53" s="155">
        <f>H53/E53</f>
        <v>0</v>
      </c>
      <c r="K53" s="155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42"/>
      <c r="AB53" s="142"/>
      <c r="AC53" s="142"/>
      <c r="AD53" s="142"/>
      <c r="AE53" s="142"/>
      <c r="AF53" s="142"/>
    </row>
    <row r="54" spans="1:32">
      <c r="A54" s="143">
        <v>11.1</v>
      </c>
      <c r="B54" s="143" t="s">
        <v>167</v>
      </c>
      <c r="C54" s="143" t="s">
        <v>28</v>
      </c>
      <c r="D54" s="144" t="s">
        <v>168</v>
      </c>
      <c r="E54" s="145"/>
      <c r="F54" s="145"/>
      <c r="G54" s="162"/>
      <c r="H54" s="145"/>
      <c r="I54" s="145"/>
      <c r="J54" s="145"/>
      <c r="K54" s="166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3"/>
      <c r="AB54" s="143"/>
      <c r="AC54" s="143"/>
      <c r="AD54" s="143"/>
      <c r="AE54" s="143"/>
      <c r="AF54" s="143"/>
    </row>
    <row r="55" spans="1:32" ht="24.95">
      <c r="A55" s="143">
        <v>11.2</v>
      </c>
      <c r="B55" s="143" t="s">
        <v>169</v>
      </c>
      <c r="C55" s="143" t="s">
        <v>28</v>
      </c>
      <c r="D55" s="144" t="s">
        <v>170</v>
      </c>
      <c r="E55" s="145"/>
      <c r="F55" s="145"/>
      <c r="G55" s="162"/>
      <c r="H55" s="145"/>
      <c r="I55" s="145"/>
      <c r="J55" s="145"/>
      <c r="K55" s="166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3"/>
      <c r="AB55" s="143"/>
      <c r="AC55" s="143"/>
      <c r="AD55" s="143"/>
      <c r="AE55" s="143"/>
      <c r="AF55" s="143"/>
    </row>
    <row r="56" spans="1:32" s="132" customFormat="1" ht="37.35">
      <c r="A56" s="146">
        <v>12</v>
      </c>
      <c r="B56" s="146" t="s">
        <v>171</v>
      </c>
      <c r="C56" s="146" t="s">
        <v>28</v>
      </c>
      <c r="D56" s="147"/>
      <c r="E56" s="148">
        <v>67209.42</v>
      </c>
      <c r="F56" s="148">
        <f>E56*0.6</f>
        <v>40325.651999999995</v>
      </c>
      <c r="G56" s="163" t="s">
        <v>172</v>
      </c>
      <c r="H56" s="154">
        <f>SUM(L56:AF56)</f>
        <v>629.28</v>
      </c>
      <c r="I56" s="154">
        <f>E56-H56</f>
        <v>66580.14</v>
      </c>
      <c r="J56" s="156">
        <f>H56/E56</f>
        <v>9.3629732260745585E-3</v>
      </c>
      <c r="K56" s="156">
        <f>H56/F56</f>
        <v>1.5604955376790934E-2</v>
      </c>
      <c r="L56" s="154"/>
      <c r="M56" s="154"/>
      <c r="N56" s="154">
        <v>116.74</v>
      </c>
      <c r="P56" s="154"/>
      <c r="Q56" s="154"/>
      <c r="R56" s="154"/>
      <c r="S56" s="154"/>
      <c r="T56" s="154">
        <v>512.54</v>
      </c>
      <c r="U56" s="154"/>
      <c r="V56" s="154"/>
      <c r="W56" s="154"/>
      <c r="X56" s="154"/>
      <c r="Y56" s="154"/>
      <c r="Z56" s="154"/>
      <c r="AA56" s="149"/>
      <c r="AB56" s="149"/>
      <c r="AC56" s="149"/>
      <c r="AD56" s="149"/>
      <c r="AE56" s="149"/>
      <c r="AF56" s="149"/>
    </row>
    <row r="57" spans="1:32" ht="24.95">
      <c r="A57" s="143">
        <v>12.1</v>
      </c>
      <c r="B57" s="143" t="s">
        <v>173</v>
      </c>
      <c r="C57" s="143" t="s">
        <v>28</v>
      </c>
      <c r="D57" s="144" t="s">
        <v>174</v>
      </c>
      <c r="E57" s="145"/>
      <c r="F57" s="145"/>
      <c r="G57" s="162"/>
      <c r="H57" s="145"/>
      <c r="I57" s="145"/>
      <c r="J57" s="145"/>
      <c r="K57" s="166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3"/>
      <c r="AB57" s="143"/>
      <c r="AC57" s="143"/>
      <c r="AD57" s="143"/>
      <c r="AE57" s="143"/>
      <c r="AF57" s="143"/>
    </row>
    <row r="58" spans="1:32" ht="24.95">
      <c r="A58" s="143">
        <v>12.2</v>
      </c>
      <c r="B58" s="143" t="s">
        <v>175</v>
      </c>
      <c r="C58" s="143" t="s">
        <v>28</v>
      </c>
      <c r="D58" s="144" t="s">
        <v>176</v>
      </c>
      <c r="E58" s="145"/>
      <c r="F58" s="145"/>
      <c r="G58" s="162"/>
      <c r="H58" s="145"/>
      <c r="I58" s="145"/>
      <c r="J58" s="145"/>
      <c r="K58" s="166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3"/>
      <c r="AB58" s="143"/>
      <c r="AC58" s="143"/>
      <c r="AD58" s="143"/>
      <c r="AE58" s="143"/>
      <c r="AF58" s="143"/>
    </row>
    <row r="59" spans="1:32" ht="37.35">
      <c r="A59" s="143">
        <v>12.3</v>
      </c>
      <c r="B59" s="143" t="s">
        <v>177</v>
      </c>
      <c r="C59" s="143" t="s">
        <v>28</v>
      </c>
      <c r="D59" s="144" t="s">
        <v>178</v>
      </c>
      <c r="E59" s="145"/>
      <c r="F59" s="145"/>
      <c r="G59" s="162"/>
      <c r="H59" s="145"/>
      <c r="I59" s="145"/>
      <c r="J59" s="145"/>
      <c r="K59" s="166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3"/>
      <c r="AB59" s="143"/>
      <c r="AC59" s="143"/>
      <c r="AD59" s="143"/>
      <c r="AE59" s="143"/>
      <c r="AF59" s="143"/>
    </row>
    <row r="60" spans="1:32" ht="37.35">
      <c r="A60" s="143">
        <v>12.4</v>
      </c>
      <c r="B60" s="143" t="s">
        <v>179</v>
      </c>
      <c r="C60" s="143" t="s">
        <v>28</v>
      </c>
      <c r="D60" s="144" t="s">
        <v>180</v>
      </c>
      <c r="E60" s="145"/>
      <c r="F60" s="145"/>
      <c r="G60" s="162"/>
      <c r="H60" s="145"/>
      <c r="I60" s="145"/>
      <c r="J60" s="145"/>
      <c r="K60" s="166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3"/>
      <c r="AB60" s="143"/>
      <c r="AC60" s="143"/>
      <c r="AD60" s="143"/>
      <c r="AE60" s="143"/>
      <c r="AF60" s="143"/>
    </row>
    <row r="61" spans="1:32" ht="37.35">
      <c r="A61" s="143">
        <v>12.4</v>
      </c>
      <c r="B61" s="143" t="s">
        <v>181</v>
      </c>
      <c r="C61" s="143" t="s">
        <v>28</v>
      </c>
      <c r="D61" s="144" t="s">
        <v>182</v>
      </c>
      <c r="E61" s="145"/>
      <c r="F61" s="145"/>
      <c r="G61" s="162"/>
      <c r="H61" s="145"/>
      <c r="I61" s="145"/>
      <c r="J61" s="145"/>
      <c r="K61" s="166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3"/>
      <c r="AB61" s="143"/>
      <c r="AC61" s="143"/>
      <c r="AD61" s="143"/>
      <c r="AE61" s="143"/>
      <c r="AF61" s="143"/>
    </row>
    <row r="62" spans="1:32" s="137" customFormat="1" ht="49.7">
      <c r="A62" s="139">
        <v>13</v>
      </c>
      <c r="B62" s="139" t="s">
        <v>183</v>
      </c>
      <c r="C62" s="139" t="s">
        <v>28</v>
      </c>
      <c r="D62" s="140"/>
      <c r="E62" s="141">
        <v>367016.03</v>
      </c>
      <c r="F62" s="141">
        <f>E62*0.6</f>
        <v>220209.61800000002</v>
      </c>
      <c r="G62" s="161" t="s">
        <v>184</v>
      </c>
      <c r="H62" s="153">
        <f>SUM(L62:AF62)</f>
        <v>141090.35999999999</v>
      </c>
      <c r="I62" s="153">
        <f>E62-H62</f>
        <v>225925.67000000004</v>
      </c>
      <c r="J62" s="155">
        <f>H62/E62</f>
        <v>0.38442560669625242</v>
      </c>
      <c r="K62" s="155">
        <f>H62/F62</f>
        <v>0.64070934449375405</v>
      </c>
      <c r="L62" s="153">
        <v>11393.31</v>
      </c>
      <c r="M62" s="153">
        <v>10086.620000000001</v>
      </c>
      <c r="N62" s="153">
        <v>9546.7199999999993</v>
      </c>
      <c r="O62" s="153">
        <v>7343.65</v>
      </c>
      <c r="P62" s="153">
        <v>16382.65</v>
      </c>
      <c r="Q62" s="153">
        <v>12291.54</v>
      </c>
      <c r="R62" s="153">
        <v>5517.04</v>
      </c>
      <c r="S62" s="153">
        <v>8211.19</v>
      </c>
      <c r="T62" s="153">
        <v>60317.64</v>
      </c>
      <c r="U62" s="153"/>
      <c r="V62" s="153"/>
      <c r="W62" s="153"/>
      <c r="X62" s="153"/>
      <c r="Y62" s="153"/>
      <c r="Z62" s="153"/>
      <c r="AA62" s="142"/>
      <c r="AB62" s="142"/>
      <c r="AC62" s="142"/>
      <c r="AD62" s="142"/>
      <c r="AE62" s="142"/>
      <c r="AF62" s="142"/>
    </row>
    <row r="63" spans="1:32" ht="24.95">
      <c r="A63" s="143">
        <v>13.1</v>
      </c>
      <c r="B63" s="143" t="s">
        <v>185</v>
      </c>
      <c r="C63" s="143" t="s">
        <v>28</v>
      </c>
      <c r="D63" s="144" t="s">
        <v>186</v>
      </c>
      <c r="E63" s="145"/>
      <c r="F63" s="145"/>
      <c r="G63" s="162"/>
      <c r="H63" s="145"/>
      <c r="I63" s="145"/>
      <c r="J63" s="145"/>
      <c r="K63" s="166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3"/>
      <c r="AB63" s="143"/>
      <c r="AC63" s="143"/>
      <c r="AD63" s="143"/>
      <c r="AE63" s="143"/>
      <c r="AF63" s="143"/>
    </row>
    <row r="64" spans="1:32" ht="37.35">
      <c r="A64" s="143">
        <v>13.2</v>
      </c>
      <c r="B64" s="143" t="s">
        <v>187</v>
      </c>
      <c r="C64" s="143" t="s">
        <v>28</v>
      </c>
      <c r="D64" s="144" t="s">
        <v>188</v>
      </c>
      <c r="E64" s="145"/>
      <c r="F64" s="145"/>
      <c r="G64" s="162"/>
      <c r="H64" s="145"/>
      <c r="I64" s="145"/>
      <c r="J64" s="145"/>
      <c r="K64" s="166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3"/>
      <c r="AB64" s="143"/>
      <c r="AC64" s="143"/>
      <c r="AD64" s="143"/>
      <c r="AE64" s="143"/>
      <c r="AF64" s="143"/>
    </row>
    <row r="65" spans="1:32" ht="24.95">
      <c r="A65" s="143">
        <v>13.3</v>
      </c>
      <c r="B65" s="143" t="s">
        <v>189</v>
      </c>
      <c r="C65" s="143" t="s">
        <v>28</v>
      </c>
      <c r="D65" s="144" t="s">
        <v>190</v>
      </c>
      <c r="E65" s="145"/>
      <c r="F65" s="145"/>
      <c r="G65" s="162"/>
      <c r="H65" s="145"/>
      <c r="I65" s="145"/>
      <c r="J65" s="145"/>
      <c r="K65" s="166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3"/>
      <c r="AB65" s="143"/>
      <c r="AC65" s="143"/>
      <c r="AD65" s="143"/>
      <c r="AE65" s="143"/>
      <c r="AF65" s="143"/>
    </row>
    <row r="66" spans="1:32" ht="37.35">
      <c r="A66" s="143">
        <v>13.4</v>
      </c>
      <c r="B66" s="143" t="s">
        <v>191</v>
      </c>
      <c r="C66" s="143" t="s">
        <v>28</v>
      </c>
      <c r="D66" s="144" t="s">
        <v>192</v>
      </c>
      <c r="E66" s="145"/>
      <c r="F66" s="145"/>
      <c r="G66" s="162"/>
      <c r="H66" s="145"/>
      <c r="I66" s="145"/>
      <c r="J66" s="145"/>
      <c r="K66" s="166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3"/>
      <c r="AB66" s="143"/>
      <c r="AC66" s="143"/>
      <c r="AD66" s="143"/>
      <c r="AE66" s="143"/>
      <c r="AF66" s="143"/>
    </row>
    <row r="67" spans="1:32" s="132" customFormat="1">
      <c r="A67" s="146">
        <v>14</v>
      </c>
      <c r="B67" s="146" t="s">
        <v>193</v>
      </c>
      <c r="C67" s="146" t="s">
        <v>28</v>
      </c>
      <c r="D67" s="147"/>
      <c r="E67" s="148">
        <v>21817.33</v>
      </c>
      <c r="F67" s="148">
        <f>E67/2</f>
        <v>10908.665000000001</v>
      </c>
      <c r="G67" s="163"/>
      <c r="H67" s="154">
        <f>SUM(L67:AF67)</f>
        <v>0</v>
      </c>
      <c r="I67" s="154">
        <f>E67-H67</f>
        <v>21817.33</v>
      </c>
      <c r="J67" s="156">
        <f>H67/E67</f>
        <v>0</v>
      </c>
      <c r="K67" s="156">
        <f>H67/F67</f>
        <v>0</v>
      </c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49"/>
      <c r="AB67" s="149"/>
      <c r="AC67" s="149"/>
      <c r="AD67" s="149"/>
      <c r="AE67" s="149"/>
      <c r="AF67" s="149"/>
    </row>
    <row r="68" spans="1:32">
      <c r="A68" s="143">
        <v>14.1</v>
      </c>
      <c r="B68" s="143" t="s">
        <v>194</v>
      </c>
      <c r="C68" s="143" t="s">
        <v>28</v>
      </c>
      <c r="D68" s="178" t="s">
        <v>195</v>
      </c>
      <c r="E68" s="145"/>
      <c r="F68" s="145"/>
      <c r="G68" s="162"/>
      <c r="H68" s="145"/>
      <c r="I68" s="145"/>
      <c r="J68" s="145"/>
      <c r="K68" s="166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3"/>
      <c r="AB68" s="143"/>
      <c r="AC68" s="143"/>
      <c r="AD68" s="143"/>
      <c r="AE68" s="143"/>
      <c r="AF68" s="143"/>
    </row>
    <row r="69" spans="1:32">
      <c r="A69" s="143">
        <v>14.2</v>
      </c>
      <c r="B69" s="143" t="s">
        <v>196</v>
      </c>
      <c r="C69" s="143" t="s">
        <v>28</v>
      </c>
      <c r="D69" s="178"/>
      <c r="E69" s="145"/>
      <c r="F69" s="145"/>
      <c r="G69" s="162"/>
      <c r="H69" s="145"/>
      <c r="I69" s="145"/>
      <c r="J69" s="145"/>
      <c r="K69" s="166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3"/>
      <c r="AB69" s="143"/>
      <c r="AC69" s="143"/>
      <c r="AD69" s="143"/>
      <c r="AE69" s="143"/>
      <c r="AF69" s="143"/>
    </row>
    <row r="70" spans="1:32">
      <c r="A70" s="143">
        <v>14.3</v>
      </c>
      <c r="B70" s="143" t="s">
        <v>197</v>
      </c>
      <c r="C70" s="143" t="s">
        <v>28</v>
      </c>
      <c r="D70" s="178"/>
      <c r="E70" s="145"/>
      <c r="F70" s="145"/>
      <c r="G70" s="162"/>
      <c r="H70" s="145"/>
      <c r="I70" s="145"/>
      <c r="J70" s="145"/>
      <c r="K70" s="166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3"/>
      <c r="AB70" s="143"/>
      <c r="AC70" s="143"/>
      <c r="AD70" s="143"/>
      <c r="AE70" s="143"/>
      <c r="AF70" s="143"/>
    </row>
    <row r="71" spans="1:32">
      <c r="A71" s="143">
        <v>15</v>
      </c>
      <c r="B71" s="143" t="s">
        <v>198</v>
      </c>
      <c r="C71" s="143" t="s">
        <v>28</v>
      </c>
      <c r="D71" s="144"/>
      <c r="E71" s="145"/>
      <c r="F71" s="145"/>
      <c r="G71" s="162"/>
      <c r="H71" s="145"/>
      <c r="I71" s="145"/>
      <c r="J71" s="145"/>
      <c r="K71" s="166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3"/>
      <c r="AB71" s="143"/>
      <c r="AC71" s="143"/>
      <c r="AD71" s="143"/>
      <c r="AE71" s="143"/>
      <c r="AF71" s="143"/>
    </row>
    <row r="72" spans="1:32" s="134" customFormat="1">
      <c r="A72" s="150" t="s">
        <v>199</v>
      </c>
      <c r="B72" s="150"/>
      <c r="C72" s="150"/>
      <c r="D72" s="151"/>
      <c r="E72" s="152">
        <f>SUM(E67,E62,E56,E53,E47,E46,E41,E40,E30,E24,E23,E22,E19,E9)</f>
        <v>1121071.55</v>
      </c>
      <c r="F72" s="152">
        <f>SUM(F67,F62,F56,F53,F47,F46,F41,F40,F30,F24,F23,F22,F19,F9)</f>
        <v>657330.06000000006</v>
      </c>
      <c r="G72" s="164"/>
      <c r="H72" s="152">
        <f>SUM(L72:AF72)</f>
        <v>250340.36</v>
      </c>
      <c r="I72" s="152">
        <f>E72-H72</f>
        <v>870731.19000000006</v>
      </c>
      <c r="J72" s="158">
        <f>H72/E72</f>
        <v>0.22330453395236011</v>
      </c>
      <c r="K72" s="158">
        <f>H72/F72</f>
        <v>0.38084422915331145</v>
      </c>
      <c r="L72" s="152">
        <f>SUM(L9:L71)</f>
        <v>12363.39</v>
      </c>
      <c r="M72" s="152">
        <f t="shared" ref="M72:V72" si="0">SUM(M9:M71)</f>
        <v>14319.73</v>
      </c>
      <c r="N72" s="152">
        <f t="shared" si="0"/>
        <v>21582.239999999998</v>
      </c>
      <c r="O72" s="152">
        <f t="shared" si="0"/>
        <v>12553.11</v>
      </c>
      <c r="P72" s="152">
        <f t="shared" si="0"/>
        <v>19110.939999999999</v>
      </c>
      <c r="Q72" s="152">
        <f t="shared" si="0"/>
        <v>33069.089999999997</v>
      </c>
      <c r="R72" s="152">
        <f t="shared" si="0"/>
        <v>7957.57</v>
      </c>
      <c r="S72" s="152">
        <f t="shared" si="0"/>
        <v>27935.229999999996</v>
      </c>
      <c r="T72" s="152">
        <f t="shared" si="0"/>
        <v>101449.06</v>
      </c>
      <c r="U72" s="152">
        <f t="shared" si="0"/>
        <v>0</v>
      </c>
      <c r="V72" s="152">
        <f t="shared" si="0"/>
        <v>0</v>
      </c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</row>
    <row r="73" spans="1:32">
      <c r="L73" s="179" t="s">
        <v>200</v>
      </c>
      <c r="M73" s="179"/>
      <c r="N73" s="179"/>
      <c r="O73" s="179"/>
      <c r="P73" s="179"/>
      <c r="Q73" s="137" t="s">
        <v>201</v>
      </c>
      <c r="R73" s="137"/>
      <c r="S73" s="137"/>
    </row>
  </sheetData>
  <mergeCells count="2">
    <mergeCell ref="D68:D70"/>
    <mergeCell ref="L73:P73"/>
  </mergeCells>
  <pageMargins left="0.7" right="0.7" top="0.75" bottom="0.75" header="0.3" footer="0.3"/>
  <pageSetup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2A87-241A-49B3-95E6-3D34C91185B7}">
  <dimension ref="A1:C2"/>
  <sheetViews>
    <sheetView workbookViewId="0">
      <selection activeCell="C1" sqref="C1"/>
    </sheetView>
  </sheetViews>
  <sheetFormatPr defaultRowHeight="12.4"/>
  <cols>
    <col min="1" max="1" width="29.85546875" bestFit="1" customWidth="1"/>
    <col min="2" max="2" width="27.85546875" bestFit="1" customWidth="1"/>
    <col min="3" max="3" width="16.42578125" bestFit="1" customWidth="1"/>
  </cols>
  <sheetData>
    <row r="1" spans="1:3">
      <c r="A1" s="167" t="s">
        <v>202</v>
      </c>
      <c r="B1" s="167" t="s">
        <v>203</v>
      </c>
      <c r="C1" s="167"/>
    </row>
    <row r="2" spans="1:3">
      <c r="A2" s="130">
        <v>45982</v>
      </c>
      <c r="B2" s="168">
        <f>SUM('Breakdown by task'!L72:P72)</f>
        <v>79929.41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76fe23b-1fd5-490c-8cb0-07279ee04191" ContentTypeId="0x01010006ECCEB8876C3241BF9EAC4A765FAF4200B010D51BFC38B74EAC311886D95ED0A3" PreviousValue="false" LastSyncTimeStamp="2024-11-07T22:31:03.417Z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ransitory - Organizing and Monitoring Work in Progress" ma:contentTypeID="0x01010006ECCEB8876C3241BF9EAC4A765FAF4200B010D51BFC38B74EAC311886D95ED0A300EDC58EA103263747929A0695BF92E373" ma:contentTypeVersion="4" ma:contentTypeDescription="Create a new document." ma:contentTypeScope="" ma:versionID="16a87a5a69da41d0ca6b817235497675">
  <xsd:schema xmlns:xsd="http://www.w3.org/2001/XMLSchema" xmlns:xs="http://www.w3.org/2001/XMLSchema" xmlns:p="http://schemas.microsoft.com/office/2006/metadata/properties" xmlns:ns2="2025f06d-6995-4e44-8ee8-f8a6ae3bb98f" targetNamespace="http://schemas.microsoft.com/office/2006/metadata/properties" ma:root="true" ma:fieldsID="4eaeb6596560183758bd0c8a4ed784a9" ns2:_="">
    <xsd:import namespace="2025f06d-6995-4e44-8ee8-f8a6ae3bb98f"/>
    <xsd:element name="properties">
      <xsd:complexType>
        <xsd:sequence>
          <xsd:element name="documentManagement">
            <xsd:complexType>
              <xsd:all>
                <xsd:element ref="ns2:Supersede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5f06d-6995-4e44-8ee8-f8a6ae3bb98f" elementFormDefault="qualified">
    <xsd:import namespace="http://schemas.microsoft.com/office/2006/documentManagement/types"/>
    <xsd:import namespace="http://schemas.microsoft.com/office/infopath/2007/PartnerControls"/>
    <xsd:element name="SupersededDate" ma:index="8" nillable="true" ma:displayName="Superseded Date" ma:internalName="Superseded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persededDate xmlns="2025f06d-6995-4e44-8ee8-f8a6ae3bb98f" xsi:nil="true"/>
  </documentManagement>
</p:properties>
</file>

<file path=customXml/itemProps1.xml><?xml version="1.0" encoding="utf-8"?>
<ds:datastoreItem xmlns:ds="http://schemas.openxmlformats.org/officeDocument/2006/customXml" ds:itemID="{6329AB22-053A-4584-958A-D368CFE657D3}"/>
</file>

<file path=customXml/itemProps2.xml><?xml version="1.0" encoding="utf-8"?>
<ds:datastoreItem xmlns:ds="http://schemas.openxmlformats.org/officeDocument/2006/customXml" ds:itemID="{E446E10C-1342-4D86-94EE-B3CC0AC09A95}"/>
</file>

<file path=customXml/itemProps3.xml><?xml version="1.0" encoding="utf-8"?>
<ds:datastoreItem xmlns:ds="http://schemas.openxmlformats.org/officeDocument/2006/customXml" ds:itemID="{903D083E-E6E1-437E-9FC5-90AB6E7C7327}"/>
</file>

<file path=customXml/itemProps4.xml><?xml version="1.0" encoding="utf-8"?>
<ds:datastoreItem xmlns:ds="http://schemas.openxmlformats.org/officeDocument/2006/customXml" ds:itemID="{69D824A6-47B1-4078-A63D-5A900845C93B}"/>
</file>

<file path=docMetadata/LabelInfo.xml><?xml version="1.0" encoding="utf-8"?>
<clbl:labelList xmlns:clbl="http://schemas.microsoft.com/office/2020/mipLabelMetadata">
  <clbl:label id="{cfab7ce3-3b42-49e2-a0d8-281df53d392b}" enabled="1" method="Standard" siteId="{c7243e29-e897-47ce-8043-54eeb9907be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Kirkland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TS</dc:creator>
  <cp:keywords/>
  <dc:description/>
  <cp:lastModifiedBy/>
  <cp:revision/>
  <dcterms:created xsi:type="dcterms:W3CDTF">2004-01-14T17:11:06Z</dcterms:created>
  <dcterms:modified xsi:type="dcterms:W3CDTF">2026-02-13T21:58:22Z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0x01010006ECCEB8876C3241BF9EAC4A765FAF4200B010D51BFC38B74EAC311886D95ED0A300EDC58EA103263747929A0695BF92E373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ProjectStatus">
    <vt:lpwstr>Active</vt:lpwstr>
  </property>
  <property fmtid="{D5CDD505-2E9C-101B-9397-08002B2CF9AE}" pid="6" name="ProjectPhase">
    <vt:lpwstr>2. Design</vt:lpwstr>
  </property>
  <property fmtid="{D5CDD505-2E9C-101B-9397-08002B2CF9AE}" pid="7" name="_docset_NoMedatataSyncRequired">
    <vt:lpwstr>False</vt:lpwstr>
  </property>
</Properties>
</file>